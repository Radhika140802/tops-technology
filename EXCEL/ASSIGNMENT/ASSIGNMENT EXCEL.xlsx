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AYSIS\EXCEL\ASSIGNMENT\"/>
    </mc:Choice>
  </mc:AlternateContent>
  <xr:revisionPtr revIDLastSave="0" documentId="13_ncr:1_{C3D48ED5-EDA7-413E-8407-2478823C7569}" xr6:coauthVersionLast="47" xr6:coauthVersionMax="47" xr10:uidLastSave="{00000000-0000-0000-0000-000000000000}"/>
  <bookViews>
    <workbookView xWindow="-108" yWindow="-108" windowWidth="23256" windowHeight="12456" activeTab="3" xr2:uid="{DF19F311-44B6-48F0-A0CF-57A99E6DAFBD}"/>
  </bookViews>
  <sheets>
    <sheet name="Sheet1" sheetId="1" r:id="rId1"/>
    <sheet name="Sheet2" sheetId="2" r:id="rId2"/>
    <sheet name="Sheet3" sheetId="3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5" l="1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36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8" i="5"/>
  <c r="D94" i="3"/>
  <c r="D90" i="3"/>
  <c r="D86" i="3"/>
  <c r="D48" i="3"/>
  <c r="D46" i="3"/>
  <c r="B62" i="3"/>
  <c r="B60" i="3"/>
  <c r="B55" i="3"/>
  <c r="B54" i="3"/>
  <c r="B53" i="3"/>
  <c r="B10" i="3"/>
  <c r="B9" i="3"/>
  <c r="B8" i="3"/>
  <c r="B309" i="1" a="1"/>
  <c r="B309" i="1" s="1"/>
  <c r="C220" i="1"/>
  <c r="C219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221" i="1"/>
  <c r="C96" i="2"/>
  <c r="C92" i="2"/>
  <c r="C88" i="2"/>
  <c r="H67" i="2"/>
  <c r="H66" i="2"/>
  <c r="H64" i="2"/>
  <c r="H62" i="2"/>
  <c r="H61" i="2"/>
  <c r="C43" i="2"/>
  <c r="D33" i="2"/>
  <c r="C42" i="2"/>
  <c r="D27" i="2"/>
  <c r="C39" i="2"/>
  <c r="C36" i="2"/>
  <c r="D30" i="2"/>
  <c r="C20" i="2"/>
  <c r="C16" i="2"/>
  <c r="C12" i="2"/>
  <c r="D108" i="1"/>
  <c r="B212" i="1"/>
  <c r="C191" i="1"/>
  <c r="C192" i="1"/>
  <c r="C193" i="1"/>
  <c r="C190" i="1"/>
  <c r="D180" i="1"/>
  <c r="D109" i="1"/>
  <c r="D110" i="1"/>
  <c r="D111" i="1"/>
  <c r="G165" i="1"/>
  <c r="G166" i="1"/>
  <c r="G167" i="1"/>
  <c r="G164" i="1"/>
  <c r="H154" i="1"/>
  <c r="H153" i="1"/>
  <c r="H152" i="1"/>
  <c r="D137" i="1"/>
  <c r="D138" i="1"/>
  <c r="D132" i="1"/>
  <c r="D133" i="1"/>
  <c r="D131" i="1"/>
  <c r="D127" i="1"/>
  <c r="D126" i="1"/>
  <c r="D125" i="1"/>
  <c r="D124" i="1"/>
  <c r="F94" i="1"/>
  <c r="F95" i="1"/>
  <c r="F96" i="1"/>
  <c r="F97" i="1"/>
  <c r="F98" i="1"/>
  <c r="F99" i="1"/>
  <c r="F100" i="1"/>
  <c r="F93" i="1"/>
  <c r="E94" i="1"/>
  <c r="E95" i="1"/>
  <c r="E96" i="1"/>
  <c r="E97" i="1"/>
  <c r="E98" i="1"/>
  <c r="E99" i="1"/>
  <c r="E100" i="1"/>
  <c r="E93" i="1"/>
  <c r="C81" i="1"/>
  <c r="C82" i="1"/>
  <c r="C83" i="1"/>
  <c r="C80" i="1"/>
  <c r="C72" i="1"/>
  <c r="C69" i="1"/>
  <c r="C66" i="1"/>
  <c r="C63" i="1"/>
  <c r="E42" i="1"/>
  <c r="E36" i="1"/>
  <c r="M24" i="1"/>
  <c r="M25" i="1"/>
  <c r="I19" i="1"/>
  <c r="I18" i="1"/>
  <c r="I17" i="1"/>
  <c r="G21" i="1"/>
  <c r="G19" i="1"/>
  <c r="G17" i="1"/>
  <c r="G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<sst xmlns="http://schemas.openxmlformats.org/spreadsheetml/2006/main" count="1044" uniqueCount="772">
  <si>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</si>
  <si>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</si>
  <si>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</si>
  <si>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</si>
  <si>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</si>
  <si>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</si>
  <si>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</si>
  <si>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</si>
  <si>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</si>
  <si>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</si>
  <si>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</si>
  <si>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</si>
  <si>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</si>
  <si>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</si>
  <si>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</si>
  <si>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</si>
  <si>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</si>
  <si>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</si>
  <si>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</si>
  <si>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</si>
  <si>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</si>
  <si>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</si>
  <si>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</si>
  <si>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</si>
  <si>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</si>
  <si>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</si>
  <si>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</si>
  <si>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</si>
  <si>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</si>
  <si>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</si>
  <si>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</si>
  <si>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</si>
  <si>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</si>
  <si>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</si>
  <si>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</si>
  <si>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</si>
  <si>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</si>
  <si>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</si>
  <si>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</si>
  <si>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</si>
  <si>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</si>
  <si>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</si>
  <si>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</si>
  <si>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</si>
  <si>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</si>
  <si>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</si>
  <si>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</si>
  <si>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</si>
  <si>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</si>
  <si>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</si>
  <si>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</si>
  <si>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</si>
  <si>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</si>
  <si>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</si>
  <si>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</si>
  <si>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</si>
  <si>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</si>
  <si>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</si>
  <si>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</si>
  <si>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</si>
  <si>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</si>
  <si>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</si>
  <si>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</si>
  <si>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</si>
  <si>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</si>
  <si>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</si>
  <si>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</si>
  <si>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</si>
  <si>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</si>
  <si>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</si>
  <si>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</si>
  <si>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</si>
  <si>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</si>
  <si>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</si>
  <si>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</si>
  <si>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</si>
  <si>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</si>
  <si>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</si>
  <si>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</si>
  <si>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</si>
  <si>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</si>
  <si>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</si>
  <si>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</si>
  <si>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</si>
  <si>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</si>
  <si>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</si>
  <si>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</si>
  <si>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</si>
  <si>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</si>
  <si>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</si>
  <si>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</si>
  <si>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</si>
  <si>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</si>
  <si>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</si>
  <si>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</si>
  <si>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</si>
  <si>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</si>
  <si>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</si>
  <si>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</si>
  <si>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</si>
  <si>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</si>
  <si>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</si>
  <si>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</si>
  <si>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</si>
  <si>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</si>
  <si>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</si>
  <si>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</si>
  <si>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</si>
  <si>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Dani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</si>
  <si>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</si>
  <si>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</si>
  <si>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</si>
  <si>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</si>
  <si>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</si>
  <si>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</si>
  <si>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</si>
  <si>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</si>
  <si>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</si>
  <si>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</si>
  <si>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</si>
  <si>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</si>
  <si>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</si>
  <si>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</si>
  <si>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</si>
  <si>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</si>
  <si>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</si>
  <si>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</si>
  <si>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</si>
  <si>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</si>
  <si>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</si>
  <si>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</si>
  <si>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</si>
  <si>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</si>
  <si>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</si>
  <si>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</si>
  <si>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</si>
  <si>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</si>
  <si>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</si>
  <si>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</si>
  <si>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</si>
  <si>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</si>
  <si>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</si>
  <si>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</si>
  <si>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</si>
  <si>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</si>
  <si>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</si>
  <si>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</si>
  <si>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</si>
  <si>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</si>
  <si>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</si>
  <si>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</si>
  <si>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</si>
  <si>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</si>
  <si>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</si>
  <si>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</si>
  <si>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</si>
  <si>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</si>
  <si>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</si>
  <si>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</si>
  <si>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</si>
  <si>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</si>
  <si>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</si>
  <si>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</si>
  <si>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</si>
  <si>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</si>
  <si>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</si>
  <si>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</si>
  <si>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</si>
  <si>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</si>
  <si>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</si>
  <si>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</si>
  <si>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</si>
  <si>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</si>
  <si>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</si>
  <si>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</si>
  <si>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</si>
  <si>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</si>
  <si>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</si>
  <si>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</si>
  <si>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</si>
  <si>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</si>
  <si>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</si>
  <si>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</si>
  <si>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</si>
  <si>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</si>
  <si>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</si>
  <si>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</si>
  <si>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</si>
  <si>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</si>
  <si>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</si>
  <si>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</si>
  <si>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</si>
  <si>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</si>
  <si>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</si>
  <si>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</si>
  <si>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</si>
  <si>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</si>
  <si>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</si>
  <si>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</si>
  <si>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</si>
  <si>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</si>
  <si>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</si>
  <si>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</si>
  <si>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</si>
  <si>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</si>
  <si>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</si>
  <si>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</si>
  <si>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</si>
  <si>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</si>
  <si>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</si>
  <si>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</si>
  <si>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</si>
  <si>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</si>
  <si>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</si>
  <si>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</si>
  <si>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</si>
  <si>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</si>
  <si>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</si>
  <si>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</si>
  <si>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</si>
  <si>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</si>
  <si>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</si>
  <si>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</si>
  <si>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</si>
  <si>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</si>
  <si>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12/13/2015</t>
  </si>
  <si>
    <t xml:space="preserve">$418.54 </t>
  </si>
  <si>
    <t xml:space="preserve">$722.22 </t>
  </si>
  <si>
    <t xml:space="preserve">$460.28 </t>
  </si>
  <si>
    <t xml:space="preserve">$483.58 </t>
  </si>
  <si>
    <t xml:space="preserve">$114.53 </t>
  </si>
  <si>
    <t xml:space="preserve">$609.12 </t>
  </si>
  <si>
    <t xml:space="preserve">$1,197.90 </t>
  </si>
  <si>
    <t xml:space="preserve">$228.89 </t>
  </si>
  <si>
    <t xml:space="preserve">$1,380.07 </t>
  </si>
  <si>
    <t>1/13/2015</t>
  </si>
  <si>
    <t xml:space="preserve">$1,026.96 </t>
  </si>
  <si>
    <t>1/14/2015</t>
  </si>
  <si>
    <t xml:space="preserve">$760.24 </t>
  </si>
  <si>
    <t>1/15/2015</t>
  </si>
  <si>
    <t xml:space="preserve">$414.11 </t>
  </si>
  <si>
    <t>1/16/2015</t>
  </si>
  <si>
    <t xml:space="preserve">$1,728.81 </t>
  </si>
  <si>
    <t>1/17/2015</t>
  </si>
  <si>
    <t xml:space="preserve">$276.06 </t>
  </si>
  <si>
    <t>1/18/2015</t>
  </si>
  <si>
    <t xml:space="preserve">$462.22 </t>
  </si>
  <si>
    <t>1/19/2015</t>
  </si>
  <si>
    <t xml:space="preserve">$1,281.10 </t>
  </si>
  <si>
    <t>1/20/2015</t>
  </si>
  <si>
    <t xml:space="preserve">$1,113.70 </t>
  </si>
  <si>
    <t>1/21/2015</t>
  </si>
  <si>
    <t xml:space="preserve">$594.09 </t>
  </si>
  <si>
    <t>1/22/2015</t>
  </si>
  <si>
    <t xml:space="preserve">$432.67 </t>
  </si>
  <si>
    <t>1/23/2015</t>
  </si>
  <si>
    <t xml:space="preserve">$874.45 </t>
  </si>
  <si>
    <t>1/24/2015</t>
  </si>
  <si>
    <t xml:space="preserve">$880.38 </t>
  </si>
  <si>
    <t>1/25/2015</t>
  </si>
  <si>
    <t xml:space="preserve">$798.53 </t>
  </si>
  <si>
    <t xml:space="preserve">$572.42 </t>
  </si>
  <si>
    <t>1/27/2015</t>
  </si>
  <si>
    <t xml:space="preserve">$330.61 </t>
  </si>
  <si>
    <t>1/28/2015</t>
  </si>
  <si>
    <t xml:space="preserve">$567.18 </t>
  </si>
  <si>
    <t>1/29/2015</t>
  </si>
  <si>
    <t xml:space="preserve">$1,449.21 </t>
  </si>
  <si>
    <t>1/30/2015</t>
  </si>
  <si>
    <t xml:space="preserve">$459.29 </t>
  </si>
  <si>
    <t>1/31/2015</t>
  </si>
  <si>
    <t xml:space="preserve">$357.55 </t>
  </si>
  <si>
    <t xml:space="preserve">$154.34 </t>
  </si>
  <si>
    <t xml:space="preserve">$152.76 </t>
  </si>
  <si>
    <t xml:space="preserve">$570.22 </t>
  </si>
  <si>
    <t xml:space="preserve">$987.62 </t>
  </si>
  <si>
    <t xml:space="preserve">$1,755.71 </t>
  </si>
  <si>
    <t xml:space="preserve">$378.27 </t>
  </si>
  <si>
    <t xml:space="preserve">$1,323.81 </t>
  </si>
  <si>
    <t xml:space="preserve">$399.02 </t>
  </si>
  <si>
    <t xml:space="preserve">$154.95 </t>
  </si>
  <si>
    <t xml:space="preserve">$1,254.57 </t>
  </si>
  <si>
    <t xml:space="preserve">$627.32 </t>
  </si>
  <si>
    <t>8/14/2015</t>
  </si>
  <si>
    <t xml:space="preserve">$880.60 </t>
  </si>
  <si>
    <t>2/13/2015</t>
  </si>
  <si>
    <t xml:space="preserve">$1,196.03 </t>
  </si>
  <si>
    <t>2/14/2015</t>
  </si>
  <si>
    <t xml:space="preserve">$782.32 </t>
  </si>
  <si>
    <t>2/15/2015</t>
  </si>
  <si>
    <t xml:space="preserve">$1,323.35 </t>
  </si>
  <si>
    <t>2/16/2015</t>
  </si>
  <si>
    <t xml:space="preserve">$209.92 </t>
  </si>
  <si>
    <t>2/17/2015</t>
  </si>
  <si>
    <t xml:space="preserve">$1,232.05 </t>
  </si>
  <si>
    <t>2/18/2015</t>
  </si>
  <si>
    <t xml:space="preserve">$713.28 </t>
  </si>
  <si>
    <t>2/19/2015</t>
  </si>
  <si>
    <t xml:space="preserve">$1,674.82 </t>
  </si>
  <si>
    <t>2/20/2015</t>
  </si>
  <si>
    <t xml:space="preserve">$1,161.25 </t>
  </si>
  <si>
    <t>2/21/2015</t>
  </si>
  <si>
    <t xml:space="preserve">$897.63 </t>
  </si>
  <si>
    <t>2/22/2015</t>
  </si>
  <si>
    <t xml:space="preserve">$1,647.26 </t>
  </si>
  <si>
    <t>2/23/2015</t>
  </si>
  <si>
    <t xml:space="preserve">$1,121.96 </t>
  </si>
  <si>
    <t>2/24/2015</t>
  </si>
  <si>
    <t xml:space="preserve">$352.20 </t>
  </si>
  <si>
    <t>2/25/2015</t>
  </si>
  <si>
    <t xml:space="preserve">$270.78 </t>
  </si>
  <si>
    <t>2/26/2015</t>
  </si>
  <si>
    <t xml:space="preserve">$456.41 </t>
  </si>
  <si>
    <t>2/27/2015</t>
  </si>
  <si>
    <t xml:space="preserve">$441.00 </t>
  </si>
  <si>
    <t>2/28/2015</t>
  </si>
  <si>
    <t xml:space="preserve">$252.44 </t>
  </si>
  <si>
    <t xml:space="preserve">$1,298.92 </t>
  </si>
  <si>
    <t xml:space="preserve">$1,178.07 </t>
  </si>
  <si>
    <t xml:space="preserve">$459.95 </t>
  </si>
  <si>
    <t xml:space="preserve">$1,219.70 </t>
  </si>
  <si>
    <t xml:space="preserve">$152.24 </t>
  </si>
  <si>
    <t xml:space="preserve">$770.80 </t>
  </si>
  <si>
    <t xml:space="preserve">$1,357.25 </t>
  </si>
  <si>
    <t xml:space="preserve">$220.18 </t>
  </si>
  <si>
    <t xml:space="preserve">$1,102.81 </t>
  </si>
  <si>
    <t xml:space="preserve">$1,566.83 </t>
  </si>
  <si>
    <t xml:space="preserve">$1,216.12 </t>
  </si>
  <si>
    <t>3/13/2015</t>
  </si>
  <si>
    <t xml:space="preserve">$273.10 </t>
  </si>
  <si>
    <t>3/14/2015</t>
  </si>
  <si>
    <t xml:space="preserve">$242.26 </t>
  </si>
  <si>
    <t>3/15/2015</t>
  </si>
  <si>
    <t xml:space="preserve">$1,512.60 </t>
  </si>
  <si>
    <t>3/16/2015</t>
  </si>
  <si>
    <t xml:space="preserve">$783.75 </t>
  </si>
  <si>
    <t xml:space="preserve">$667.99 </t>
  </si>
  <si>
    <t>3/18/2015</t>
  </si>
  <si>
    <t xml:space="preserve">$1,166.31 </t>
  </si>
  <si>
    <t>3/19/2015</t>
  </si>
  <si>
    <t xml:space="preserve">$770.18 </t>
  </si>
  <si>
    <t>3/20/2015</t>
  </si>
  <si>
    <t xml:space="preserve">$132.34 </t>
  </si>
  <si>
    <t>3/21/2015</t>
  </si>
  <si>
    <t xml:space="preserve">$1,188.81 </t>
  </si>
  <si>
    <t>3/22/2015</t>
  </si>
  <si>
    <t xml:space="preserve">$198.06 </t>
  </si>
  <si>
    <t>3/23/2015</t>
  </si>
  <si>
    <t xml:space="preserve">$594.17 </t>
  </si>
  <si>
    <t>3/24/2015</t>
  </si>
  <si>
    <t xml:space="preserve">$931.09 </t>
  </si>
  <si>
    <t>3/25/2015</t>
  </si>
  <si>
    <t xml:space="preserve">$299.64 </t>
  </si>
  <si>
    <t xml:space="preserve">$1,701.68 </t>
  </si>
  <si>
    <t>3/27/2015</t>
  </si>
  <si>
    <t xml:space="preserve">$399.15 </t>
  </si>
  <si>
    <t>3/28/2015</t>
  </si>
  <si>
    <t xml:space="preserve">$374.81 </t>
  </si>
  <si>
    <t>3/29/2015</t>
  </si>
  <si>
    <t xml:space="preserve">$462.17 </t>
  </si>
  <si>
    <t>3/30/2015</t>
  </si>
  <si>
    <t xml:space="preserve">$924.29 </t>
  </si>
  <si>
    <t>3/31/2015</t>
  </si>
  <si>
    <t xml:space="preserve">$5,000.60 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</si>
  <si>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</si>
  <si>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</si>
  <si>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</si>
  <si>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</si>
  <si>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</si>
  <si>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</si>
  <si>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</si>
  <si>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</si>
  <si>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</si>
  <si>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</si>
  <si>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</si>
  <si>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</si>
  <si>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</si>
  <si>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</si>
  <si>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</si>
  <si>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</si>
  <si>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</si>
  <si>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</si>
  <si>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</si>
  <si>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</si>
  <si>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</si>
  <si>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</si>
  <si>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</si>
  <si>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</si>
  <si>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</si>
  <si>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</si>
  <si>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</si>
  <si>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</si>
  <si>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</si>
  <si>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</si>
  <si>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</si>
  <si>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</si>
  <si>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</si>
  <si>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</si>
  <si>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</si>
  <si>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</si>
  <si>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</si>
  <si>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</si>
  <si>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</si>
  <si>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</si>
  <si>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</si>
  <si>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</si>
  <si>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</si>
  <si>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</si>
  <si>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</si>
  <si>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</si>
  <si>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</si>
  <si>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</si>
  <si>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</si>
  <si>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</si>
  <si>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</si>
  <si>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</si>
  <si>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</si>
  <si>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</si>
  <si>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</si>
  <si>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</si>
  <si>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</si>
  <si>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</si>
  <si>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</si>
  <si>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</si>
  <si>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</si>
  <si>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</si>
  <si>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</si>
  <si>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</si>
  <si>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</si>
  <si>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</si>
  <si>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</si>
  <si>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</si>
  <si>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</si>
  <si>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</si>
  <si>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</si>
  <si>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</si>
  <si>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</si>
  <si>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</si>
  <si>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</si>
  <si>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</si>
  <si>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</si>
  <si>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</si>
  <si>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</si>
  <si>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</si>
  <si>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</si>
  <si>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</si>
  <si>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</si>
  <si>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</si>
  <si>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</si>
  <si>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</si>
  <si>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</si>
  <si>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</si>
  <si>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</si>
  <si>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</si>
  <si>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</si>
  <si>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</si>
  <si>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</si>
  <si>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</si>
  <si>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</si>
  <si>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</si>
  <si>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</si>
  <si>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</si>
  <si>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</si>
  <si>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</si>
  <si>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</si>
  <si>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</si>
  <si>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</si>
  <si>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</si>
  <si>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</si>
  <si>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</si>
  <si>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</si>
  <si>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</si>
  <si>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</si>
  <si>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</si>
  <si>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</si>
  <si>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</si>
  <si>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</si>
  <si>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</si>
  <si>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</si>
  <si>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</si>
  <si>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</si>
  <si>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</si>
  <si>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</si>
  <si>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</si>
  <si>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</si>
  <si>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</si>
  <si>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</si>
  <si>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</si>
  <si>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</si>
  <si>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</si>
  <si>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</si>
  <si>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</si>
  <si>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</si>
  <si>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</si>
  <si>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</si>
  <si>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</si>
  <si>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</si>
  <si>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</si>
  <si>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</si>
  <si>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</si>
  <si>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</si>
  <si>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</si>
  <si>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</si>
  <si>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</si>
  <si>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</si>
  <si>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</si>
  <si>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</si>
  <si>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</si>
  <si>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</si>
  <si>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</si>
  <si>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</si>
  <si>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</si>
  <si>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</si>
  <si>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</si>
  <si>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</si>
  <si>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</si>
  <si>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</si>
  <si>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</si>
  <si>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</si>
  <si>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</si>
  <si>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</si>
  <si>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</si>
  <si>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</si>
  <si>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</si>
  <si>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</si>
  <si>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</si>
  <si>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</si>
  <si>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</si>
  <si>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</si>
  <si>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</si>
  <si>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</si>
  <si>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</si>
  <si>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</si>
  <si>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</si>
  <si>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</si>
  <si>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</si>
  <si>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</si>
  <si>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</si>
  <si>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</si>
  <si>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</si>
  <si>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</si>
  <si>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</si>
  <si>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</si>
  <si>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</si>
  <si>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</si>
  <si>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</si>
  <si>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</si>
  <si>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</si>
  <si>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</si>
  <si>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</si>
  <si>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</si>
  <si>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</si>
  <si>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</si>
  <si>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</si>
  <si>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</si>
  <si>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</si>
  <si>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</si>
  <si>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</si>
  <si>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</si>
  <si>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</si>
  <si>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</si>
  <si>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</si>
  <si>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</si>
  <si>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</si>
  <si>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</si>
  <si>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</si>
  <si>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</si>
  <si>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</si>
  <si>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</si>
  <si>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</si>
  <si>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</si>
  <si>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</si>
  <si>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</si>
  <si>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</si>
  <si>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</si>
  <si>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</si>
  <si>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What is the total number of medals won by figure skaters?</t>
  </si>
  <si>
    <t>What is the total number of medals won by both USA and Jamaica? (Hard)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</si>
  <si>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</si>
  <si>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</si>
  <si>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</si>
  <si>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</si>
  <si>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</si>
  <si>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</si>
  <si>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</si>
  <si>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</si>
  <si>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</si>
  <si>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</si>
  <si>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</si>
  <si>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</si>
  <si>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</si>
  <si>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</si>
  <si>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</si>
  <si>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</si>
  <si>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</si>
  <si>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</si>
  <si>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</si>
  <si>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</si>
  <si>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</si>
  <si>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</si>
  <si>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</si>
  <si>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</si>
  <si>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</si>
  <si>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</si>
  <si>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</si>
  <si>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</si>
  <si>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</si>
  <si>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</si>
  <si>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</si>
  <si>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</si>
  <si>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</si>
  <si>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</si>
  <si>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</si>
  <si>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</si>
  <si>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</si>
  <si>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</si>
  <si>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Below is a list of the employees who work in your company:</t>
  </si>
  <si>
    <t>Location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</si>
  <si>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</si>
  <si>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</si>
  <si>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</si>
  <si>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</si>
  <si>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</si>
  <si>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</si>
  <si>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</si>
  <si>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</si>
  <si>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</si>
  <si>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</si>
  <si>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</si>
  <si>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</si>
  <si>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</si>
  <si>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</si>
  <si>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</si>
  <si>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</si>
  <si>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</si>
  <si>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</si>
  <si>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</si>
  <si>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</si>
  <si>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</si>
  <si>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</si>
  <si>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</si>
  <si>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</si>
  <si>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</si>
  <si>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VLOOKUP Exercise - Data: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</si>
  <si>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</si>
  <si>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</si>
  <si>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</si>
  <si>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</si>
  <si>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</si>
  <si>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</si>
  <si>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</si>
  <si>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</si>
  <si>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</si>
  <si>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</si>
  <si>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</si>
  <si>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</si>
  <si>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</si>
  <si>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</si>
  <si>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</si>
  <si>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</si>
  <si>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</si>
  <si>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</si>
  <si>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</si>
  <si>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</si>
  <si>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</si>
  <si>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s</t>
  </si>
  <si>
    <t>Create a VLOOKUP formula to find the occupation of Jane Doe.</t>
  </si>
  <si>
    <t>Create a VLOOKUP formula to find the age of Mike Lee.</t>
  </si>
  <si>
    <t>Create a VLOOKUP formula to find the occupation of a person whose name starts with "B" (Challenging!)</t>
  </si>
  <si>
    <t xml:space="preserve">$810.71  </t>
  </si>
  <si>
    <t>N/A</t>
  </si>
  <si>
    <t>Last Name</t>
  </si>
  <si>
    <t>Column1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</si>
  <si>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</si>
  <si>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</si>
  <si>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</si>
  <si>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</si>
  <si>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</si>
  <si>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</si>
  <si>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</si>
  <si>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</si>
  <si>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</si>
  <si>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</si>
  <si>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</si>
  <si>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</si>
  <si>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</si>
  <si>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</si>
  <si>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</si>
  <si>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</si>
  <si>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</si>
  <si>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</si>
  <si>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</si>
  <si>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</si>
  <si>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</si>
  <si>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</si>
  <si>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</si>
  <si>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</si>
  <si>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</si>
  <si>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</si>
  <si>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</si>
  <si>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</si>
  <si>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</si>
  <si>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First Name</t>
  </si>
  <si>
    <t>Sr No.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</si>
  <si>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</si>
  <si>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</si>
  <si>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</si>
  <si>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</si>
  <si>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</si>
  <si>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</si>
  <si>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</si>
  <si>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</si>
  <si>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Mehta</t>
  </si>
  <si>
    <t>Zoya</t>
  </si>
  <si>
    <t>Discount</t>
  </si>
  <si>
    <t>OrderID</t>
  </si>
  <si>
    <t>Product</t>
  </si>
  <si>
    <t>Quantity</t>
  </si>
  <si>
    <t>Price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</si>
  <si>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</si>
  <si>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</si>
  <si>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</si>
  <si>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</si>
  <si>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</si>
  <si>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</si>
  <si>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</si>
  <si>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</si>
  <si>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</si>
  <si>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</si>
  <si>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</si>
  <si>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</si>
  <si>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</si>
  <si>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</si>
  <si>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</si>
  <si>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</si>
  <si>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</si>
  <si>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</si>
  <si>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</si>
  <si>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</si>
  <si>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</si>
  <si>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</si>
  <si>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</si>
  <si>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</si>
  <si>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</si>
  <si>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</si>
  <si>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</si>
  <si>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</si>
  <si>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</si>
  <si>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</si>
  <si>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</si>
  <si>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Q.1</t>
  </si>
  <si>
    <t>Q.2</t>
  </si>
  <si>
    <t>Q.3</t>
  </si>
  <si>
    <t>Q.4</t>
  </si>
  <si>
    <t>Q.5</t>
  </si>
  <si>
    <t>Q.6</t>
  </si>
  <si>
    <t>Q.7</t>
  </si>
  <si>
    <t>Q.8</t>
  </si>
  <si>
    <t>Q.10</t>
  </si>
  <si>
    <t>Q.9</t>
  </si>
  <si>
    <t>Q.11</t>
  </si>
  <si>
    <t>Q.12</t>
  </si>
  <si>
    <t>Q.13</t>
  </si>
  <si>
    <t>Q.14</t>
  </si>
  <si>
    <t>Q.16</t>
  </si>
  <si>
    <t>Q.17</t>
  </si>
  <si>
    <t>Q.18</t>
  </si>
  <si>
    <t>Q.19</t>
  </si>
  <si>
    <t>Q.20</t>
  </si>
  <si>
    <t>Q.21</t>
  </si>
  <si>
    <t>Question 23</t>
  </si>
  <si>
    <r>
      <rPr>
        <b/>
        <sz val="22"/>
        <color theme="1"/>
        <rFont val="Calibri"/>
        <family val="2"/>
        <scheme val="minor"/>
      </rPr>
      <t>Question 24</t>
    </r>
    <r>
      <rPr>
        <sz val="11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</si>
</sst>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scheme val="minor"/>
    </font>
    <font>
      <sz val="11"/>
      <color rgb="FF0E101A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Roboto"/>
    </font>
    <font>
      <b/>
      <sz val="11"/>
      <color rgb="FF000000"/>
      <name val="Calibri"/>
      <family val="2"/>
      <charset val="177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000000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2" fillId="0" borderId="0" xfId="0" applyFont="1"/>
    <xf numFmtId="0" fontId="2" fillId="5" borderId="2" xfId="0" applyFont="1" applyFill="1" applyBorder="1"/>
    <xf numFmtId="0" fontId="3" fillId="5" borderId="2" xfId="0" applyFont="1" applyFill="1" applyBorder="1"/>
    <xf numFmtId="17" fontId="2" fillId="0" borderId="0" xfId="0" applyNumberFormat="1" applyFont="1"/>
    <xf numFmtId="0" fontId="2" fillId="5" borderId="0" xfId="0" applyFont="1" applyFill="1"/>
    <xf numFmtId="0" fontId="4" fillId="0" borderId="0" xfId="0" applyFont="1"/>
    <xf numFmtId="0" fontId="5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4" fontId="7" fillId="6" borderId="1" xfId="0" applyNumberFormat="1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5" fillId="5" borderId="2" xfId="0" applyFont="1" applyFill="1" applyBorder="1"/>
    <xf numFmtId="0" fontId="8" fillId="0" borderId="0" xfId="0" applyFont="1"/>
    <xf numFmtId="0" fontId="9" fillId="0" borderId="0" xfId="0" applyFont="1"/>
    <xf numFmtId="0" fontId="9" fillId="7" borderId="3" xfId="0" applyFont="1" applyFill="1" applyBorder="1"/>
    <xf numFmtId="0" fontId="9" fillId="7" borderId="4" xfId="0" applyFont="1" applyFill="1" applyBorder="1"/>
    <xf numFmtId="0" fontId="9" fillId="7" borderId="5" xfId="0" applyFont="1" applyFill="1" applyBorder="1"/>
    <xf numFmtId="0" fontId="10" fillId="0" borderId="0" xfId="0" applyFont="1"/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8" borderId="6" xfId="0" applyFont="1" applyFill="1" applyBorder="1"/>
    <xf numFmtId="0" fontId="11" fillId="0" borderId="0" xfId="0" applyFont="1"/>
    <xf numFmtId="0" fontId="3" fillId="0" borderId="1" xfId="0" applyFont="1" applyBorder="1"/>
    <xf numFmtId="0" fontId="2" fillId="5" borderId="1" xfId="0" applyFont="1" applyFill="1" applyBorder="1"/>
    <xf numFmtId="0" fontId="13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15" fillId="0" borderId="0" xfId="0" applyFont="1"/>
    <xf numFmtId="0" fontId="14" fillId="0" borderId="1" xfId="0" applyFont="1" applyBorder="1"/>
    <xf numFmtId="0" fontId="14" fillId="0" borderId="7" xfId="0" applyFont="1" applyBorder="1"/>
    <xf numFmtId="0" fontId="2" fillId="0" borderId="7" xfId="0" applyFont="1" applyBorder="1"/>
    <xf numFmtId="0" fontId="12" fillId="0" borderId="0" xfId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/>
    <xf numFmtId="0" fontId="8" fillId="0" borderId="8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1" fillId="0" borderId="6" xfId="0" applyFont="1" applyBorder="1"/>
    <xf numFmtId="0" fontId="1" fillId="8" borderId="6" xfId="0" applyFont="1" applyFill="1" applyBorder="1"/>
    <xf numFmtId="0" fontId="3" fillId="9" borderId="1" xfId="0" applyFont="1" applyFill="1" applyBorder="1"/>
    <xf numFmtId="14" fontId="2" fillId="0" borderId="1" xfId="0" applyNumberFormat="1" applyFont="1" applyBorder="1"/>
    <xf numFmtId="0" fontId="2" fillId="8" borderId="1" xfId="0" applyFont="1" applyFill="1" applyBorder="1"/>
    <xf numFmtId="0" fontId="16" fillId="10" borderId="1" xfId="0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0" fontId="17" fillId="0" borderId="0" xfId="0" applyFont="1"/>
    <xf numFmtId="0" fontId="16" fillId="0" borderId="1" xfId="0" applyFont="1" applyBorder="1" applyAlignment="1">
      <alignment horizontal="center"/>
    </xf>
    <xf numFmtId="3" fontId="16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6" xfId="0" applyFont="1" applyBorder="1"/>
    <xf numFmtId="3" fontId="2" fillId="0" borderId="6" xfId="0" applyNumberFormat="1" applyFont="1" applyBorder="1"/>
    <xf numFmtId="0" fontId="2" fillId="8" borderId="11" xfId="0" applyFont="1" applyFill="1" applyBorder="1"/>
    <xf numFmtId="0" fontId="19" fillId="0" borderId="0" xfId="0" applyFont="1"/>
    <xf numFmtId="0" fontId="20" fillId="0" borderId="0" xfId="0" applyFont="1"/>
    <xf numFmtId="0" fontId="19" fillId="0" borderId="6" xfId="0" applyFont="1" applyBorder="1"/>
    <xf numFmtId="0" fontId="20" fillId="0" borderId="6" xfId="0" applyFont="1" applyBorder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5" fillId="8" borderId="6" xfId="0" applyFont="1" applyFill="1" applyBorder="1"/>
    <xf numFmtId="0" fontId="18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horizontal="left" wrapText="1"/>
    </xf>
    <xf numFmtId="14" fontId="2" fillId="0" borderId="0" xfId="0" applyNumberFormat="1" applyFont="1"/>
    <xf numFmtId="0" fontId="2" fillId="8" borderId="0" xfId="0" applyFont="1" applyFill="1"/>
    <xf numFmtId="0" fontId="1" fillId="0" borderId="0" xfId="0" applyFont="1" applyAlignment="1">
      <alignment wrapText="1"/>
    </xf>
    <xf numFmtId="0" fontId="3" fillId="12" borderId="1" xfId="0" applyFont="1" applyFill="1" applyBorder="1"/>
    <xf numFmtId="0" fontId="3" fillId="12" borderId="12" xfId="0" applyFont="1" applyFill="1" applyBorder="1"/>
    <xf numFmtId="0" fontId="2" fillId="0" borderId="13" xfId="0" applyFont="1" applyBorder="1" applyAlignment="1">
      <alignment horizontal="left"/>
    </xf>
    <xf numFmtId="0" fontId="2" fillId="0" borderId="14" xfId="0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/>
    <xf numFmtId="0" fontId="2" fillId="5" borderId="14" xfId="0" applyFont="1" applyFill="1" applyBorder="1"/>
    <xf numFmtId="0" fontId="2" fillId="0" borderId="13" xfId="0" applyFont="1" applyBorder="1"/>
    <xf numFmtId="0" fontId="24" fillId="0" borderId="6" xfId="0" applyFont="1" applyBorder="1"/>
    <xf numFmtId="0" fontId="25" fillId="0" borderId="6" xfId="0" applyFont="1" applyBorder="1"/>
    <xf numFmtId="0" fontId="23" fillId="0" borderId="0" xfId="0" applyFont="1" applyAlignment="1">
      <alignment vertical="center"/>
    </xf>
    <xf numFmtId="0" fontId="2" fillId="13" borderId="0" xfId="0" applyFont="1" applyFill="1"/>
    <xf numFmtId="0" fontId="1" fillId="13" borderId="0" xfId="0" applyFont="1" applyFill="1"/>
    <xf numFmtId="0" fontId="0" fillId="13" borderId="0" xfId="0" applyFill="1"/>
    <xf numFmtId="0" fontId="0" fillId="14" borderId="0" xfId="0" applyFill="1"/>
    <xf numFmtId="0" fontId="2" fillId="15" borderId="0" xfId="0" applyFont="1" applyFill="1"/>
    <xf numFmtId="0" fontId="9" fillId="14" borderId="0" xfId="0" applyFont="1" applyFill="1"/>
    <xf numFmtId="0" fontId="2" fillId="15" borderId="2" xfId="0" applyFont="1" applyFill="1" applyBorder="1"/>
    <xf numFmtId="0" fontId="2" fillId="15" borderId="1" xfId="0" applyFont="1" applyFill="1" applyBorder="1"/>
    <xf numFmtId="2" fontId="2" fillId="0" borderId="1" xfId="3" applyNumberFormat="1" applyFont="1" applyBorder="1"/>
    <xf numFmtId="0" fontId="5" fillId="14" borderId="0" xfId="0" applyFont="1" applyFill="1"/>
    <xf numFmtId="3" fontId="2" fillId="14" borderId="0" xfId="0" applyNumberFormat="1" applyFont="1" applyFill="1"/>
    <xf numFmtId="3" fontId="2" fillId="5" borderId="1" xfId="0" applyNumberFormat="1" applyFont="1" applyFill="1" applyBorder="1"/>
    <xf numFmtId="3" fontId="2" fillId="5" borderId="6" xfId="0" applyNumberFormat="1" applyFont="1" applyFill="1" applyBorder="1"/>
    <xf numFmtId="3" fontId="2" fillId="8" borderId="6" xfId="0" applyNumberFormat="1" applyFont="1" applyFill="1" applyBorder="1"/>
    <xf numFmtId="0" fontId="20" fillId="14" borderId="0" xfId="0" applyFont="1" applyFill="1"/>
    <xf numFmtId="44" fontId="2" fillId="0" borderId="1" xfId="2" applyFont="1" applyBorder="1"/>
    <xf numFmtId="0" fontId="25" fillId="14" borderId="0" xfId="0" applyFont="1" applyFill="1"/>
    <xf numFmtId="0" fontId="1" fillId="0" borderId="0" xfId="0" applyFont="1"/>
    <xf numFmtId="0" fontId="2" fillId="0" borderId="0" xfId="0" applyFont="1" applyAlignment="1">
      <alignment horizontal="left"/>
    </xf>
    <xf numFmtId="0" fontId="8" fillId="0" borderId="0" xfId="0" applyFont="1"/>
    <xf numFmtId="0" fontId="2" fillId="0" borderId="0" xfId="0" applyFont="1"/>
    <xf numFmtId="0" fontId="1" fillId="0" borderId="10" xfId="0" applyFont="1" applyBorder="1"/>
    <xf numFmtId="0" fontId="18" fillId="11" borderId="7" xfId="0" applyFont="1" applyFill="1" applyBorder="1" applyAlignment="1">
      <alignment horizontal="center"/>
    </xf>
    <xf numFmtId="0" fontId="18" fillId="11" borderId="9" xfId="0" applyFont="1" applyFill="1" applyBorder="1" applyAlignment="1">
      <alignment horizontal="center"/>
    </xf>
    <xf numFmtId="0" fontId="25" fillId="0" borderId="0" xfId="0" applyFont="1"/>
    <xf numFmtId="0" fontId="3" fillId="0" borderId="0" xfId="0" applyFont="1"/>
    <xf numFmtId="0" fontId="0" fillId="0" borderId="15" xfId="0" applyFont="1" applyBorder="1"/>
    <xf numFmtId="0" fontId="27" fillId="16" borderId="17" xfId="0" applyFont="1" applyFill="1" applyBorder="1"/>
    <xf numFmtId="0" fontId="0" fillId="17" borderId="16" xfId="0" applyFont="1" applyFill="1" applyBorder="1"/>
    <xf numFmtId="0" fontId="0" fillId="0" borderId="16" xfId="0" applyFont="1" applyBorder="1"/>
    <xf numFmtId="0" fontId="29" fillId="0" borderId="0" xfId="0" applyFont="1"/>
    <xf numFmtId="0" fontId="0" fillId="0" borderId="0" xfId="0" applyAlignment="1">
      <alignment vertical="center" wrapText="1"/>
    </xf>
    <xf numFmtId="0" fontId="28" fillId="0" borderId="0" xfId="0" applyFont="1"/>
    <xf numFmtId="0" fontId="30" fillId="0" borderId="0" xfId="0" applyFont="1"/>
    <xf numFmtId="0" fontId="30" fillId="0" borderId="0" xfId="0" applyFont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11"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358E6A-C19E-4154-A9D0-9797FA274E1A}" name="Table8" displayName="Table8" ref="A7:F27" totalsRowShown="0">
  <autoFilter ref="A7:F27" xr:uid="{D4358E6A-C19E-4154-A9D0-9797FA274E1A}"/>
  <tableColumns count="6">
    <tableColumn id="1" xr3:uid="{3B3010B0-2012-4021-949E-5F46FE1D08D1}" name="Sr No."/>
    <tableColumn id="2" xr3:uid="{0AFB1C88-8518-4BF7-A765-DC37EDF17A50}" name="First Name"/>
    <tableColumn id="3" xr3:uid="{77F5E4DE-D84E-4FE7-A472-16F9466A6D8B}" name="Last Name"/>
    <tableColumn id="4" xr3:uid="{83900720-31EB-4D39-AFDB-984301EC7765}" name="Salary"/>
    <tableColumn id="5" xr3:uid="{0B7328FA-F4F9-4C31-BA89-E2DCE1D58DE5}" name="Age"/>
    <tableColumn id="6" xr3:uid="{9B2D1EEA-03CD-4B62-8B3F-445B9973E1BD}" name="Discount">
      <calculatedColumnFormula>D8*0.1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EC6866A-C046-4EC7-8FF2-19AA04B68202}" name="Table10" displayName="Table10" ref="A35:G53" totalsRowShown="0" dataDxfId="4">
  <autoFilter ref="A35:G53" xr:uid="{3EC6866A-C046-4EC7-8FF2-19AA04B68202}"/>
  <tableColumns count="7">
    <tableColumn id="1" xr3:uid="{81AED93D-E4C9-4A11-B6B6-BEAA9E1A6C4C}" name="OrderID" dataDxfId="9"/>
    <tableColumn id="2" xr3:uid="{2B03E012-847F-4D12-A51A-4FDA07290ED0}" name="Name" dataDxfId="8"/>
    <tableColumn id="3" xr3:uid="{A7F8629F-33DC-49E5-932D-F83CC3BD1D5A}" name="Product" dataDxfId="7"/>
    <tableColumn id="4" xr3:uid="{04E7B68C-DCB2-4ECE-9141-29910F2D684B}" name="Quantity" dataDxfId="6"/>
    <tableColumn id="5" xr3:uid="{3962C22C-916A-446E-A54B-36CF24124F3C}" name="Price" dataDxfId="5"/>
    <tableColumn id="6" xr3:uid="{15DADF63-094F-4BCD-8C02-92E2D13654A3}" name="Discount" dataDxfId="0">
      <calculatedColumnFormula>IF(D36&gt;20, E36*0.2, 0)</calculatedColumnFormula>
    </tableColumn>
    <tableColumn id="7" xr3:uid="{239177A7-8190-426F-AEC6-1C9A61B645B9}" name="Total" dataDxfId="3">
      <calculatedColumnFormula>D36*E36-F36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030A-857C-402D-A918-66249E5A5A1B}">
  <dimension ref="A1:Q309"/>
  <sheetViews>
    <sheetView topLeftCell="A296" zoomScale="86" zoomScaleNormal="55" workbookViewId="0">
      <selection activeCell="A214" sqref="A214"/>
    </sheetView>
  </sheetViews>
  <sheetFormatPr defaultRowHeight="14.4" x14ac:dyDescent="0.3"/>
  <cols>
    <col min="1" max="1" width="10.33203125" bestFit="1" customWidth="1"/>
    <col min="2" max="2" width="13.6640625" customWidth="1"/>
    <col min="5" max="5" width="15.77734375" customWidth="1"/>
    <col min="6" max="6" width="11.6640625" customWidth="1"/>
    <col min="11" max="11" width="10.33203125" bestFit="1" customWidth="1"/>
  </cols>
  <sheetData>
    <row r="1" spans="1:10" x14ac:dyDescent="0.3">
      <c r="A1" s="106"/>
      <c r="B1" s="106"/>
      <c r="C1" s="1"/>
      <c r="D1" s="1"/>
    </row>
    <row r="2" spans="1:10" x14ac:dyDescent="0.3">
      <c r="A2" s="6" t="s">
        <v>750</v>
      </c>
      <c r="B2" s="2" t="s">
        <v>0</v>
      </c>
      <c r="C2" s="2" t="s">
        <v>1</v>
      </c>
      <c r="D2" s="2" t="s">
        <v>2</v>
      </c>
      <c r="G2" s="121" t="s">
        <v>751</v>
      </c>
      <c r="H2" s="7" t="s">
        <v>20</v>
      </c>
      <c r="I2" s="1"/>
      <c r="J2" s="1"/>
    </row>
    <row r="3" spans="1:10" x14ac:dyDescent="0.3">
      <c r="A3" s="1"/>
      <c r="B3" s="3" t="s">
        <v>3</v>
      </c>
      <c r="C3" s="3" t="s">
        <v>4</v>
      </c>
      <c r="D3" s="3">
        <v>43</v>
      </c>
      <c r="H3" s="7" t="s">
        <v>21</v>
      </c>
      <c r="I3" s="1"/>
      <c r="J3" s="1"/>
    </row>
    <row r="4" spans="1:10" x14ac:dyDescent="0.3">
      <c r="A4" s="1"/>
      <c r="B4" s="3" t="s">
        <v>3</v>
      </c>
      <c r="C4" s="3" t="s">
        <v>5</v>
      </c>
      <c r="D4" s="3">
        <v>59</v>
      </c>
      <c r="H4" s="6" t="s">
        <v>22</v>
      </c>
      <c r="I4" s="6" t="s">
        <v>23</v>
      </c>
      <c r="J4" s="6" t="s">
        <v>24</v>
      </c>
    </row>
    <row r="5" spans="1:10" x14ac:dyDescent="0.3">
      <c r="A5" s="1"/>
      <c r="B5" s="3" t="s">
        <v>3</v>
      </c>
      <c r="C5" s="3" t="s">
        <v>6</v>
      </c>
      <c r="D5" s="3">
        <v>72</v>
      </c>
      <c r="H5" s="7" t="s">
        <v>25</v>
      </c>
      <c r="I5" s="10">
        <v>43101</v>
      </c>
      <c r="J5" s="7">
        <v>152</v>
      </c>
    </row>
    <row r="6" spans="1:10" x14ac:dyDescent="0.3">
      <c r="A6" s="1"/>
      <c r="B6" s="4" t="s">
        <v>7</v>
      </c>
      <c r="C6" s="4" t="s">
        <v>8</v>
      </c>
      <c r="D6" s="4">
        <v>119</v>
      </c>
      <c r="H6" s="7" t="s">
        <v>26</v>
      </c>
      <c r="I6" s="10">
        <v>43101</v>
      </c>
      <c r="J6" s="7">
        <v>171</v>
      </c>
    </row>
    <row r="7" spans="1:10" x14ac:dyDescent="0.3">
      <c r="A7" s="1"/>
      <c r="B7" s="4" t="s">
        <v>7</v>
      </c>
      <c r="C7" s="4" t="s">
        <v>9</v>
      </c>
      <c r="D7" s="4">
        <v>175</v>
      </c>
      <c r="H7" s="7" t="s">
        <v>27</v>
      </c>
      <c r="I7" s="10">
        <v>43101</v>
      </c>
      <c r="J7" s="7">
        <v>110</v>
      </c>
    </row>
    <row r="8" spans="1:10" x14ac:dyDescent="0.3">
      <c r="A8" s="1"/>
      <c r="B8" s="4" t="s">
        <v>7</v>
      </c>
      <c r="C8" s="4" t="s">
        <v>10</v>
      </c>
      <c r="D8" s="4">
        <v>192</v>
      </c>
      <c r="H8" s="7" t="s">
        <v>28</v>
      </c>
      <c r="I8" s="10">
        <v>43132</v>
      </c>
      <c r="J8" s="7">
        <v>173</v>
      </c>
    </row>
    <row r="9" spans="1:10" x14ac:dyDescent="0.3">
      <c r="A9" s="1"/>
      <c r="B9" s="5" t="s">
        <v>11</v>
      </c>
      <c r="C9" s="5" t="s">
        <v>12</v>
      </c>
      <c r="D9" s="5">
        <v>240</v>
      </c>
      <c r="H9" s="7" t="s">
        <v>29</v>
      </c>
      <c r="I9" s="10">
        <v>43132</v>
      </c>
      <c r="J9" s="7">
        <v>128</v>
      </c>
    </row>
    <row r="10" spans="1:10" x14ac:dyDescent="0.3">
      <c r="A10" s="1"/>
      <c r="B10" s="5" t="s">
        <v>11</v>
      </c>
      <c r="C10" s="5" t="s">
        <v>13</v>
      </c>
      <c r="D10" s="5">
        <v>405</v>
      </c>
      <c r="H10" s="7" t="s">
        <v>30</v>
      </c>
      <c r="I10" s="10">
        <v>43132</v>
      </c>
      <c r="J10" s="7">
        <v>107</v>
      </c>
    </row>
    <row r="11" spans="1:10" x14ac:dyDescent="0.3">
      <c r="A11" s="1"/>
      <c r="B11" s="5" t="s">
        <v>11</v>
      </c>
      <c r="C11" s="5" t="s">
        <v>14</v>
      </c>
      <c r="D11" s="5">
        <v>522</v>
      </c>
      <c r="H11" s="7" t="s">
        <v>31</v>
      </c>
      <c r="I11" s="10">
        <v>43160</v>
      </c>
      <c r="J11" s="7">
        <v>213</v>
      </c>
    </row>
    <row r="12" spans="1:10" x14ac:dyDescent="0.3">
      <c r="A12" s="106"/>
      <c r="B12" s="106"/>
      <c r="C12" s="1"/>
      <c r="D12" s="1"/>
      <c r="H12" s="7" t="s">
        <v>32</v>
      </c>
      <c r="I12" s="10">
        <v>43160</v>
      </c>
      <c r="J12" s="7">
        <v>238</v>
      </c>
    </row>
    <row r="13" spans="1:10" x14ac:dyDescent="0.3">
      <c r="A13" s="1"/>
      <c r="B13" s="6" t="s">
        <v>15</v>
      </c>
      <c r="C13" s="1"/>
      <c r="D13" s="1"/>
      <c r="H13" s="7" t="s">
        <v>33</v>
      </c>
      <c r="I13" s="10">
        <v>43160</v>
      </c>
      <c r="J13" s="7">
        <v>131</v>
      </c>
    </row>
    <row r="14" spans="1:10" ht="15" thickBot="1" x14ac:dyDescent="0.35">
      <c r="A14" s="106"/>
      <c r="B14" s="106"/>
      <c r="C14" s="1"/>
      <c r="D14" s="1"/>
      <c r="H14" s="1"/>
      <c r="I14" s="1"/>
      <c r="J14" s="1"/>
    </row>
    <row r="15" spans="1:10" ht="15" thickBot="1" x14ac:dyDescent="0.35">
      <c r="A15" s="89">
        <v>1</v>
      </c>
      <c r="B15" s="89" t="s">
        <v>16</v>
      </c>
      <c r="C15" s="90"/>
      <c r="D15" s="8"/>
      <c r="E15" s="91"/>
      <c r="F15" s="91"/>
      <c r="G15" s="92">
        <f>AVERAGE(D3:D5)</f>
        <v>58</v>
      </c>
      <c r="H15" s="7" t="s">
        <v>34</v>
      </c>
      <c r="I15" s="1"/>
      <c r="J15" s="1"/>
    </row>
    <row r="16" spans="1:10" ht="15" thickBot="1" x14ac:dyDescent="0.35">
      <c r="A16" s="106"/>
      <c r="B16" s="106"/>
      <c r="C16" s="1"/>
      <c r="D16" s="1"/>
      <c r="H16" s="1"/>
      <c r="I16" s="1"/>
      <c r="J16" s="1"/>
    </row>
    <row r="17" spans="1:13" ht="15" thickBot="1" x14ac:dyDescent="0.35">
      <c r="A17" s="89">
        <v>2</v>
      </c>
      <c r="B17" s="89" t="s">
        <v>17</v>
      </c>
      <c r="C17" s="90"/>
      <c r="D17" s="8"/>
      <c r="E17" s="91"/>
      <c r="F17" s="91"/>
      <c r="G17" s="92">
        <f>AVERAGE(D6:D8)</f>
        <v>162</v>
      </c>
      <c r="H17" s="10">
        <v>43101</v>
      </c>
      <c r="I17" s="93">
        <f>AVERAGE(J5:J7)</f>
        <v>144.33333333333334</v>
      </c>
      <c r="J17" s="7"/>
    </row>
    <row r="18" spans="1:13" ht="15" thickBot="1" x14ac:dyDescent="0.35">
      <c r="A18" s="106"/>
      <c r="B18" s="106"/>
      <c r="C18" s="1"/>
      <c r="D18" s="1"/>
      <c r="H18" s="10">
        <v>43132</v>
      </c>
      <c r="I18" s="93">
        <f>AVERAGE(J8:J10)</f>
        <v>136</v>
      </c>
      <c r="J18" s="7"/>
    </row>
    <row r="19" spans="1:13" ht="15" thickBot="1" x14ac:dyDescent="0.35">
      <c r="A19" s="89">
        <v>3</v>
      </c>
      <c r="B19" s="89" t="s">
        <v>18</v>
      </c>
      <c r="C19" s="90"/>
      <c r="D19" s="8"/>
      <c r="E19" s="91"/>
      <c r="F19" s="91"/>
      <c r="G19" s="92">
        <f>AVERAGE(D9:D11)</f>
        <v>389</v>
      </c>
      <c r="H19" s="10">
        <v>43160</v>
      </c>
      <c r="I19" s="93">
        <f>AVERAGE(J11:J13)</f>
        <v>194</v>
      </c>
      <c r="J19" s="7"/>
    </row>
    <row r="20" spans="1:13" ht="15" thickBot="1" x14ac:dyDescent="0.35">
      <c r="A20" s="106"/>
      <c r="B20" s="106"/>
      <c r="C20" s="1"/>
      <c r="D20" s="1"/>
      <c r="H20" s="1"/>
      <c r="I20" s="1"/>
      <c r="J20" s="1"/>
    </row>
    <row r="21" spans="1:13" ht="15" thickBot="1" x14ac:dyDescent="0.35">
      <c r="A21" s="89">
        <v>4</v>
      </c>
      <c r="B21" s="89" t="s">
        <v>19</v>
      </c>
      <c r="C21" s="90"/>
      <c r="D21" s="9"/>
      <c r="E21" s="91"/>
      <c r="F21" s="91"/>
      <c r="G21" s="92">
        <f>AVERAGE(D3:D11)</f>
        <v>203</v>
      </c>
      <c r="H21" s="1"/>
      <c r="I21" s="1"/>
      <c r="J21" s="1"/>
    </row>
    <row r="22" spans="1:13" x14ac:dyDescent="0.3">
      <c r="H22" s="7" t="s">
        <v>35</v>
      </c>
      <c r="I22" s="1"/>
      <c r="J22" s="1"/>
    </row>
    <row r="23" spans="1:13" x14ac:dyDescent="0.3">
      <c r="H23" s="1"/>
      <c r="I23" s="1"/>
      <c r="J23" s="1"/>
    </row>
    <row r="24" spans="1:13" x14ac:dyDescent="0.3">
      <c r="H24" s="7" t="s">
        <v>36</v>
      </c>
      <c r="I24" s="11"/>
      <c r="J24" s="7"/>
      <c r="M24" s="92">
        <f>SUM(J5:J13)/COUNT(J5:J13)</f>
        <v>158.11111111111111</v>
      </c>
    </row>
    <row r="25" spans="1:13" x14ac:dyDescent="0.3">
      <c r="H25" s="7" t="s">
        <v>37</v>
      </c>
      <c r="I25" s="11"/>
      <c r="J25" s="7"/>
      <c r="M25" s="92">
        <f>AVERAGE(J5:J13)</f>
        <v>158.11111111111111</v>
      </c>
    </row>
    <row r="26" spans="1:13" x14ac:dyDescent="0.3">
      <c r="A26" s="121" t="s">
        <v>752</v>
      </c>
    </row>
    <row r="28" spans="1:13" x14ac:dyDescent="0.3">
      <c r="A28" s="12" t="s">
        <v>38</v>
      </c>
      <c r="B28" s="13"/>
      <c r="C28" s="13"/>
      <c r="D28" s="13"/>
      <c r="E28" s="13"/>
      <c r="F28" s="13"/>
    </row>
    <row r="29" spans="1:13" x14ac:dyDescent="0.3">
      <c r="A29" s="12" t="s">
        <v>39</v>
      </c>
      <c r="B29" s="13"/>
      <c r="C29" s="13"/>
      <c r="D29" s="13"/>
      <c r="E29" s="13"/>
      <c r="F29" s="13"/>
    </row>
    <row r="30" spans="1:13" ht="24" x14ac:dyDescent="0.3">
      <c r="A30" s="14" t="s">
        <v>40</v>
      </c>
      <c r="B30" s="14" t="s">
        <v>41</v>
      </c>
      <c r="C30" s="14" t="s">
        <v>42</v>
      </c>
    </row>
    <row r="31" spans="1:13" ht="36" x14ac:dyDescent="0.3">
      <c r="A31" s="15">
        <v>101</v>
      </c>
      <c r="B31" s="15" t="s">
        <v>43</v>
      </c>
      <c r="C31" s="16">
        <v>78022</v>
      </c>
    </row>
    <row r="32" spans="1:13" ht="24" x14ac:dyDescent="0.3">
      <c r="A32" s="15">
        <v>102</v>
      </c>
      <c r="B32" s="15" t="s">
        <v>44</v>
      </c>
      <c r="C32" s="16">
        <v>99819</v>
      </c>
    </row>
    <row r="33" spans="1:9" ht="24" x14ac:dyDescent="0.3">
      <c r="A33" s="15">
        <v>103</v>
      </c>
      <c r="B33" s="15" t="s">
        <v>45</v>
      </c>
      <c r="C33" s="15" t="s">
        <v>46</v>
      </c>
    </row>
    <row r="34" spans="1:9" x14ac:dyDescent="0.3">
      <c r="A34" s="15">
        <v>104</v>
      </c>
      <c r="B34" s="15" t="s">
        <v>47</v>
      </c>
      <c r="C34" s="16">
        <v>27522</v>
      </c>
      <c r="D34" s="12" t="s">
        <v>58</v>
      </c>
      <c r="E34" s="13"/>
      <c r="F34" s="13"/>
      <c r="G34" s="13"/>
      <c r="H34" s="13"/>
      <c r="I34" s="13"/>
    </row>
    <row r="35" spans="1:9" ht="24.6" thickBot="1" x14ac:dyDescent="0.35">
      <c r="A35" s="15">
        <v>105</v>
      </c>
      <c r="B35" s="15" t="s">
        <v>48</v>
      </c>
      <c r="C35" s="15">
        <v>0</v>
      </c>
      <c r="D35" s="13" t="s">
        <v>59</v>
      </c>
      <c r="E35" s="13" t="s">
        <v>60</v>
      </c>
      <c r="F35" s="13"/>
      <c r="G35" s="13"/>
      <c r="H35" s="13"/>
      <c r="I35" s="13"/>
    </row>
    <row r="36" spans="1:9" ht="24.6" thickBot="1" x14ac:dyDescent="0.35">
      <c r="A36" s="15">
        <v>106</v>
      </c>
      <c r="B36" s="15" t="s">
        <v>49</v>
      </c>
      <c r="C36" s="15"/>
      <c r="D36" s="13" t="s">
        <v>61</v>
      </c>
      <c r="E36" s="18">
        <f>COUNT(C31:C44)</f>
        <v>10</v>
      </c>
      <c r="F36" s="13"/>
      <c r="G36" s="13"/>
      <c r="H36" s="13"/>
      <c r="I36" s="13"/>
    </row>
    <row r="37" spans="1:9" ht="24" x14ac:dyDescent="0.3">
      <c r="A37" s="15">
        <v>107</v>
      </c>
      <c r="B37" s="15" t="s">
        <v>50</v>
      </c>
      <c r="C37" s="15">
        <v>0</v>
      </c>
      <c r="D37" s="13"/>
      <c r="E37" s="13"/>
      <c r="F37" s="13"/>
      <c r="G37" s="13"/>
      <c r="H37" s="13"/>
      <c r="I37" s="13"/>
    </row>
    <row r="38" spans="1:9" ht="24" x14ac:dyDescent="0.3">
      <c r="A38" s="15">
        <v>108</v>
      </c>
      <c r="B38" s="15" t="s">
        <v>51</v>
      </c>
      <c r="C38" s="16">
        <v>88041</v>
      </c>
      <c r="D38" s="13"/>
      <c r="E38" s="13" t="s">
        <v>62</v>
      </c>
      <c r="F38" s="13"/>
      <c r="G38" s="13"/>
      <c r="H38" s="13"/>
      <c r="I38" s="13"/>
    </row>
    <row r="39" spans="1:9" ht="36" x14ac:dyDescent="0.3">
      <c r="A39" s="15">
        <v>109</v>
      </c>
      <c r="B39" s="15" t="s">
        <v>52</v>
      </c>
      <c r="C39" s="16">
        <v>81831</v>
      </c>
      <c r="D39" s="13"/>
      <c r="E39" s="13"/>
      <c r="F39" s="13"/>
      <c r="G39" s="13"/>
      <c r="H39" s="13"/>
      <c r="I39" s="13"/>
    </row>
    <row r="40" spans="1:9" ht="24" x14ac:dyDescent="0.3">
      <c r="A40" s="15">
        <v>110</v>
      </c>
      <c r="B40" s="15" t="s">
        <v>53</v>
      </c>
      <c r="C40" s="15" t="s">
        <v>46</v>
      </c>
      <c r="D40" s="13"/>
      <c r="E40" s="13"/>
      <c r="F40" s="13"/>
      <c r="G40" s="13"/>
      <c r="H40" s="13"/>
      <c r="I40" s="13"/>
    </row>
    <row r="41" spans="1:9" ht="24.6" thickBot="1" x14ac:dyDescent="0.35">
      <c r="A41" s="15">
        <v>111</v>
      </c>
      <c r="B41" s="15" t="s">
        <v>54</v>
      </c>
      <c r="C41" s="17"/>
      <c r="D41" s="13" t="s">
        <v>59</v>
      </c>
      <c r="E41" s="13" t="s">
        <v>63</v>
      </c>
      <c r="F41" s="13"/>
      <c r="G41" s="13"/>
      <c r="H41" s="13"/>
      <c r="I41" s="13"/>
    </row>
    <row r="42" spans="1:9" ht="36.6" thickBot="1" x14ac:dyDescent="0.35">
      <c r="A42" s="15">
        <v>112</v>
      </c>
      <c r="B42" s="15" t="s">
        <v>55</v>
      </c>
      <c r="C42" s="16">
        <v>26624</v>
      </c>
      <c r="D42" s="13" t="s">
        <v>61</v>
      </c>
      <c r="E42" s="18">
        <f>COUNTA(C13:C44)</f>
        <v>13</v>
      </c>
      <c r="F42" s="13"/>
      <c r="G42" s="13"/>
      <c r="H42" s="13"/>
      <c r="I42" s="13"/>
    </row>
    <row r="43" spans="1:9" ht="36" x14ac:dyDescent="0.3">
      <c r="A43" s="15">
        <v>113</v>
      </c>
      <c r="B43" s="15" t="s">
        <v>56</v>
      </c>
      <c r="C43" s="16">
        <v>92885</v>
      </c>
    </row>
    <row r="44" spans="1:9" ht="36" x14ac:dyDescent="0.3">
      <c r="A44" s="15">
        <v>114</v>
      </c>
      <c r="B44" s="15" t="s">
        <v>57</v>
      </c>
      <c r="C44" s="15">
        <v>0</v>
      </c>
    </row>
    <row r="46" spans="1:9" x14ac:dyDescent="0.3">
      <c r="A46" s="122" t="s">
        <v>753</v>
      </c>
      <c r="B46" s="20" t="s">
        <v>64</v>
      </c>
      <c r="C46" s="19"/>
      <c r="D46" s="19"/>
      <c r="E46" s="19"/>
      <c r="F46" s="19"/>
    </row>
    <row r="47" spans="1:9" ht="15" thickBot="1" x14ac:dyDescent="0.35">
      <c r="A47" s="108"/>
      <c r="B47" s="108"/>
      <c r="C47" s="19"/>
      <c r="D47" s="19"/>
      <c r="E47" s="19"/>
      <c r="F47" s="19"/>
    </row>
    <row r="48" spans="1:9" x14ac:dyDescent="0.3">
      <c r="A48" s="19"/>
      <c r="B48" s="21"/>
      <c r="C48" s="19"/>
      <c r="D48" s="19"/>
      <c r="E48" s="19"/>
      <c r="F48" s="19"/>
    </row>
    <row r="49" spans="1:6" x14ac:dyDescent="0.3">
      <c r="A49" s="19"/>
      <c r="B49" s="22" t="s">
        <v>65</v>
      </c>
      <c r="C49" s="19"/>
      <c r="D49" s="19"/>
      <c r="E49" s="19"/>
      <c r="F49" s="19"/>
    </row>
    <row r="50" spans="1:6" x14ac:dyDescent="0.3">
      <c r="A50" s="19"/>
      <c r="B50" s="22">
        <v>4</v>
      </c>
      <c r="C50" s="19"/>
      <c r="D50" s="19"/>
      <c r="E50" s="19"/>
      <c r="F50" s="19"/>
    </row>
    <row r="51" spans="1:6" x14ac:dyDescent="0.3">
      <c r="A51" s="19"/>
      <c r="B51" s="22"/>
      <c r="C51" s="19"/>
      <c r="D51" s="19"/>
      <c r="E51" s="19"/>
      <c r="F51" s="19"/>
    </row>
    <row r="52" spans="1:6" x14ac:dyDescent="0.3">
      <c r="A52" s="19"/>
      <c r="B52" s="22">
        <v>3</v>
      </c>
      <c r="C52" s="19"/>
      <c r="D52" s="19"/>
      <c r="E52" s="19"/>
      <c r="F52" s="19"/>
    </row>
    <row r="53" spans="1:6" x14ac:dyDescent="0.3">
      <c r="A53" s="19"/>
      <c r="B53" s="22"/>
      <c r="C53" s="19"/>
      <c r="D53" s="19"/>
      <c r="E53" s="19"/>
      <c r="F53" s="19"/>
    </row>
    <row r="54" spans="1:6" x14ac:dyDescent="0.3">
      <c r="A54" s="19"/>
      <c r="B54" s="22" t="s">
        <v>66</v>
      </c>
      <c r="C54" s="19"/>
      <c r="D54" s="19"/>
      <c r="E54" s="19"/>
      <c r="F54" s="19"/>
    </row>
    <row r="55" spans="1:6" x14ac:dyDescent="0.3">
      <c r="A55" s="19"/>
      <c r="B55" s="22"/>
      <c r="C55" s="19"/>
      <c r="D55" s="19"/>
      <c r="E55" s="19"/>
      <c r="F55" s="19"/>
    </row>
    <row r="56" spans="1:6" x14ac:dyDescent="0.3">
      <c r="A56" s="19"/>
      <c r="B56" s="22" t="e">
        <v>#DIV/0!</v>
      </c>
      <c r="C56" s="19"/>
      <c r="D56" s="19"/>
      <c r="E56" s="19"/>
      <c r="F56" s="19"/>
    </row>
    <row r="57" spans="1:6" x14ac:dyDescent="0.3">
      <c r="A57" s="19"/>
      <c r="B57" s="22" t="s">
        <v>67</v>
      </c>
      <c r="C57" s="19"/>
      <c r="D57" s="19"/>
      <c r="E57" s="19"/>
      <c r="F57" s="19"/>
    </row>
    <row r="58" spans="1:6" ht="15" thickBot="1" x14ac:dyDescent="0.35">
      <c r="A58" s="19"/>
      <c r="B58" s="23" t="s">
        <v>68</v>
      </c>
      <c r="C58" s="19"/>
      <c r="D58" s="19"/>
      <c r="E58" s="19"/>
      <c r="F58" s="19"/>
    </row>
    <row r="59" spans="1:6" x14ac:dyDescent="0.3">
      <c r="A59" s="108"/>
      <c r="B59" s="108"/>
      <c r="C59" s="19"/>
      <c r="D59" s="19"/>
      <c r="E59" s="19"/>
      <c r="F59" s="19"/>
    </row>
    <row r="60" spans="1:6" x14ac:dyDescent="0.3">
      <c r="A60" s="19"/>
      <c r="B60" s="20" t="s">
        <v>69</v>
      </c>
      <c r="C60" s="19"/>
      <c r="D60" s="19"/>
      <c r="E60" s="19"/>
      <c r="F60" s="19"/>
    </row>
    <row r="61" spans="1:6" x14ac:dyDescent="0.3">
      <c r="A61" s="108"/>
      <c r="B61" s="108"/>
      <c r="C61" s="19"/>
      <c r="D61" s="19"/>
      <c r="E61" s="19"/>
      <c r="F61" s="19"/>
    </row>
    <row r="62" spans="1:6" x14ac:dyDescent="0.3">
      <c r="A62" s="20">
        <v>1</v>
      </c>
      <c r="B62" s="20" t="s">
        <v>70</v>
      </c>
      <c r="C62" s="19"/>
      <c r="D62" s="19"/>
      <c r="E62" s="19"/>
      <c r="F62" s="19"/>
    </row>
    <row r="63" spans="1:6" x14ac:dyDescent="0.3">
      <c r="A63" s="108"/>
      <c r="B63" s="108"/>
      <c r="C63" s="94">
        <f>COUNT(B49:B58)</f>
        <v>2</v>
      </c>
      <c r="D63" s="19"/>
      <c r="E63" s="19"/>
      <c r="F63" s="19"/>
    </row>
    <row r="64" spans="1:6" x14ac:dyDescent="0.3">
      <c r="A64" s="108"/>
      <c r="B64" s="108"/>
      <c r="C64" s="19"/>
      <c r="D64" s="19"/>
      <c r="E64" s="19"/>
      <c r="F64" s="19"/>
    </row>
    <row r="65" spans="1:6" x14ac:dyDescent="0.3">
      <c r="A65" s="20">
        <v>2</v>
      </c>
      <c r="B65" s="20" t="s">
        <v>71</v>
      </c>
      <c r="C65" s="19"/>
      <c r="D65" s="19"/>
      <c r="E65" s="19"/>
      <c r="F65" s="19"/>
    </row>
    <row r="66" spans="1:6" x14ac:dyDescent="0.3">
      <c r="A66" s="108"/>
      <c r="B66" s="108"/>
      <c r="C66" s="94">
        <f>COUNTBLANK(B48:B58)</f>
        <v>4</v>
      </c>
      <c r="D66" s="19"/>
      <c r="E66" s="19"/>
      <c r="F66" s="19"/>
    </row>
    <row r="67" spans="1:6" x14ac:dyDescent="0.3">
      <c r="A67" s="108"/>
      <c r="B67" s="108"/>
      <c r="C67" s="19"/>
      <c r="D67" s="19"/>
      <c r="E67" s="19"/>
      <c r="F67" s="19"/>
    </row>
    <row r="68" spans="1:6" x14ac:dyDescent="0.3">
      <c r="A68" s="20">
        <v>3</v>
      </c>
      <c r="B68" s="20" t="s">
        <v>72</v>
      </c>
      <c r="C68" s="19"/>
      <c r="D68" s="19"/>
      <c r="E68" s="19"/>
      <c r="F68" s="19"/>
    </row>
    <row r="69" spans="1:6" x14ac:dyDescent="0.3">
      <c r="A69" s="108"/>
      <c r="B69" s="108"/>
      <c r="C69" s="94">
        <f>COUNTA(B48:B58)-COUNT(B48:B58)</f>
        <v>5</v>
      </c>
      <c r="D69" s="19"/>
      <c r="E69" s="19"/>
      <c r="F69" s="19"/>
    </row>
    <row r="70" spans="1:6" x14ac:dyDescent="0.3">
      <c r="A70" s="108"/>
      <c r="B70" s="108"/>
      <c r="C70" s="19"/>
      <c r="D70" s="19"/>
      <c r="E70" s="19"/>
      <c r="F70" s="19"/>
    </row>
    <row r="71" spans="1:6" x14ac:dyDescent="0.3">
      <c r="A71" s="20">
        <v>4</v>
      </c>
      <c r="B71" s="20" t="s">
        <v>73</v>
      </c>
      <c r="C71" s="19"/>
      <c r="D71" s="19"/>
      <c r="E71" s="19"/>
      <c r="F71" s="19"/>
    </row>
    <row r="72" spans="1:6" x14ac:dyDescent="0.3">
      <c r="C72" s="92">
        <f>ROWS(B48:B58)</f>
        <v>11</v>
      </c>
    </row>
    <row r="73" spans="1:6" x14ac:dyDescent="0.3">
      <c r="A73" s="121" t="s">
        <v>754</v>
      </c>
    </row>
    <row r="74" spans="1:6" x14ac:dyDescent="0.3">
      <c r="A74" s="28" t="s">
        <v>99</v>
      </c>
      <c r="B74" s="7"/>
      <c r="C74" s="7"/>
      <c r="D74" s="7"/>
      <c r="E74" s="7"/>
    </row>
    <row r="75" spans="1:6" x14ac:dyDescent="0.3">
      <c r="A75" s="7" t="s">
        <v>100</v>
      </c>
      <c r="B75" s="7"/>
      <c r="C75" s="7"/>
      <c r="D75" s="7"/>
      <c r="E75" s="7"/>
    </row>
    <row r="76" spans="1:6" x14ac:dyDescent="0.3">
      <c r="A76" s="7" t="s">
        <v>101</v>
      </c>
      <c r="B76" s="7"/>
      <c r="C76" s="7"/>
      <c r="D76" s="7"/>
      <c r="E76" s="7"/>
    </row>
    <row r="77" spans="1:6" x14ac:dyDescent="0.3">
      <c r="A77" s="7" t="s">
        <v>102</v>
      </c>
      <c r="B77" s="7"/>
      <c r="C77" s="7"/>
      <c r="D77" s="7"/>
      <c r="E77" s="7"/>
    </row>
    <row r="78" spans="1:6" x14ac:dyDescent="0.3">
      <c r="A78" s="7"/>
      <c r="B78" s="7"/>
      <c r="C78" s="7"/>
      <c r="D78" s="7"/>
      <c r="E78" s="7"/>
    </row>
    <row r="79" spans="1:6" x14ac:dyDescent="0.3">
      <c r="A79" s="29" t="s">
        <v>1</v>
      </c>
      <c r="B79" s="29" t="s">
        <v>103</v>
      </c>
      <c r="C79" s="29" t="s">
        <v>104</v>
      </c>
      <c r="D79" s="7"/>
      <c r="E79" s="7"/>
    </row>
    <row r="80" spans="1:6" x14ac:dyDescent="0.3">
      <c r="A80" s="2" t="s">
        <v>105</v>
      </c>
      <c r="B80" s="2">
        <v>98</v>
      </c>
      <c r="C80" s="30" t="str">
        <f>IF(B80&gt;=60,"PASS","FAIL")</f>
        <v>PASS</v>
      </c>
      <c r="D80" s="7"/>
      <c r="E80" s="7"/>
    </row>
    <row r="81" spans="1:8" x14ac:dyDescent="0.3">
      <c r="A81" s="2" t="s">
        <v>106</v>
      </c>
      <c r="B81" s="2">
        <v>55</v>
      </c>
      <c r="C81" s="30" t="str">
        <f t="shared" ref="C81:C83" si="0">IF(B81&gt;=60,"PASS","FAIL")</f>
        <v>FAIL</v>
      </c>
      <c r="D81" s="7"/>
      <c r="E81" s="7"/>
    </row>
    <row r="82" spans="1:8" x14ac:dyDescent="0.3">
      <c r="A82" s="2" t="s">
        <v>107</v>
      </c>
      <c r="B82" s="2">
        <v>15</v>
      </c>
      <c r="C82" s="30" t="str">
        <f t="shared" si="0"/>
        <v>FAIL</v>
      </c>
      <c r="D82" s="7"/>
      <c r="E82" s="7"/>
    </row>
    <row r="83" spans="1:8" x14ac:dyDescent="0.3">
      <c r="A83" s="2" t="s">
        <v>108</v>
      </c>
      <c r="B83" s="2">
        <v>60</v>
      </c>
      <c r="C83" s="30" t="str">
        <f t="shared" si="0"/>
        <v>PASS</v>
      </c>
      <c r="D83" s="7"/>
      <c r="E83" s="7"/>
    </row>
    <row r="85" spans="1:8" x14ac:dyDescent="0.3">
      <c r="A85" s="6" t="s">
        <v>755</v>
      </c>
      <c r="B85" s="7" t="s">
        <v>119</v>
      </c>
      <c r="C85" s="1"/>
      <c r="D85" s="1"/>
      <c r="E85" s="1"/>
      <c r="F85" s="1"/>
      <c r="G85" s="1"/>
      <c r="H85" s="1"/>
    </row>
    <row r="86" spans="1:8" x14ac:dyDescent="0.3">
      <c r="A86" s="33">
        <v>1</v>
      </c>
      <c r="B86" s="34" t="s">
        <v>120</v>
      </c>
      <c r="C86" s="1"/>
      <c r="D86" s="1"/>
      <c r="E86" s="1"/>
      <c r="F86" s="1"/>
      <c r="G86" s="1"/>
      <c r="H86" s="1"/>
    </row>
    <row r="87" spans="1:8" x14ac:dyDescent="0.3">
      <c r="A87" s="107"/>
      <c r="B87" s="107"/>
      <c r="C87" s="1"/>
      <c r="D87" s="1"/>
      <c r="E87" s="1"/>
      <c r="F87" s="1"/>
      <c r="G87" s="1"/>
      <c r="H87" s="1"/>
    </row>
    <row r="88" spans="1:8" x14ac:dyDescent="0.3">
      <c r="A88" s="33">
        <v>2</v>
      </c>
      <c r="B88" s="34" t="s">
        <v>121</v>
      </c>
      <c r="C88" s="1"/>
      <c r="D88" s="1"/>
      <c r="E88" s="1"/>
      <c r="F88" s="1"/>
      <c r="G88" s="1"/>
      <c r="H88" s="1"/>
    </row>
    <row r="89" spans="1:8" x14ac:dyDescent="0.3">
      <c r="A89" s="107"/>
      <c r="B89" s="107"/>
      <c r="C89" s="1"/>
      <c r="D89" s="1"/>
      <c r="E89" s="1"/>
      <c r="F89" s="1"/>
      <c r="G89" s="1"/>
      <c r="H89" s="1"/>
    </row>
    <row r="90" spans="1:8" x14ac:dyDescent="0.3">
      <c r="A90" s="107"/>
      <c r="B90" s="107"/>
      <c r="C90" s="1"/>
      <c r="D90" s="1"/>
      <c r="E90" s="1"/>
      <c r="F90" s="1"/>
      <c r="G90" s="1"/>
      <c r="H90" s="1"/>
    </row>
    <row r="91" spans="1:8" x14ac:dyDescent="0.3">
      <c r="A91" s="106"/>
      <c r="B91" s="106"/>
      <c r="C91" s="1"/>
      <c r="D91" s="1"/>
      <c r="E91" s="2" t="s">
        <v>122</v>
      </c>
      <c r="F91" s="2" t="s">
        <v>123</v>
      </c>
      <c r="G91" s="1"/>
      <c r="H91" s="1"/>
    </row>
    <row r="92" spans="1:8" x14ac:dyDescent="0.3">
      <c r="A92" s="1"/>
      <c r="B92" s="35" t="s">
        <v>124</v>
      </c>
      <c r="C92" s="35" t="s">
        <v>1</v>
      </c>
      <c r="D92" s="36" t="s">
        <v>125</v>
      </c>
      <c r="E92" s="35" t="s">
        <v>126</v>
      </c>
      <c r="F92" s="35" t="s">
        <v>127</v>
      </c>
      <c r="G92" s="1"/>
      <c r="H92" s="7"/>
    </row>
    <row r="93" spans="1:8" x14ac:dyDescent="0.3">
      <c r="A93" s="1"/>
      <c r="B93" s="2">
        <v>1</v>
      </c>
      <c r="C93" s="2" t="s">
        <v>128</v>
      </c>
      <c r="D93" s="37">
        <v>16</v>
      </c>
      <c r="E93" s="96" t="str">
        <f>IF(D93&gt;=16,"ELIGIBLE ","NOT ELIGIBLE")</f>
        <v xml:space="preserve">ELIGIBLE </v>
      </c>
      <c r="F93" s="96" t="str">
        <f>IF(D93&gt;=18,"ADULT","MINOR")</f>
        <v>MINOR</v>
      </c>
      <c r="G93" s="1"/>
      <c r="H93" s="7"/>
    </row>
    <row r="94" spans="1:8" x14ac:dyDescent="0.3">
      <c r="A94" s="1"/>
      <c r="B94" s="2">
        <v>2</v>
      </c>
      <c r="C94" s="2" t="s">
        <v>129</v>
      </c>
      <c r="D94" s="37">
        <v>18</v>
      </c>
      <c r="E94" s="96" t="str">
        <f t="shared" ref="E94:E100" si="1">IF(D94&gt;=16,"ELIGIBLE ","NOT ELIGIBLE")</f>
        <v xml:space="preserve">ELIGIBLE </v>
      </c>
      <c r="F94" s="96" t="str">
        <f t="shared" ref="F94:F100" si="2">IF(D94&gt;=18,"ADULT","MINOR")</f>
        <v>ADULT</v>
      </c>
      <c r="G94" s="1"/>
      <c r="H94" s="7"/>
    </row>
    <row r="95" spans="1:8" x14ac:dyDescent="0.3">
      <c r="A95" s="1"/>
      <c r="B95" s="2">
        <v>3</v>
      </c>
      <c r="C95" s="2" t="s">
        <v>130</v>
      </c>
      <c r="D95" s="37">
        <v>15.5</v>
      </c>
      <c r="E95" s="96" t="str">
        <f t="shared" si="1"/>
        <v>NOT ELIGIBLE</v>
      </c>
      <c r="F95" s="96" t="str">
        <f t="shared" si="2"/>
        <v>MINOR</v>
      </c>
      <c r="G95" s="1"/>
      <c r="H95" s="7"/>
    </row>
    <row r="96" spans="1:8" x14ac:dyDescent="0.3">
      <c r="A96" s="1"/>
      <c r="B96" s="2">
        <v>4</v>
      </c>
      <c r="C96" s="2" t="s">
        <v>131</v>
      </c>
      <c r="D96" s="37">
        <v>19</v>
      </c>
      <c r="E96" s="96" t="str">
        <f t="shared" si="1"/>
        <v xml:space="preserve">ELIGIBLE </v>
      </c>
      <c r="F96" s="96" t="str">
        <f t="shared" si="2"/>
        <v>ADULT</v>
      </c>
      <c r="G96" s="1"/>
      <c r="H96" s="7"/>
    </row>
    <row r="97" spans="1:8" x14ac:dyDescent="0.3">
      <c r="A97" s="1"/>
      <c r="B97" s="2">
        <v>5</v>
      </c>
      <c r="C97" s="2" t="s">
        <v>132</v>
      </c>
      <c r="D97" s="37">
        <v>18</v>
      </c>
      <c r="E97" s="96" t="str">
        <f t="shared" si="1"/>
        <v xml:space="preserve">ELIGIBLE </v>
      </c>
      <c r="F97" s="96" t="str">
        <f t="shared" si="2"/>
        <v>ADULT</v>
      </c>
      <c r="G97" s="1"/>
      <c r="H97" s="7"/>
    </row>
    <row r="98" spans="1:8" x14ac:dyDescent="0.3">
      <c r="A98" s="1"/>
      <c r="B98" s="2">
        <v>6</v>
      </c>
      <c r="C98" s="2" t="s">
        <v>133</v>
      </c>
      <c r="D98" s="37">
        <v>13</v>
      </c>
      <c r="E98" s="96" t="str">
        <f t="shared" si="1"/>
        <v>NOT ELIGIBLE</v>
      </c>
      <c r="F98" s="96" t="str">
        <f t="shared" si="2"/>
        <v>MINOR</v>
      </c>
      <c r="G98" s="1"/>
      <c r="H98" s="7"/>
    </row>
    <row r="99" spans="1:8" x14ac:dyDescent="0.3">
      <c r="A99" s="1"/>
      <c r="B99" s="2">
        <v>7</v>
      </c>
      <c r="C99" s="2" t="s">
        <v>134</v>
      </c>
      <c r="D99" s="37">
        <v>18</v>
      </c>
      <c r="E99" s="96" t="str">
        <f t="shared" si="1"/>
        <v xml:space="preserve">ELIGIBLE </v>
      </c>
      <c r="F99" s="96" t="str">
        <f t="shared" si="2"/>
        <v>ADULT</v>
      </c>
      <c r="G99" s="1"/>
      <c r="H99" s="7"/>
    </row>
    <row r="100" spans="1:8" x14ac:dyDescent="0.3">
      <c r="A100" s="1"/>
      <c r="B100" s="2">
        <v>8</v>
      </c>
      <c r="C100" s="2" t="s">
        <v>135</v>
      </c>
      <c r="D100" s="37">
        <v>17</v>
      </c>
      <c r="E100" s="96" t="str">
        <f t="shared" si="1"/>
        <v xml:space="preserve">ELIGIBLE </v>
      </c>
      <c r="F100" s="96" t="str">
        <f t="shared" si="2"/>
        <v>MINOR</v>
      </c>
      <c r="G100" s="1"/>
      <c r="H100" s="7"/>
    </row>
    <row r="101" spans="1:8" x14ac:dyDescent="0.3">
      <c r="A101" s="114" t="s">
        <v>756</v>
      </c>
      <c r="B101" s="114"/>
      <c r="C101" s="1"/>
      <c r="D101" s="1"/>
      <c r="E101" s="1"/>
      <c r="F101" s="1"/>
      <c r="G101" s="1"/>
      <c r="H101" s="1"/>
    </row>
    <row r="102" spans="1:8" x14ac:dyDescent="0.3">
      <c r="A102" s="28" t="s">
        <v>109</v>
      </c>
      <c r="B102" s="1"/>
      <c r="C102" s="1"/>
      <c r="D102" s="1"/>
      <c r="E102" s="1"/>
    </row>
    <row r="103" spans="1:8" x14ac:dyDescent="0.3">
      <c r="A103" s="31" t="s">
        <v>110</v>
      </c>
      <c r="B103" s="1"/>
      <c r="C103" s="1"/>
      <c r="D103" s="1"/>
      <c r="E103" s="1"/>
    </row>
    <row r="104" spans="1:8" x14ac:dyDescent="0.3">
      <c r="A104" s="28" t="s">
        <v>111</v>
      </c>
      <c r="B104" s="1"/>
      <c r="C104" s="1"/>
      <c r="D104" s="1"/>
      <c r="E104" s="1"/>
    </row>
    <row r="105" spans="1:8" x14ac:dyDescent="0.3">
      <c r="A105" s="32"/>
      <c r="B105" s="1"/>
      <c r="C105" s="1"/>
      <c r="D105" s="1"/>
      <c r="E105" s="1"/>
    </row>
    <row r="106" spans="1:8" x14ac:dyDescent="0.3">
      <c r="A106" s="1"/>
      <c r="B106" s="7" t="s">
        <v>4</v>
      </c>
      <c r="C106" s="7" t="s">
        <v>5</v>
      </c>
      <c r="D106" s="1"/>
      <c r="E106" s="1"/>
    </row>
    <row r="107" spans="1:8" x14ac:dyDescent="0.3">
      <c r="A107" s="2"/>
      <c r="B107" s="2" t="s">
        <v>112</v>
      </c>
      <c r="C107" s="2" t="s">
        <v>113</v>
      </c>
      <c r="D107" s="29" t="s">
        <v>114</v>
      </c>
      <c r="E107" s="1"/>
    </row>
    <row r="108" spans="1:8" x14ac:dyDescent="0.3">
      <c r="A108" s="2" t="s">
        <v>115</v>
      </c>
      <c r="B108" s="2">
        <v>94</v>
      </c>
      <c r="C108" s="2">
        <v>94</v>
      </c>
      <c r="D108" s="96" t="str">
        <f>IF(B108 = C108,"BB MATCH","NO MATCH")</f>
        <v>BB MATCH</v>
      </c>
      <c r="E108" s="7"/>
    </row>
    <row r="109" spans="1:8" x14ac:dyDescent="0.3">
      <c r="A109" s="2" t="s">
        <v>116</v>
      </c>
      <c r="B109" s="2">
        <v>109</v>
      </c>
      <c r="C109" s="2">
        <v>109</v>
      </c>
      <c r="D109" s="96" t="str">
        <f t="shared" ref="D109:D111" si="3">IF(B109=C109,"MATCH","NO MATCH")</f>
        <v>MATCH</v>
      </c>
      <c r="E109" s="7"/>
    </row>
    <row r="110" spans="1:8" x14ac:dyDescent="0.3">
      <c r="A110" s="2" t="s">
        <v>117</v>
      </c>
      <c r="B110" s="2">
        <v>85</v>
      </c>
      <c r="C110" s="2">
        <v>85.5</v>
      </c>
      <c r="D110" s="96" t="str">
        <f t="shared" si="3"/>
        <v>NO MATCH</v>
      </c>
      <c r="E110" s="7"/>
    </row>
    <row r="111" spans="1:8" x14ac:dyDescent="0.3">
      <c r="A111" s="2" t="s">
        <v>118</v>
      </c>
      <c r="B111" s="2">
        <v>12</v>
      </c>
      <c r="C111" s="2">
        <v>12</v>
      </c>
      <c r="D111" s="96" t="str">
        <f t="shared" si="3"/>
        <v>MATCH</v>
      </c>
      <c r="E111" s="7"/>
    </row>
    <row r="112" spans="1:8" x14ac:dyDescent="0.3">
      <c r="D112" s="96"/>
    </row>
    <row r="113" spans="1:17" x14ac:dyDescent="0.3">
      <c r="A113" s="123" t="s">
        <v>757</v>
      </c>
      <c r="B113" s="108"/>
      <c r="C113" s="19"/>
      <c r="D113" s="19"/>
      <c r="E113" s="19"/>
      <c r="F113" s="19"/>
    </row>
    <row r="114" spans="1:17" x14ac:dyDescent="0.3">
      <c r="A114" s="6" t="s">
        <v>136</v>
      </c>
      <c r="B114" s="7"/>
      <c r="C114" s="7"/>
      <c r="D114" s="7"/>
      <c r="E114" s="7"/>
      <c r="F114" s="7"/>
      <c r="G114" s="7"/>
    </row>
    <row r="115" spans="1:17" x14ac:dyDescent="0.3">
      <c r="A115" s="7" t="s">
        <v>137</v>
      </c>
      <c r="B115" s="7"/>
      <c r="C115" s="7"/>
      <c r="D115" s="7"/>
      <c r="E115" s="7"/>
      <c r="F115" s="7"/>
      <c r="G115" s="7"/>
    </row>
    <row r="116" spans="1:17" x14ac:dyDescent="0.3">
      <c r="A116" s="7" t="s">
        <v>138</v>
      </c>
      <c r="B116" s="7" t="s">
        <v>139</v>
      </c>
      <c r="C116" s="7"/>
      <c r="D116" s="7"/>
      <c r="E116" s="7"/>
      <c r="F116" s="7"/>
      <c r="G116" s="7"/>
      <c r="J116" s="1"/>
      <c r="K116" s="7"/>
      <c r="L116" s="1"/>
      <c r="M116" s="1"/>
      <c r="N116" s="1"/>
      <c r="O116" s="1"/>
      <c r="P116" s="1"/>
      <c r="Q116" s="1"/>
    </row>
    <row r="117" spans="1:17" x14ac:dyDescent="0.3">
      <c r="A117" s="7" t="s">
        <v>140</v>
      </c>
      <c r="B117" s="7" t="s">
        <v>141</v>
      </c>
      <c r="C117" s="7"/>
      <c r="D117" s="7"/>
      <c r="E117" s="7"/>
      <c r="F117" s="7"/>
      <c r="G117" s="7"/>
      <c r="J117" s="33"/>
      <c r="K117" s="34"/>
      <c r="L117" s="1"/>
      <c r="M117" s="1"/>
      <c r="N117" s="1"/>
      <c r="O117" s="1"/>
      <c r="P117" s="1"/>
      <c r="Q117" s="1"/>
    </row>
    <row r="118" spans="1:17" x14ac:dyDescent="0.3">
      <c r="A118" s="7" t="s">
        <v>142</v>
      </c>
      <c r="B118" s="7" t="s">
        <v>143</v>
      </c>
      <c r="C118" s="7"/>
      <c r="D118" s="7"/>
      <c r="E118" s="7"/>
      <c r="F118" s="7"/>
      <c r="G118" s="7"/>
      <c r="J118" s="107"/>
      <c r="K118" s="107"/>
      <c r="L118" s="1"/>
      <c r="M118" s="1"/>
      <c r="N118" s="1"/>
      <c r="O118" s="1"/>
      <c r="P118" s="1"/>
      <c r="Q118" s="1"/>
    </row>
    <row r="119" spans="1:17" x14ac:dyDescent="0.3">
      <c r="A119" s="7" t="s">
        <v>144</v>
      </c>
      <c r="B119" s="7" t="s">
        <v>145</v>
      </c>
      <c r="C119" s="7"/>
      <c r="D119" s="7"/>
      <c r="E119" s="7"/>
      <c r="F119" s="7"/>
      <c r="G119" s="7"/>
      <c r="J119" s="33"/>
      <c r="K119" s="34"/>
      <c r="L119" s="1"/>
      <c r="M119" s="1"/>
      <c r="N119" s="1"/>
      <c r="O119" s="1"/>
      <c r="P119" s="1"/>
      <c r="Q119" s="1"/>
    </row>
    <row r="120" spans="1:17" x14ac:dyDescent="0.3">
      <c r="A120" s="7" t="s">
        <v>146</v>
      </c>
      <c r="B120" s="7" t="s">
        <v>147</v>
      </c>
      <c r="C120" s="7"/>
      <c r="D120" s="7"/>
      <c r="E120" s="7"/>
      <c r="F120" s="7"/>
      <c r="G120" s="7"/>
      <c r="J120" s="107"/>
      <c r="K120" s="107"/>
      <c r="L120" s="1"/>
      <c r="M120" s="1"/>
      <c r="N120" s="1"/>
      <c r="O120" s="1"/>
      <c r="P120" s="1"/>
      <c r="Q120" s="1"/>
    </row>
    <row r="121" spans="1:17" x14ac:dyDescent="0.3">
      <c r="A121" s="7" t="s">
        <v>148</v>
      </c>
      <c r="B121" s="7" t="s">
        <v>149</v>
      </c>
      <c r="C121" s="7"/>
      <c r="D121" s="7"/>
      <c r="E121" s="7"/>
      <c r="F121" s="7"/>
      <c r="G121" s="7"/>
      <c r="I121" s="1"/>
      <c r="J121" s="1"/>
      <c r="K121" s="1"/>
      <c r="L121" s="1"/>
      <c r="M121" s="1"/>
      <c r="N121" s="1"/>
    </row>
    <row r="122" spans="1:17" x14ac:dyDescent="0.3">
      <c r="A122" s="7"/>
      <c r="B122" s="7"/>
      <c r="C122" s="7"/>
      <c r="D122" s="7"/>
      <c r="E122" s="7"/>
      <c r="F122" s="7"/>
      <c r="G122" s="7"/>
    </row>
    <row r="123" spans="1:17" x14ac:dyDescent="0.3">
      <c r="A123" s="32" t="s">
        <v>150</v>
      </c>
      <c r="B123" s="7"/>
      <c r="C123" s="7"/>
      <c r="D123" s="7"/>
      <c r="E123" s="7"/>
      <c r="F123" s="7"/>
      <c r="G123" s="7"/>
    </row>
    <row r="124" spans="1:17" x14ac:dyDescent="0.3">
      <c r="A124" s="7">
        <v>2</v>
      </c>
      <c r="B124" s="7" t="s">
        <v>151</v>
      </c>
      <c r="C124" s="7">
        <v>3</v>
      </c>
      <c r="D124" s="93">
        <f>A124+C124</f>
        <v>5</v>
      </c>
      <c r="E124" s="7"/>
      <c r="F124" s="7"/>
      <c r="G124" s="7"/>
    </row>
    <row r="125" spans="1:17" x14ac:dyDescent="0.3">
      <c r="A125" s="7">
        <v>3</v>
      </c>
      <c r="B125" s="7" t="s">
        <v>152</v>
      </c>
      <c r="C125" s="7">
        <v>1</v>
      </c>
      <c r="D125" s="93">
        <f>A125-C125</f>
        <v>2</v>
      </c>
      <c r="E125" s="7"/>
      <c r="F125" s="7"/>
      <c r="G125" s="7"/>
    </row>
    <row r="126" spans="1:17" x14ac:dyDescent="0.3">
      <c r="A126" s="7">
        <v>5</v>
      </c>
      <c r="B126" s="7" t="s">
        <v>153</v>
      </c>
      <c r="C126" s="7">
        <v>10</v>
      </c>
      <c r="D126" s="93">
        <f>A126*C126</f>
        <v>50</v>
      </c>
      <c r="E126" s="7"/>
      <c r="F126" s="7"/>
      <c r="G126" s="7"/>
      <c r="J126" s="1"/>
      <c r="K126" s="7"/>
    </row>
    <row r="127" spans="1:17" x14ac:dyDescent="0.3">
      <c r="A127" s="7">
        <v>10</v>
      </c>
      <c r="B127" s="7" t="s">
        <v>154</v>
      </c>
      <c r="C127" s="7">
        <v>2</v>
      </c>
      <c r="D127" s="93">
        <f>A127/C127</f>
        <v>5</v>
      </c>
      <c r="E127" s="7"/>
      <c r="F127" s="7"/>
      <c r="G127" s="7"/>
      <c r="J127" s="1"/>
      <c r="K127" s="7"/>
    </row>
    <row r="128" spans="1:17" x14ac:dyDescent="0.3">
      <c r="A128" s="7"/>
      <c r="B128" s="7"/>
      <c r="C128" s="7"/>
      <c r="D128" s="7"/>
      <c r="E128" s="7"/>
      <c r="F128" s="7"/>
      <c r="G128" s="7"/>
      <c r="J128" s="1"/>
      <c r="K128" s="7"/>
    </row>
    <row r="129" spans="1:9" x14ac:dyDescent="0.3">
      <c r="A129" s="7"/>
      <c r="B129" s="7"/>
      <c r="C129" s="7"/>
      <c r="D129" s="7"/>
      <c r="E129" s="7"/>
      <c r="F129" s="7"/>
      <c r="G129" s="7"/>
    </row>
    <row r="130" spans="1:9" x14ac:dyDescent="0.3">
      <c r="A130" s="32" t="s">
        <v>155</v>
      </c>
      <c r="B130" s="7"/>
      <c r="C130" s="7"/>
      <c r="D130" s="7"/>
      <c r="E130" s="7"/>
      <c r="F130" s="7"/>
      <c r="G130" s="7"/>
    </row>
    <row r="131" spans="1:9" x14ac:dyDescent="0.3">
      <c r="A131" s="6">
        <v>10</v>
      </c>
      <c r="B131" s="7" t="s">
        <v>156</v>
      </c>
      <c r="C131" s="7">
        <v>100</v>
      </c>
      <c r="D131" s="93">
        <f>A131/C131*100</f>
        <v>10</v>
      </c>
      <c r="E131" s="7"/>
      <c r="F131" s="7"/>
      <c r="G131" s="7"/>
    </row>
    <row r="132" spans="1:9" x14ac:dyDescent="0.3">
      <c r="A132" s="6">
        <v>3</v>
      </c>
      <c r="B132" s="7" t="s">
        <v>156</v>
      </c>
      <c r="C132" s="7">
        <v>6</v>
      </c>
      <c r="D132" s="93">
        <f t="shared" ref="D132:D133" si="4">A132/C132*100</f>
        <v>50</v>
      </c>
      <c r="E132" s="7"/>
      <c r="F132" s="7"/>
      <c r="G132" s="7"/>
      <c r="I132" s="1"/>
    </row>
    <row r="133" spans="1:9" x14ac:dyDescent="0.3">
      <c r="A133" s="6">
        <v>1.5</v>
      </c>
      <c r="B133" s="7" t="s">
        <v>156</v>
      </c>
      <c r="C133" s="7">
        <v>1</v>
      </c>
      <c r="D133" s="93">
        <f t="shared" si="4"/>
        <v>150</v>
      </c>
      <c r="E133" s="7"/>
      <c r="F133" s="7"/>
      <c r="G133" s="7"/>
    </row>
    <row r="134" spans="1:9" x14ac:dyDescent="0.3">
      <c r="A134" s="7"/>
      <c r="B134" s="7"/>
      <c r="C134" s="7"/>
      <c r="D134" s="7"/>
      <c r="E134" s="7"/>
      <c r="F134" s="7"/>
      <c r="G134" s="7"/>
    </row>
    <row r="135" spans="1:9" x14ac:dyDescent="0.3">
      <c r="A135" s="32" t="s">
        <v>157</v>
      </c>
      <c r="B135" s="7"/>
      <c r="C135" s="7"/>
      <c r="D135" s="7"/>
      <c r="E135" s="7"/>
      <c r="F135" s="7"/>
      <c r="G135" s="7"/>
    </row>
    <row r="136" spans="1:9" x14ac:dyDescent="0.3">
      <c r="A136" s="6" t="s">
        <v>158</v>
      </c>
      <c r="B136" s="6" t="s">
        <v>159</v>
      </c>
      <c r="C136" s="6" t="s">
        <v>160</v>
      </c>
      <c r="D136" s="6" t="s">
        <v>161</v>
      </c>
      <c r="E136" s="6"/>
      <c r="F136" s="7"/>
      <c r="G136" s="7"/>
    </row>
    <row r="137" spans="1:9" x14ac:dyDescent="0.3">
      <c r="A137" s="7" t="s">
        <v>162</v>
      </c>
      <c r="B137" s="7">
        <v>100</v>
      </c>
      <c r="C137" s="7">
        <v>150</v>
      </c>
      <c r="D137" s="93">
        <f>B137-C137/100</f>
        <v>98.5</v>
      </c>
      <c r="E137" s="7"/>
      <c r="F137" s="7"/>
      <c r="G137" s="7"/>
    </row>
    <row r="138" spans="1:9" x14ac:dyDescent="0.3">
      <c r="A138" s="7" t="s">
        <v>163</v>
      </c>
      <c r="B138" s="7">
        <v>100</v>
      </c>
      <c r="C138" s="7">
        <v>50</v>
      </c>
      <c r="D138" s="93">
        <f>B138-C138/100</f>
        <v>99.5</v>
      </c>
      <c r="E138" s="7"/>
      <c r="F138" s="7"/>
      <c r="G138" s="7"/>
    </row>
    <row r="139" spans="1:9" x14ac:dyDescent="0.3">
      <c r="A139" s="7"/>
      <c r="B139" s="7"/>
      <c r="C139" s="7"/>
      <c r="D139" s="7"/>
      <c r="E139" s="7"/>
      <c r="F139" s="7"/>
      <c r="G139" s="7"/>
    </row>
    <row r="141" spans="1:9" x14ac:dyDescent="0.3">
      <c r="A141" s="44" t="s">
        <v>759</v>
      </c>
      <c r="B141" s="7" t="s">
        <v>164</v>
      </c>
      <c r="C141" s="1"/>
    </row>
    <row r="142" spans="1:9" x14ac:dyDescent="0.3">
      <c r="A142" s="40"/>
      <c r="B142" s="41" t="s">
        <v>165</v>
      </c>
      <c r="C142" s="42"/>
    </row>
    <row r="143" spans="1:9" x14ac:dyDescent="0.3">
      <c r="A143" s="43">
        <v>1</v>
      </c>
      <c r="B143" s="7" t="s">
        <v>166</v>
      </c>
      <c r="C143" s="1"/>
    </row>
    <row r="144" spans="1:9" x14ac:dyDescent="0.3">
      <c r="A144" s="44"/>
      <c r="B144" s="29" t="s">
        <v>1</v>
      </c>
      <c r="C144" s="29" t="s">
        <v>2</v>
      </c>
    </row>
    <row r="145" spans="1:9" x14ac:dyDescent="0.3">
      <c r="A145" s="43"/>
      <c r="B145" s="2" t="s">
        <v>167</v>
      </c>
      <c r="C145" s="2">
        <v>200</v>
      </c>
    </row>
    <row r="146" spans="1:9" x14ac:dyDescent="0.3">
      <c r="A146" s="43"/>
      <c r="B146" s="2" t="s">
        <v>168</v>
      </c>
      <c r="C146" s="2">
        <v>120</v>
      </c>
    </row>
    <row r="147" spans="1:9" x14ac:dyDescent="0.3">
      <c r="A147" s="43"/>
      <c r="B147" s="2" t="s">
        <v>169</v>
      </c>
      <c r="C147" s="2">
        <v>156</v>
      </c>
    </row>
    <row r="148" spans="1:9" x14ac:dyDescent="0.3">
      <c r="A148" s="43"/>
      <c r="B148" s="2" t="s">
        <v>170</v>
      </c>
      <c r="C148" s="2">
        <v>190</v>
      </c>
    </row>
    <row r="149" spans="1:9" x14ac:dyDescent="0.3">
      <c r="A149" s="43"/>
      <c r="B149" s="2" t="s">
        <v>171</v>
      </c>
      <c r="C149" s="2">
        <v>320</v>
      </c>
    </row>
    <row r="150" spans="1:9" x14ac:dyDescent="0.3">
      <c r="A150" s="43"/>
      <c r="B150" s="2" t="s">
        <v>172</v>
      </c>
      <c r="C150" s="2">
        <v>89</v>
      </c>
    </row>
    <row r="151" spans="1:9" ht="15" thickBot="1" x14ac:dyDescent="0.35">
      <c r="A151" s="39"/>
      <c r="B151" s="1"/>
      <c r="C151" s="1"/>
    </row>
    <row r="152" spans="1:9" ht="15" thickBot="1" x14ac:dyDescent="0.35">
      <c r="A152" s="43">
        <v>1.1000000000000001</v>
      </c>
      <c r="B152" s="7" t="s">
        <v>173</v>
      </c>
      <c r="C152" s="8"/>
      <c r="H152" s="92">
        <f>MAX(C145:C150)</f>
        <v>320</v>
      </c>
    </row>
    <row r="153" spans="1:9" ht="15" thickBot="1" x14ac:dyDescent="0.35">
      <c r="A153" s="43">
        <v>1.2</v>
      </c>
      <c r="B153" s="7" t="s">
        <v>174</v>
      </c>
      <c r="C153" s="8"/>
      <c r="H153" s="92">
        <f>MIN(C145:C150)</f>
        <v>89</v>
      </c>
    </row>
    <row r="154" spans="1:9" ht="15" thickBot="1" x14ac:dyDescent="0.35">
      <c r="A154" s="43">
        <v>1.3</v>
      </c>
      <c r="B154" s="7" t="s">
        <v>175</v>
      </c>
      <c r="C154" s="8"/>
      <c r="H154" s="92">
        <f>AVERAGE(C145:C150)</f>
        <v>179.16666666666666</v>
      </c>
    </row>
    <row r="157" spans="1:9" x14ac:dyDescent="0.3">
      <c r="A157" s="6" t="s">
        <v>758</v>
      </c>
      <c r="B157" s="7" t="s">
        <v>176</v>
      </c>
      <c r="C157" s="1"/>
      <c r="D157" s="1"/>
      <c r="E157" s="1"/>
      <c r="F157" s="1"/>
      <c r="G157" s="1"/>
      <c r="H157" s="1"/>
      <c r="I157" s="1"/>
    </row>
    <row r="158" spans="1:9" x14ac:dyDescent="0.3">
      <c r="A158" s="106"/>
      <c r="B158" s="106"/>
      <c r="C158" s="1"/>
      <c r="D158" s="1"/>
      <c r="E158" s="1"/>
      <c r="F158" s="1"/>
      <c r="G158" s="1"/>
      <c r="H158" s="1"/>
      <c r="I158" s="1"/>
    </row>
    <row r="159" spans="1:9" x14ac:dyDescent="0.3">
      <c r="A159" s="7"/>
      <c r="B159" s="7" t="s">
        <v>177</v>
      </c>
      <c r="C159" s="1"/>
      <c r="D159" s="1"/>
      <c r="E159" s="1"/>
      <c r="F159" s="1"/>
      <c r="G159" s="1"/>
      <c r="H159" s="1"/>
      <c r="I159" s="1"/>
    </row>
    <row r="160" spans="1:9" x14ac:dyDescent="0.3">
      <c r="A160" s="7"/>
      <c r="B160" s="7" t="s">
        <v>178</v>
      </c>
      <c r="C160" s="1"/>
      <c r="D160" s="1"/>
      <c r="E160" s="1"/>
      <c r="F160" s="1"/>
      <c r="G160" s="1"/>
      <c r="H160" s="1"/>
      <c r="I160" s="1"/>
    </row>
    <row r="161" spans="1:9" x14ac:dyDescent="0.3">
      <c r="A161" s="7"/>
      <c r="B161" s="7" t="s">
        <v>179</v>
      </c>
      <c r="C161" s="1"/>
      <c r="D161" s="1"/>
      <c r="E161" s="1"/>
      <c r="F161" s="1"/>
      <c r="G161" s="1"/>
      <c r="H161" s="1"/>
      <c r="I161" s="1"/>
    </row>
    <row r="162" spans="1:9" x14ac:dyDescent="0.3">
      <c r="A162" s="109"/>
      <c r="B162" s="109"/>
      <c r="C162" s="1"/>
      <c r="D162" s="1"/>
      <c r="E162" s="1"/>
      <c r="F162" s="1"/>
      <c r="G162" s="1"/>
      <c r="H162" s="1"/>
      <c r="I162" s="1"/>
    </row>
    <row r="163" spans="1:9" x14ac:dyDescent="0.3">
      <c r="A163" s="106"/>
      <c r="B163" s="106"/>
      <c r="C163" s="7" t="s">
        <v>180</v>
      </c>
      <c r="D163" s="7" t="s">
        <v>181</v>
      </c>
      <c r="E163" s="7" t="s">
        <v>182</v>
      </c>
      <c r="F163" s="7" t="s">
        <v>183</v>
      </c>
      <c r="G163" s="1"/>
      <c r="H163" s="1"/>
      <c r="I163" s="1"/>
    </row>
    <row r="164" spans="1:9" x14ac:dyDescent="0.3">
      <c r="A164" s="7"/>
      <c r="B164" s="7" t="s">
        <v>184</v>
      </c>
      <c r="C164" s="7">
        <v>95</v>
      </c>
      <c r="D164" s="7">
        <v>56</v>
      </c>
      <c r="E164" s="7">
        <v>14</v>
      </c>
      <c r="F164" s="7">
        <v>66</v>
      </c>
      <c r="G164" s="93" t="str">
        <f>IF(MIN(C164:E164)&lt;50,"fail","pass")</f>
        <v>fail</v>
      </c>
      <c r="H164" s="1"/>
      <c r="I164" s="7"/>
    </row>
    <row r="165" spans="1:9" x14ac:dyDescent="0.3">
      <c r="A165" s="7"/>
      <c r="B165" s="7" t="s">
        <v>185</v>
      </c>
      <c r="C165" s="7">
        <v>54</v>
      </c>
      <c r="D165" s="7">
        <v>89</v>
      </c>
      <c r="E165" s="7">
        <v>53</v>
      </c>
      <c r="F165" s="7">
        <v>66</v>
      </c>
      <c r="G165" s="93" t="str">
        <f t="shared" ref="G165:G167" si="5">IF(MIN(C165:E165)&lt;50,"fail","pass")</f>
        <v>pass</v>
      </c>
      <c r="H165" s="1"/>
      <c r="I165" s="7"/>
    </row>
    <row r="166" spans="1:9" x14ac:dyDescent="0.3">
      <c r="A166" s="7"/>
      <c r="B166" s="7" t="s">
        <v>186</v>
      </c>
      <c r="C166" s="7">
        <v>100</v>
      </c>
      <c r="D166" s="7">
        <v>69</v>
      </c>
      <c r="E166" s="7">
        <v>78</v>
      </c>
      <c r="F166" s="7">
        <v>53</v>
      </c>
      <c r="G166" s="93" t="str">
        <f t="shared" si="5"/>
        <v>pass</v>
      </c>
      <c r="H166" s="1"/>
      <c r="I166" s="7"/>
    </row>
    <row r="167" spans="1:9" x14ac:dyDescent="0.3">
      <c r="A167" s="7"/>
      <c r="B167" s="7" t="s">
        <v>108</v>
      </c>
      <c r="C167" s="7">
        <v>49</v>
      </c>
      <c r="D167" s="7">
        <v>70</v>
      </c>
      <c r="E167" s="7">
        <v>87</v>
      </c>
      <c r="F167" s="7">
        <v>100</v>
      </c>
      <c r="G167" s="93" t="str">
        <f t="shared" si="5"/>
        <v>fail</v>
      </c>
      <c r="H167" s="1"/>
      <c r="I167" s="7"/>
    </row>
    <row r="169" spans="1:9" x14ac:dyDescent="0.3">
      <c r="B169" s="6" t="s">
        <v>760</v>
      </c>
      <c r="C169" s="7" t="s">
        <v>187</v>
      </c>
      <c r="D169" s="1"/>
      <c r="E169" s="1"/>
      <c r="F169" s="1"/>
    </row>
    <row r="170" spans="1:9" x14ac:dyDescent="0.3">
      <c r="B170" s="7"/>
      <c r="C170" s="28" t="s">
        <v>188</v>
      </c>
      <c r="D170" s="1"/>
      <c r="E170" s="1"/>
      <c r="F170" s="1"/>
    </row>
    <row r="171" spans="1:9" x14ac:dyDescent="0.3">
      <c r="B171" s="106"/>
      <c r="C171" s="106"/>
      <c r="D171" s="1"/>
      <c r="E171" s="1"/>
      <c r="F171" s="1"/>
    </row>
    <row r="172" spans="1:9" x14ac:dyDescent="0.3">
      <c r="B172" s="106"/>
      <c r="C172" s="106"/>
      <c r="D172" s="7" t="s">
        <v>180</v>
      </c>
      <c r="E172" s="1"/>
      <c r="F172" s="1"/>
    </row>
    <row r="173" spans="1:9" x14ac:dyDescent="0.3">
      <c r="B173" s="7"/>
      <c r="C173" s="7" t="s">
        <v>189</v>
      </c>
      <c r="D173" s="7">
        <v>95</v>
      </c>
      <c r="E173" s="1"/>
      <c r="F173" s="1"/>
    </row>
    <row r="174" spans="1:9" x14ac:dyDescent="0.3">
      <c r="B174" s="7"/>
      <c r="C174" s="7" t="s">
        <v>185</v>
      </c>
      <c r="D174" s="7">
        <v>54</v>
      </c>
      <c r="E174" s="1"/>
      <c r="F174" s="1"/>
    </row>
    <row r="175" spans="1:9" x14ac:dyDescent="0.3">
      <c r="B175" s="7"/>
      <c r="C175" s="7" t="s">
        <v>186</v>
      </c>
      <c r="D175" s="7">
        <v>100</v>
      </c>
      <c r="E175" s="1"/>
      <c r="F175" s="1"/>
    </row>
    <row r="176" spans="1:9" x14ac:dyDescent="0.3">
      <c r="B176" s="7"/>
      <c r="C176" s="7" t="s">
        <v>108</v>
      </c>
      <c r="D176" s="7">
        <v>49</v>
      </c>
      <c r="E176" s="1"/>
      <c r="F176" s="1"/>
    </row>
    <row r="177" spans="1:6" x14ac:dyDescent="0.3">
      <c r="B177" s="7"/>
      <c r="C177" s="7" t="s">
        <v>190</v>
      </c>
      <c r="D177" s="7">
        <v>67</v>
      </c>
      <c r="E177" s="1"/>
      <c r="F177" s="1"/>
    </row>
    <row r="178" spans="1:6" x14ac:dyDescent="0.3">
      <c r="B178" s="7"/>
      <c r="C178" s="7" t="s">
        <v>191</v>
      </c>
      <c r="D178" s="7">
        <v>45</v>
      </c>
      <c r="E178" s="1"/>
      <c r="F178" s="1"/>
    </row>
    <row r="179" spans="1:6" x14ac:dyDescent="0.3">
      <c r="B179" s="7"/>
      <c r="C179" s="7" t="s">
        <v>192</v>
      </c>
      <c r="D179" s="7">
        <v>77</v>
      </c>
      <c r="E179" s="1"/>
      <c r="F179" s="1"/>
    </row>
    <row r="180" spans="1:6" x14ac:dyDescent="0.3">
      <c r="B180" s="106"/>
      <c r="C180" s="106"/>
      <c r="D180" s="93" t="str">
        <f>IF(MAX(D173:D179)&gt;=99,"Easy","Not Easy")</f>
        <v>Easy</v>
      </c>
      <c r="E180" s="1"/>
      <c r="F180" s="7"/>
    </row>
    <row r="181" spans="1:6" x14ac:dyDescent="0.3">
      <c r="A181" s="121" t="s">
        <v>761</v>
      </c>
    </row>
    <row r="182" spans="1:6" x14ac:dyDescent="0.3">
      <c r="A182" s="1" t="s">
        <v>193</v>
      </c>
      <c r="B182" s="1"/>
      <c r="C182" s="1"/>
    </row>
    <row r="183" spans="1:6" x14ac:dyDescent="0.3">
      <c r="A183" s="1" t="s">
        <v>194</v>
      </c>
      <c r="B183" s="1"/>
      <c r="C183" s="1"/>
    </row>
    <row r="184" spans="1:6" x14ac:dyDescent="0.3">
      <c r="A184" s="1" t="s">
        <v>195</v>
      </c>
      <c r="B184" s="1"/>
      <c r="C184" s="1"/>
    </row>
    <row r="185" spans="1:6" x14ac:dyDescent="0.3">
      <c r="A185" s="1" t="s">
        <v>196</v>
      </c>
      <c r="B185" s="1"/>
      <c r="C185" s="1"/>
    </row>
    <row r="186" spans="1:6" x14ac:dyDescent="0.3">
      <c r="A186" s="1"/>
      <c r="B186" s="1"/>
      <c r="C186" s="1"/>
    </row>
    <row r="187" spans="1:6" x14ac:dyDescent="0.3">
      <c r="A187" s="1" t="s">
        <v>197</v>
      </c>
      <c r="B187" s="1"/>
      <c r="C187" s="1"/>
    </row>
    <row r="188" spans="1:6" x14ac:dyDescent="0.3">
      <c r="A188" s="1"/>
      <c r="B188" s="1"/>
      <c r="C188" s="1"/>
    </row>
    <row r="189" spans="1:6" x14ac:dyDescent="0.3">
      <c r="A189" s="45" t="s">
        <v>198</v>
      </c>
      <c r="B189" s="45" t="s">
        <v>103</v>
      </c>
      <c r="C189" s="45" t="s">
        <v>199</v>
      </c>
    </row>
    <row r="190" spans="1:6" x14ac:dyDescent="0.3">
      <c r="A190" s="46" t="s">
        <v>200</v>
      </c>
      <c r="B190" s="46">
        <v>78</v>
      </c>
      <c r="C190" s="47" t="str">
        <f>IF(B190&gt;=80,"Excellent",IF(B190&gt;=60,"Good","Failed"))</f>
        <v>Good</v>
      </c>
    </row>
    <row r="191" spans="1:6" x14ac:dyDescent="0.3">
      <c r="A191" s="46" t="s">
        <v>201</v>
      </c>
      <c r="B191" s="46">
        <v>85</v>
      </c>
      <c r="C191" s="47" t="str">
        <f t="shared" ref="C191:C193" si="6">IF(B191&gt;=80,"Excellent",IF(B191&gt;=60,"Good","Failed"))</f>
        <v>Excellent</v>
      </c>
    </row>
    <row r="192" spans="1:6" x14ac:dyDescent="0.3">
      <c r="A192" s="46" t="s">
        <v>202</v>
      </c>
      <c r="B192" s="46">
        <v>44</v>
      </c>
      <c r="C192" s="47" t="str">
        <f t="shared" si="6"/>
        <v>Failed</v>
      </c>
    </row>
    <row r="193" spans="1:9" x14ac:dyDescent="0.3">
      <c r="A193" s="46" t="s">
        <v>203</v>
      </c>
      <c r="B193" s="46">
        <v>61</v>
      </c>
      <c r="C193" s="47" t="str">
        <f t="shared" si="6"/>
        <v>Good</v>
      </c>
    </row>
    <row r="194" spans="1:9" x14ac:dyDescent="0.3">
      <c r="A194" s="121" t="s">
        <v>762</v>
      </c>
    </row>
    <row r="195" spans="1:9" x14ac:dyDescent="0.3">
      <c r="A195" s="7" t="s">
        <v>204</v>
      </c>
      <c r="B195" s="1"/>
      <c r="C195" s="1"/>
      <c r="D195" s="1"/>
    </row>
    <row r="196" spans="1:9" x14ac:dyDescent="0.3">
      <c r="A196" s="7" t="s">
        <v>205</v>
      </c>
      <c r="B196" s="1"/>
      <c r="C196" s="1"/>
      <c r="D196" s="1"/>
    </row>
    <row r="197" spans="1:9" x14ac:dyDescent="0.3">
      <c r="A197" s="1"/>
      <c r="B197" s="1"/>
      <c r="C197" s="1"/>
      <c r="D197" s="1"/>
    </row>
    <row r="198" spans="1:9" x14ac:dyDescent="0.3">
      <c r="A198" s="32"/>
      <c r="B198" s="1"/>
      <c r="C198" s="1"/>
      <c r="D198" s="1"/>
    </row>
    <row r="199" spans="1:9" x14ac:dyDescent="0.3">
      <c r="A199" s="32" t="s">
        <v>23</v>
      </c>
      <c r="B199" s="32" t="s">
        <v>206</v>
      </c>
      <c r="C199" s="1"/>
      <c r="D199" s="1"/>
    </row>
    <row r="200" spans="1:9" x14ac:dyDescent="0.3">
      <c r="A200" s="7" t="s">
        <v>207</v>
      </c>
      <c r="B200" s="43">
        <v>759</v>
      </c>
      <c r="C200" s="1"/>
      <c r="D200" s="1"/>
    </row>
    <row r="201" spans="1:9" x14ac:dyDescent="0.3">
      <c r="A201" s="7" t="s">
        <v>208</v>
      </c>
      <c r="B201" s="43">
        <v>200</v>
      </c>
      <c r="C201" s="1"/>
      <c r="D201" s="1"/>
    </row>
    <row r="202" spans="1:9" x14ac:dyDescent="0.3">
      <c r="A202" s="7" t="s">
        <v>209</v>
      </c>
      <c r="B202" s="43">
        <v>42</v>
      </c>
      <c r="C202" s="1"/>
      <c r="D202" s="1"/>
      <c r="H202" s="1"/>
      <c r="I202" s="1"/>
    </row>
    <row r="203" spans="1:9" x14ac:dyDescent="0.3">
      <c r="A203" s="7" t="s">
        <v>210</v>
      </c>
      <c r="B203" s="43">
        <v>423</v>
      </c>
      <c r="C203" s="1"/>
      <c r="D203" s="1"/>
    </row>
    <row r="204" spans="1:9" x14ac:dyDescent="0.3">
      <c r="A204" s="7" t="s">
        <v>211</v>
      </c>
      <c r="B204" s="43">
        <v>200</v>
      </c>
      <c r="C204" s="1"/>
      <c r="D204" s="1"/>
    </row>
    <row r="205" spans="1:9" x14ac:dyDescent="0.3">
      <c r="A205" s="7" t="s">
        <v>212</v>
      </c>
      <c r="B205" s="43">
        <v>50</v>
      </c>
      <c r="C205" s="1"/>
      <c r="D205" s="1"/>
    </row>
    <row r="206" spans="1:9" x14ac:dyDescent="0.3">
      <c r="A206" s="7" t="s">
        <v>213</v>
      </c>
      <c r="B206" s="43">
        <v>700</v>
      </c>
      <c r="C206" s="1"/>
      <c r="D206" s="1"/>
    </row>
    <row r="207" spans="1:9" x14ac:dyDescent="0.3">
      <c r="A207" s="7" t="s">
        <v>214</v>
      </c>
      <c r="B207" s="43">
        <v>450</v>
      </c>
      <c r="C207" s="1"/>
      <c r="D207" s="1"/>
    </row>
    <row r="208" spans="1:9" x14ac:dyDescent="0.3">
      <c r="A208" s="7" t="s">
        <v>215</v>
      </c>
      <c r="B208" s="43">
        <v>605</v>
      </c>
      <c r="C208" s="1"/>
      <c r="D208" s="1"/>
    </row>
    <row r="209" spans="1:4" x14ac:dyDescent="0.3">
      <c r="A209" s="7" t="s">
        <v>216</v>
      </c>
      <c r="B209" s="43">
        <v>240</v>
      </c>
      <c r="C209" s="1"/>
      <c r="D209" s="1"/>
    </row>
    <row r="210" spans="1:4" x14ac:dyDescent="0.3">
      <c r="A210" s="7" t="s">
        <v>217</v>
      </c>
      <c r="B210" s="43">
        <v>685</v>
      </c>
      <c r="C210" s="1"/>
      <c r="D210" s="1"/>
    </row>
    <row r="211" spans="1:4" ht="15" thickBot="1" x14ac:dyDescent="0.35">
      <c r="A211" s="7" t="s">
        <v>218</v>
      </c>
      <c r="B211" s="43">
        <v>295</v>
      </c>
      <c r="C211" s="1"/>
      <c r="D211" s="1"/>
    </row>
    <row r="212" spans="1:4" ht="15" thickBot="1" x14ac:dyDescent="0.35">
      <c r="A212" s="7" t="s">
        <v>219</v>
      </c>
      <c r="B212" s="95">
        <f>SUM(B200:B211)</f>
        <v>4649</v>
      </c>
      <c r="C212" s="6" t="s">
        <v>220</v>
      </c>
      <c r="D212" s="6"/>
    </row>
    <row r="214" spans="1:4" x14ac:dyDescent="0.3">
      <c r="A214" s="121" t="s">
        <v>763</v>
      </c>
    </row>
    <row r="215" spans="1:4" x14ac:dyDescent="0.3">
      <c r="A215" s="7" t="s">
        <v>221</v>
      </c>
      <c r="B215" s="1"/>
      <c r="C215" s="1"/>
    </row>
    <row r="216" spans="1:4" x14ac:dyDescent="0.3">
      <c r="A216" s="7" t="s">
        <v>222</v>
      </c>
      <c r="B216" s="1"/>
      <c r="C216" s="1"/>
    </row>
    <row r="217" spans="1:4" x14ac:dyDescent="0.3">
      <c r="A217" s="1"/>
      <c r="B217" s="1"/>
      <c r="C217" s="1"/>
    </row>
    <row r="218" spans="1:4" x14ac:dyDescent="0.3">
      <c r="A218" s="48" t="s">
        <v>223</v>
      </c>
      <c r="B218" s="48" t="s">
        <v>224</v>
      </c>
      <c r="C218" s="1"/>
    </row>
    <row r="219" spans="1:4" x14ac:dyDescent="0.3">
      <c r="A219" s="49">
        <v>42005</v>
      </c>
      <c r="B219" s="97">
        <v>432.17</v>
      </c>
      <c r="C219" s="1">
        <f>VALUE(SUBSTITUTE(SUBSTITUTE(B219,"$",""),",",""))</f>
        <v>432.17</v>
      </c>
    </row>
    <row r="220" spans="1:4" x14ac:dyDescent="0.3">
      <c r="A220" s="2" t="s">
        <v>225</v>
      </c>
      <c r="B220" s="97">
        <v>528.5</v>
      </c>
      <c r="C220" s="1">
        <f>VALUE(SUBSTITUTE(SUBSTITUTE(B220,"$",""),",",""))</f>
        <v>528.5</v>
      </c>
    </row>
    <row r="221" spans="1:4" x14ac:dyDescent="0.3">
      <c r="A221" s="49">
        <v>42064</v>
      </c>
      <c r="B221" s="104" t="s">
        <v>669</v>
      </c>
      <c r="C221" s="1">
        <f>VALUE(SUBSTITUTE(SUBSTITUTE(B221,"$",""),",",""))</f>
        <v>810.71</v>
      </c>
    </row>
    <row r="222" spans="1:4" x14ac:dyDescent="0.3">
      <c r="A222" s="49">
        <v>42095</v>
      </c>
      <c r="B222" s="97" t="s">
        <v>226</v>
      </c>
      <c r="C222" s="1">
        <f t="shared" ref="C222:C285" si="7">VALUE(SUBSTITUTE(SUBSTITUTE(B222,"$",""),",",""))</f>
        <v>418.54</v>
      </c>
    </row>
    <row r="223" spans="1:4" x14ac:dyDescent="0.3">
      <c r="A223" s="49">
        <v>42125</v>
      </c>
      <c r="B223" s="97" t="s">
        <v>227</v>
      </c>
      <c r="C223" s="1">
        <f t="shared" si="7"/>
        <v>722.22</v>
      </c>
    </row>
    <row r="224" spans="1:4" x14ac:dyDescent="0.3">
      <c r="A224" s="49">
        <v>42156</v>
      </c>
      <c r="B224" s="97" t="s">
        <v>228</v>
      </c>
      <c r="C224" s="1">
        <f t="shared" si="7"/>
        <v>460.28</v>
      </c>
    </row>
    <row r="225" spans="1:3" x14ac:dyDescent="0.3">
      <c r="A225" s="49">
        <v>42320</v>
      </c>
      <c r="B225" s="97" t="s">
        <v>229</v>
      </c>
      <c r="C225" s="1">
        <f t="shared" si="7"/>
        <v>483.58</v>
      </c>
    </row>
    <row r="226" spans="1:3" x14ac:dyDescent="0.3">
      <c r="A226" s="49">
        <v>42217</v>
      </c>
      <c r="B226" s="97" t="s">
        <v>230</v>
      </c>
      <c r="C226" s="1">
        <f t="shared" si="7"/>
        <v>114.53</v>
      </c>
    </row>
    <row r="227" spans="1:3" x14ac:dyDescent="0.3">
      <c r="A227" s="49">
        <v>42248</v>
      </c>
      <c r="B227" s="97" t="s">
        <v>231</v>
      </c>
      <c r="C227" s="1">
        <f t="shared" si="7"/>
        <v>609.12</v>
      </c>
    </row>
    <row r="228" spans="1:3" x14ac:dyDescent="0.3">
      <c r="A228" s="49">
        <v>42278</v>
      </c>
      <c r="B228" s="97" t="s">
        <v>232</v>
      </c>
      <c r="C228" s="1">
        <f t="shared" si="7"/>
        <v>1197.9000000000001</v>
      </c>
    </row>
    <row r="229" spans="1:3" x14ac:dyDescent="0.3">
      <c r="A229" s="49">
        <v>42309</v>
      </c>
      <c r="B229" s="97" t="s">
        <v>233</v>
      </c>
      <c r="C229" s="1">
        <f t="shared" si="7"/>
        <v>228.89</v>
      </c>
    </row>
    <row r="230" spans="1:3" x14ac:dyDescent="0.3">
      <c r="A230" s="49">
        <v>42339</v>
      </c>
      <c r="B230" s="97" t="s">
        <v>234</v>
      </c>
      <c r="C230" s="1">
        <f t="shared" si="7"/>
        <v>1380.07</v>
      </c>
    </row>
    <row r="231" spans="1:3" x14ac:dyDescent="0.3">
      <c r="A231" s="2" t="s">
        <v>235</v>
      </c>
      <c r="B231" s="97" t="s">
        <v>236</v>
      </c>
      <c r="C231" s="1">
        <f t="shared" si="7"/>
        <v>1026.96</v>
      </c>
    </row>
    <row r="232" spans="1:3" x14ac:dyDescent="0.3">
      <c r="A232" s="2" t="s">
        <v>237</v>
      </c>
      <c r="B232" s="97" t="s">
        <v>238</v>
      </c>
      <c r="C232" s="1">
        <f t="shared" si="7"/>
        <v>760.24</v>
      </c>
    </row>
    <row r="233" spans="1:3" x14ac:dyDescent="0.3">
      <c r="A233" s="2" t="s">
        <v>239</v>
      </c>
      <c r="B233" s="97" t="s">
        <v>240</v>
      </c>
      <c r="C233" s="1">
        <f t="shared" si="7"/>
        <v>414.11</v>
      </c>
    </row>
    <row r="234" spans="1:3" x14ac:dyDescent="0.3">
      <c r="A234" s="2" t="s">
        <v>241</v>
      </c>
      <c r="B234" s="97" t="s">
        <v>242</v>
      </c>
      <c r="C234" s="1">
        <f t="shared" si="7"/>
        <v>1728.81</v>
      </c>
    </row>
    <row r="235" spans="1:3" x14ac:dyDescent="0.3">
      <c r="A235" s="2" t="s">
        <v>243</v>
      </c>
      <c r="B235" s="97" t="s">
        <v>244</v>
      </c>
      <c r="C235" s="1">
        <f t="shared" si="7"/>
        <v>276.06</v>
      </c>
    </row>
    <row r="236" spans="1:3" x14ac:dyDescent="0.3">
      <c r="A236" s="2" t="s">
        <v>245</v>
      </c>
      <c r="B236" s="97" t="s">
        <v>246</v>
      </c>
      <c r="C236" s="1">
        <f t="shared" si="7"/>
        <v>462.22</v>
      </c>
    </row>
    <row r="237" spans="1:3" x14ac:dyDescent="0.3">
      <c r="A237" s="2" t="s">
        <v>247</v>
      </c>
      <c r="B237" s="97" t="s">
        <v>248</v>
      </c>
      <c r="C237" s="1">
        <f t="shared" si="7"/>
        <v>1281.0999999999999</v>
      </c>
    </row>
    <row r="238" spans="1:3" x14ac:dyDescent="0.3">
      <c r="A238" s="2" t="s">
        <v>249</v>
      </c>
      <c r="B238" s="97" t="s">
        <v>250</v>
      </c>
      <c r="C238" s="1">
        <f t="shared" si="7"/>
        <v>1113.7</v>
      </c>
    </row>
    <row r="239" spans="1:3" x14ac:dyDescent="0.3">
      <c r="A239" s="2" t="s">
        <v>251</v>
      </c>
      <c r="B239" s="97" t="s">
        <v>252</v>
      </c>
      <c r="C239" s="1">
        <f t="shared" si="7"/>
        <v>594.09</v>
      </c>
    </row>
    <row r="240" spans="1:3" x14ac:dyDescent="0.3">
      <c r="A240" s="2" t="s">
        <v>253</v>
      </c>
      <c r="B240" s="97" t="s">
        <v>254</v>
      </c>
      <c r="C240" s="1">
        <f t="shared" si="7"/>
        <v>432.67</v>
      </c>
    </row>
    <row r="241" spans="1:3" x14ac:dyDescent="0.3">
      <c r="A241" s="2" t="s">
        <v>255</v>
      </c>
      <c r="B241" s="97" t="s">
        <v>256</v>
      </c>
      <c r="C241" s="1">
        <f t="shared" si="7"/>
        <v>874.45</v>
      </c>
    </row>
    <row r="242" spans="1:3" x14ac:dyDescent="0.3">
      <c r="A242" s="2" t="s">
        <v>257</v>
      </c>
      <c r="B242" s="97" t="s">
        <v>258</v>
      </c>
      <c r="C242" s="1">
        <f t="shared" si="7"/>
        <v>880.38</v>
      </c>
    </row>
    <row r="243" spans="1:3" x14ac:dyDescent="0.3">
      <c r="A243" s="2" t="s">
        <v>259</v>
      </c>
      <c r="B243" s="97" t="s">
        <v>260</v>
      </c>
      <c r="C243" s="1">
        <f t="shared" si="7"/>
        <v>798.53</v>
      </c>
    </row>
    <row r="244" spans="1:3" x14ac:dyDescent="0.3">
      <c r="A244" s="49">
        <v>42288</v>
      </c>
      <c r="B244" s="97" t="s">
        <v>261</v>
      </c>
      <c r="C244" s="1">
        <f t="shared" si="7"/>
        <v>572.41999999999996</v>
      </c>
    </row>
    <row r="245" spans="1:3" x14ac:dyDescent="0.3">
      <c r="A245" s="2" t="s">
        <v>262</v>
      </c>
      <c r="B245" s="97" t="s">
        <v>263</v>
      </c>
      <c r="C245" s="1">
        <f t="shared" si="7"/>
        <v>330.61</v>
      </c>
    </row>
    <row r="246" spans="1:3" x14ac:dyDescent="0.3">
      <c r="A246" s="2" t="s">
        <v>264</v>
      </c>
      <c r="B246" s="97" t="s">
        <v>265</v>
      </c>
      <c r="C246" s="1">
        <f t="shared" si="7"/>
        <v>567.17999999999995</v>
      </c>
    </row>
    <row r="247" spans="1:3" x14ac:dyDescent="0.3">
      <c r="A247" s="2" t="s">
        <v>266</v>
      </c>
      <c r="B247" s="97" t="s">
        <v>267</v>
      </c>
      <c r="C247" s="1">
        <f t="shared" si="7"/>
        <v>1449.21</v>
      </c>
    </row>
    <row r="248" spans="1:3" x14ac:dyDescent="0.3">
      <c r="A248" s="2" t="s">
        <v>268</v>
      </c>
      <c r="B248" s="97" t="s">
        <v>269</v>
      </c>
      <c r="C248" s="1">
        <f t="shared" si="7"/>
        <v>459.29</v>
      </c>
    </row>
    <row r="249" spans="1:3" x14ac:dyDescent="0.3">
      <c r="A249" s="2" t="s">
        <v>270</v>
      </c>
      <c r="B249" s="97" t="s">
        <v>271</v>
      </c>
      <c r="C249" s="1">
        <f t="shared" si="7"/>
        <v>357.55</v>
      </c>
    </row>
    <row r="250" spans="1:3" x14ac:dyDescent="0.3">
      <c r="A250" s="49">
        <v>42006</v>
      </c>
      <c r="B250" s="97" t="s">
        <v>272</v>
      </c>
      <c r="C250" s="1">
        <f t="shared" si="7"/>
        <v>154.34</v>
      </c>
    </row>
    <row r="251" spans="1:3" x14ac:dyDescent="0.3">
      <c r="A251" s="49">
        <v>42037</v>
      </c>
      <c r="B251" s="97" t="s">
        <v>273</v>
      </c>
      <c r="C251" s="1">
        <f t="shared" si="7"/>
        <v>152.76</v>
      </c>
    </row>
    <row r="252" spans="1:3" x14ac:dyDescent="0.3">
      <c r="A252" s="49">
        <v>42065</v>
      </c>
      <c r="B252" s="97" t="s">
        <v>274</v>
      </c>
      <c r="C252" s="1">
        <f t="shared" si="7"/>
        <v>570.22</v>
      </c>
    </row>
    <row r="253" spans="1:3" x14ac:dyDescent="0.3">
      <c r="A253" s="49">
        <v>42096</v>
      </c>
      <c r="B253" s="97" t="s">
        <v>275</v>
      </c>
      <c r="C253" s="1">
        <f t="shared" si="7"/>
        <v>987.62</v>
      </c>
    </row>
    <row r="254" spans="1:3" x14ac:dyDescent="0.3">
      <c r="A254" s="49">
        <v>42126</v>
      </c>
      <c r="B254" s="97" t="s">
        <v>276</v>
      </c>
      <c r="C254" s="1">
        <f t="shared" si="7"/>
        <v>1755.71</v>
      </c>
    </row>
    <row r="255" spans="1:3" x14ac:dyDescent="0.3">
      <c r="A255" s="49">
        <v>42157</v>
      </c>
      <c r="B255" s="97" t="s">
        <v>277</v>
      </c>
      <c r="C255" s="1">
        <f t="shared" si="7"/>
        <v>378.27</v>
      </c>
    </row>
    <row r="256" spans="1:3" x14ac:dyDescent="0.3">
      <c r="A256" s="49">
        <v>42187</v>
      </c>
      <c r="B256" s="97" t="s">
        <v>278</v>
      </c>
      <c r="C256" s="1">
        <f t="shared" si="7"/>
        <v>1323.81</v>
      </c>
    </row>
    <row r="257" spans="1:3" x14ac:dyDescent="0.3">
      <c r="A257" s="49">
        <v>42218</v>
      </c>
      <c r="B257" s="97" t="s">
        <v>279</v>
      </c>
      <c r="C257" s="1">
        <f t="shared" si="7"/>
        <v>399.02</v>
      </c>
    </row>
    <row r="258" spans="1:3" x14ac:dyDescent="0.3">
      <c r="A258" s="49">
        <v>42249</v>
      </c>
      <c r="B258" s="97" t="s">
        <v>280</v>
      </c>
      <c r="C258" s="1">
        <f t="shared" si="7"/>
        <v>154.94999999999999</v>
      </c>
    </row>
    <row r="259" spans="1:3" x14ac:dyDescent="0.3">
      <c r="A259" s="49">
        <v>42279</v>
      </c>
      <c r="B259" s="97" t="s">
        <v>281</v>
      </c>
      <c r="C259" s="1">
        <f t="shared" si="7"/>
        <v>1254.57</v>
      </c>
    </row>
    <row r="260" spans="1:3" x14ac:dyDescent="0.3">
      <c r="A260" s="49">
        <v>42310</v>
      </c>
      <c r="B260" s="97" t="s">
        <v>282</v>
      </c>
      <c r="C260" s="1">
        <f t="shared" si="7"/>
        <v>627.32000000000005</v>
      </c>
    </row>
    <row r="261" spans="1:3" x14ac:dyDescent="0.3">
      <c r="A261" s="2" t="s">
        <v>283</v>
      </c>
      <c r="B261" s="97" t="s">
        <v>284</v>
      </c>
      <c r="C261" s="1">
        <f t="shared" si="7"/>
        <v>880.6</v>
      </c>
    </row>
    <row r="262" spans="1:3" x14ac:dyDescent="0.3">
      <c r="A262" s="2" t="s">
        <v>285</v>
      </c>
      <c r="B262" s="97" t="s">
        <v>286</v>
      </c>
      <c r="C262" s="1">
        <f t="shared" si="7"/>
        <v>1196.03</v>
      </c>
    </row>
    <row r="263" spans="1:3" x14ac:dyDescent="0.3">
      <c r="A263" s="2" t="s">
        <v>287</v>
      </c>
      <c r="B263" s="97" t="s">
        <v>288</v>
      </c>
      <c r="C263" s="1">
        <f t="shared" si="7"/>
        <v>782.32</v>
      </c>
    </row>
    <row r="264" spans="1:3" x14ac:dyDescent="0.3">
      <c r="A264" s="2" t="s">
        <v>289</v>
      </c>
      <c r="B264" s="97" t="s">
        <v>290</v>
      </c>
      <c r="C264" s="1">
        <f t="shared" si="7"/>
        <v>1323.35</v>
      </c>
    </row>
    <row r="265" spans="1:3" x14ac:dyDescent="0.3">
      <c r="A265" s="2" t="s">
        <v>291</v>
      </c>
      <c r="B265" s="97" t="s">
        <v>292</v>
      </c>
      <c r="C265" s="1">
        <f t="shared" si="7"/>
        <v>209.92</v>
      </c>
    </row>
    <row r="266" spans="1:3" x14ac:dyDescent="0.3">
      <c r="A266" s="2" t="s">
        <v>293</v>
      </c>
      <c r="B266" s="97" t="s">
        <v>294</v>
      </c>
      <c r="C266" s="1">
        <f t="shared" si="7"/>
        <v>1232.05</v>
      </c>
    </row>
    <row r="267" spans="1:3" x14ac:dyDescent="0.3">
      <c r="A267" s="2" t="s">
        <v>295</v>
      </c>
      <c r="B267" s="97" t="s">
        <v>296</v>
      </c>
      <c r="C267" s="1">
        <f t="shared" si="7"/>
        <v>713.28</v>
      </c>
    </row>
    <row r="268" spans="1:3" x14ac:dyDescent="0.3">
      <c r="A268" s="2" t="s">
        <v>297</v>
      </c>
      <c r="B268" s="97" t="s">
        <v>298</v>
      </c>
      <c r="C268" s="1">
        <f t="shared" si="7"/>
        <v>1674.82</v>
      </c>
    </row>
    <row r="269" spans="1:3" x14ac:dyDescent="0.3">
      <c r="A269" s="2" t="s">
        <v>299</v>
      </c>
      <c r="B269" s="97" t="s">
        <v>300</v>
      </c>
      <c r="C269" s="1">
        <f t="shared" si="7"/>
        <v>1161.25</v>
      </c>
    </row>
    <row r="270" spans="1:3" x14ac:dyDescent="0.3">
      <c r="A270" s="2" t="s">
        <v>301</v>
      </c>
      <c r="B270" s="97" t="s">
        <v>302</v>
      </c>
      <c r="C270" s="1">
        <f t="shared" si="7"/>
        <v>897.63</v>
      </c>
    </row>
    <row r="271" spans="1:3" x14ac:dyDescent="0.3">
      <c r="A271" s="2" t="s">
        <v>303</v>
      </c>
      <c r="B271" s="97" t="s">
        <v>304</v>
      </c>
      <c r="C271" s="1">
        <f t="shared" si="7"/>
        <v>1647.26</v>
      </c>
    </row>
    <row r="272" spans="1:3" x14ac:dyDescent="0.3">
      <c r="A272" s="2" t="s">
        <v>305</v>
      </c>
      <c r="B272" s="97" t="s">
        <v>306</v>
      </c>
      <c r="C272" s="1">
        <f t="shared" si="7"/>
        <v>1121.96</v>
      </c>
    </row>
    <row r="273" spans="1:3" x14ac:dyDescent="0.3">
      <c r="A273" s="2" t="s">
        <v>307</v>
      </c>
      <c r="B273" s="97" t="s">
        <v>308</v>
      </c>
      <c r="C273" s="1">
        <f t="shared" si="7"/>
        <v>352.2</v>
      </c>
    </row>
    <row r="274" spans="1:3" x14ac:dyDescent="0.3">
      <c r="A274" s="2" t="s">
        <v>309</v>
      </c>
      <c r="B274" s="97" t="s">
        <v>310</v>
      </c>
      <c r="C274" s="1">
        <f t="shared" si="7"/>
        <v>270.77999999999997</v>
      </c>
    </row>
    <row r="275" spans="1:3" x14ac:dyDescent="0.3">
      <c r="A275" s="2" t="s">
        <v>311</v>
      </c>
      <c r="B275" s="97" t="s">
        <v>312</v>
      </c>
      <c r="C275" s="1">
        <f t="shared" si="7"/>
        <v>456.41</v>
      </c>
    </row>
    <row r="276" spans="1:3" x14ac:dyDescent="0.3">
      <c r="A276" s="2" t="s">
        <v>313</v>
      </c>
      <c r="B276" s="97" t="s">
        <v>314</v>
      </c>
      <c r="C276" s="1">
        <f t="shared" si="7"/>
        <v>441</v>
      </c>
    </row>
    <row r="277" spans="1:3" x14ac:dyDescent="0.3">
      <c r="A277" s="2" t="s">
        <v>315</v>
      </c>
      <c r="B277" s="97" t="s">
        <v>316</v>
      </c>
      <c r="C277" s="1">
        <f t="shared" si="7"/>
        <v>252.44</v>
      </c>
    </row>
    <row r="278" spans="1:3" x14ac:dyDescent="0.3">
      <c r="A278" s="49">
        <v>42007</v>
      </c>
      <c r="B278" s="97" t="s">
        <v>317</v>
      </c>
      <c r="C278" s="1">
        <f t="shared" si="7"/>
        <v>1298.92</v>
      </c>
    </row>
    <row r="279" spans="1:3" x14ac:dyDescent="0.3">
      <c r="A279" s="49">
        <v>42038</v>
      </c>
      <c r="B279" s="97" t="s">
        <v>318</v>
      </c>
      <c r="C279" s="1">
        <f t="shared" si="7"/>
        <v>1178.07</v>
      </c>
    </row>
    <row r="280" spans="1:3" x14ac:dyDescent="0.3">
      <c r="A280" s="49">
        <v>42066</v>
      </c>
      <c r="B280" s="97" t="s">
        <v>319</v>
      </c>
      <c r="C280" s="1">
        <f t="shared" si="7"/>
        <v>459.95</v>
      </c>
    </row>
    <row r="281" spans="1:3" x14ac:dyDescent="0.3">
      <c r="A281" s="49">
        <v>42097</v>
      </c>
      <c r="B281" s="97" t="s">
        <v>320</v>
      </c>
      <c r="C281" s="1">
        <f t="shared" si="7"/>
        <v>1219.7</v>
      </c>
    </row>
    <row r="282" spans="1:3" x14ac:dyDescent="0.3">
      <c r="A282" s="49">
        <v>42127</v>
      </c>
      <c r="B282" s="97" t="s">
        <v>321</v>
      </c>
      <c r="C282" s="1">
        <f t="shared" si="7"/>
        <v>152.24</v>
      </c>
    </row>
    <row r="283" spans="1:3" x14ac:dyDescent="0.3">
      <c r="A283" s="49">
        <v>42158</v>
      </c>
      <c r="B283" s="97" t="s">
        <v>322</v>
      </c>
      <c r="C283" s="1">
        <f t="shared" si="7"/>
        <v>770.8</v>
      </c>
    </row>
    <row r="284" spans="1:3" x14ac:dyDescent="0.3">
      <c r="A284" s="49">
        <v>42188</v>
      </c>
      <c r="B284" s="97" t="s">
        <v>323</v>
      </c>
      <c r="C284" s="1">
        <f t="shared" si="7"/>
        <v>1357.25</v>
      </c>
    </row>
    <row r="285" spans="1:3" x14ac:dyDescent="0.3">
      <c r="A285" s="49">
        <v>42042</v>
      </c>
      <c r="B285" s="97" t="s">
        <v>324</v>
      </c>
      <c r="C285" s="1">
        <f t="shared" si="7"/>
        <v>220.18</v>
      </c>
    </row>
    <row r="286" spans="1:3" x14ac:dyDescent="0.3">
      <c r="A286" s="49">
        <v>42250</v>
      </c>
      <c r="B286" s="97" t="s">
        <v>325</v>
      </c>
      <c r="C286" s="1">
        <f t="shared" ref="C286:C308" si="8">VALUE(SUBSTITUTE(SUBSTITUTE(B286,"$",""),",",""))</f>
        <v>1102.81</v>
      </c>
    </row>
    <row r="287" spans="1:3" x14ac:dyDescent="0.3">
      <c r="A287" s="49">
        <v>42280</v>
      </c>
      <c r="B287" s="97" t="s">
        <v>326</v>
      </c>
      <c r="C287" s="1">
        <f t="shared" si="8"/>
        <v>1566.83</v>
      </c>
    </row>
    <row r="288" spans="1:3" x14ac:dyDescent="0.3">
      <c r="A288" s="49">
        <v>42311</v>
      </c>
      <c r="B288" s="97">
        <v>437.92</v>
      </c>
      <c r="C288" s="1">
        <f t="shared" si="8"/>
        <v>437.92</v>
      </c>
    </row>
    <row r="289" spans="1:3" x14ac:dyDescent="0.3">
      <c r="A289" s="49">
        <v>42341</v>
      </c>
      <c r="B289" s="97" t="s">
        <v>327</v>
      </c>
      <c r="C289" s="1">
        <f t="shared" si="8"/>
        <v>1216.1199999999999</v>
      </c>
    </row>
    <row r="290" spans="1:3" x14ac:dyDescent="0.3">
      <c r="A290" s="2" t="s">
        <v>328</v>
      </c>
      <c r="B290" s="97" t="s">
        <v>329</v>
      </c>
      <c r="C290" s="1">
        <f t="shared" si="8"/>
        <v>273.10000000000002</v>
      </c>
    </row>
    <row r="291" spans="1:3" x14ac:dyDescent="0.3">
      <c r="A291" s="2" t="s">
        <v>330</v>
      </c>
      <c r="B291" s="97" t="s">
        <v>331</v>
      </c>
      <c r="C291" s="1">
        <f t="shared" si="8"/>
        <v>242.26</v>
      </c>
    </row>
    <row r="292" spans="1:3" x14ac:dyDescent="0.3">
      <c r="A292" s="2" t="s">
        <v>332</v>
      </c>
      <c r="B292" s="97" t="s">
        <v>333</v>
      </c>
      <c r="C292" s="1">
        <f t="shared" si="8"/>
        <v>1512.6</v>
      </c>
    </row>
    <row r="293" spans="1:3" x14ac:dyDescent="0.3">
      <c r="A293" s="2" t="s">
        <v>334</v>
      </c>
      <c r="B293" s="97" t="s">
        <v>335</v>
      </c>
      <c r="C293" s="1">
        <f t="shared" si="8"/>
        <v>783.75</v>
      </c>
    </row>
    <row r="294" spans="1:3" x14ac:dyDescent="0.3">
      <c r="A294" s="49">
        <v>42101</v>
      </c>
      <c r="B294" s="97" t="s">
        <v>336</v>
      </c>
      <c r="C294" s="1">
        <f t="shared" si="8"/>
        <v>667.99</v>
      </c>
    </row>
    <row r="295" spans="1:3" x14ac:dyDescent="0.3">
      <c r="A295" s="2" t="s">
        <v>337</v>
      </c>
      <c r="B295" s="97" t="s">
        <v>338</v>
      </c>
      <c r="C295" s="1">
        <f t="shared" si="8"/>
        <v>1166.31</v>
      </c>
    </row>
    <row r="296" spans="1:3" x14ac:dyDescent="0.3">
      <c r="A296" s="2" t="s">
        <v>339</v>
      </c>
      <c r="B296" s="97" t="s">
        <v>340</v>
      </c>
      <c r="C296" s="1">
        <f t="shared" si="8"/>
        <v>770.18</v>
      </c>
    </row>
    <row r="297" spans="1:3" x14ac:dyDescent="0.3">
      <c r="A297" s="2" t="s">
        <v>341</v>
      </c>
      <c r="B297" s="97" t="s">
        <v>342</v>
      </c>
      <c r="C297" s="1">
        <f t="shared" si="8"/>
        <v>132.34</v>
      </c>
    </row>
    <row r="298" spans="1:3" x14ac:dyDescent="0.3">
      <c r="A298" s="2" t="s">
        <v>343</v>
      </c>
      <c r="B298" s="97" t="s">
        <v>344</v>
      </c>
      <c r="C298" s="1">
        <f t="shared" si="8"/>
        <v>1188.81</v>
      </c>
    </row>
    <row r="299" spans="1:3" x14ac:dyDescent="0.3">
      <c r="A299" s="2" t="s">
        <v>345</v>
      </c>
      <c r="B299" s="97" t="s">
        <v>346</v>
      </c>
      <c r="C299" s="1">
        <f t="shared" si="8"/>
        <v>198.06</v>
      </c>
    </row>
    <row r="300" spans="1:3" x14ac:dyDescent="0.3">
      <c r="A300" s="2" t="s">
        <v>347</v>
      </c>
      <c r="B300" s="97" t="s">
        <v>348</v>
      </c>
      <c r="C300" s="1">
        <f t="shared" si="8"/>
        <v>594.16999999999996</v>
      </c>
    </row>
    <row r="301" spans="1:3" x14ac:dyDescent="0.3">
      <c r="A301" s="2" t="s">
        <v>349</v>
      </c>
      <c r="B301" s="97" t="s">
        <v>350</v>
      </c>
      <c r="C301" s="1">
        <f t="shared" si="8"/>
        <v>931.09</v>
      </c>
    </row>
    <row r="302" spans="1:3" x14ac:dyDescent="0.3">
      <c r="A302" s="2" t="s">
        <v>351</v>
      </c>
      <c r="B302" s="97" t="s">
        <v>352</v>
      </c>
      <c r="C302" s="1">
        <f t="shared" si="8"/>
        <v>299.64</v>
      </c>
    </row>
    <row r="303" spans="1:3" x14ac:dyDescent="0.3">
      <c r="A303" s="49">
        <v>42193</v>
      </c>
      <c r="B303" s="97" t="s">
        <v>353</v>
      </c>
      <c r="C303" s="1">
        <f t="shared" si="8"/>
        <v>1701.68</v>
      </c>
    </row>
    <row r="304" spans="1:3" x14ac:dyDescent="0.3">
      <c r="A304" s="2" t="s">
        <v>354</v>
      </c>
      <c r="B304" s="97" t="s">
        <v>355</v>
      </c>
      <c r="C304" s="1">
        <f t="shared" si="8"/>
        <v>399.15</v>
      </c>
    </row>
    <row r="305" spans="1:3" x14ac:dyDescent="0.3">
      <c r="A305" s="2" t="s">
        <v>356</v>
      </c>
      <c r="B305" s="97" t="s">
        <v>357</v>
      </c>
      <c r="C305" s="1">
        <f t="shared" si="8"/>
        <v>374.81</v>
      </c>
    </row>
    <row r="306" spans="1:3" x14ac:dyDescent="0.3">
      <c r="A306" s="2" t="s">
        <v>358</v>
      </c>
      <c r="B306" s="97" t="s">
        <v>359</v>
      </c>
      <c r="C306" s="1">
        <f t="shared" si="8"/>
        <v>462.17</v>
      </c>
    </row>
    <row r="307" spans="1:3" x14ac:dyDescent="0.3">
      <c r="A307" s="2" t="s">
        <v>360</v>
      </c>
      <c r="B307" s="97" t="s">
        <v>361</v>
      </c>
      <c r="C307" s="1">
        <f t="shared" si="8"/>
        <v>924.29</v>
      </c>
    </row>
    <row r="308" spans="1:3" x14ac:dyDescent="0.3">
      <c r="A308" s="2" t="s">
        <v>362</v>
      </c>
      <c r="B308" s="97" t="s">
        <v>363</v>
      </c>
      <c r="C308" s="1">
        <f t="shared" si="8"/>
        <v>5000.6000000000004</v>
      </c>
    </row>
    <row r="309" spans="1:3" x14ac:dyDescent="0.3">
      <c r="A309" s="7"/>
      <c r="B309" s="50" cm="1">
        <f t="array" ref="B309">SUM(VALUE(SUBSTITUTE(C219:C308, ",", "")))</f>
        <v>72741.76999999996</v>
      </c>
      <c r="C309" s="6" t="s">
        <v>220</v>
      </c>
    </row>
  </sheetData>
  <mergeCells count="29">
    <mergeCell ref="A101:B101"/>
    <mergeCell ref="A87:B87"/>
    <mergeCell ref="A89:B89"/>
    <mergeCell ref="A59:B59"/>
    <mergeCell ref="A61:B61"/>
    <mergeCell ref="A63:B63"/>
    <mergeCell ref="A90:B90"/>
    <mergeCell ref="A91:B91"/>
    <mergeCell ref="A113:B113"/>
    <mergeCell ref="J120:K120"/>
    <mergeCell ref="A158:B158"/>
    <mergeCell ref="A162:B162"/>
    <mergeCell ref="A1:B1"/>
    <mergeCell ref="A12:B12"/>
    <mergeCell ref="A14:B14"/>
    <mergeCell ref="A16:B16"/>
    <mergeCell ref="A18:B18"/>
    <mergeCell ref="A64:B64"/>
    <mergeCell ref="A66:B66"/>
    <mergeCell ref="A67:B67"/>
    <mergeCell ref="A69:B69"/>
    <mergeCell ref="A70:B70"/>
    <mergeCell ref="A20:B20"/>
    <mergeCell ref="A47:B47"/>
    <mergeCell ref="A163:B163"/>
    <mergeCell ref="B171:C171"/>
    <mergeCell ref="B172:C172"/>
    <mergeCell ref="B180:C180"/>
    <mergeCell ref="J118:K1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4219-31D2-4166-8A42-328A29652358}">
  <dimension ref="A1:P180"/>
  <sheetViews>
    <sheetView topLeftCell="A112" workbookViewId="0">
      <selection activeCell="A69" sqref="A69"/>
    </sheetView>
  </sheetViews>
  <sheetFormatPr defaultRowHeight="14.4" x14ac:dyDescent="0.3"/>
  <cols>
    <col min="2" max="2" width="11.109375" customWidth="1"/>
    <col min="4" max="4" width="13.44140625" customWidth="1"/>
    <col min="5" max="5" width="16.21875" customWidth="1"/>
    <col min="13" max="13" width="10.88671875" customWidth="1"/>
  </cols>
  <sheetData>
    <row r="1" spans="1:11" x14ac:dyDescent="0.3">
      <c r="A1" s="12" t="s">
        <v>764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s="24" t="s">
        <v>74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3">
      <c r="A3" s="25" t="s">
        <v>75</v>
      </c>
      <c r="B3" s="25">
        <v>101</v>
      </c>
      <c r="C3" s="25">
        <v>102</v>
      </c>
      <c r="D3" s="25">
        <v>103</v>
      </c>
      <c r="E3" s="25">
        <v>104</v>
      </c>
      <c r="F3" s="25">
        <v>105</v>
      </c>
      <c r="G3" s="25">
        <v>106</v>
      </c>
      <c r="H3" s="25">
        <v>107</v>
      </c>
      <c r="I3" s="25">
        <v>108</v>
      </c>
      <c r="J3" s="25">
        <v>109</v>
      </c>
      <c r="K3" s="25">
        <v>110</v>
      </c>
    </row>
    <row r="4" spans="1:11" x14ac:dyDescent="0.3">
      <c r="A4" s="25" t="s">
        <v>76</v>
      </c>
      <c r="B4" s="26" t="s">
        <v>77</v>
      </c>
      <c r="C4" s="26" t="s">
        <v>78</v>
      </c>
      <c r="D4" s="26" t="s">
        <v>79</v>
      </c>
      <c r="E4" s="26" t="s">
        <v>80</v>
      </c>
      <c r="F4" s="26" t="s">
        <v>81</v>
      </c>
      <c r="G4" s="26" t="s">
        <v>82</v>
      </c>
      <c r="H4" s="26" t="s">
        <v>83</v>
      </c>
      <c r="I4" s="26" t="s">
        <v>84</v>
      </c>
      <c r="J4" s="26" t="s">
        <v>85</v>
      </c>
      <c r="K4" s="26" t="s">
        <v>86</v>
      </c>
    </row>
    <row r="5" spans="1:11" x14ac:dyDescent="0.3">
      <c r="A5" s="25" t="s">
        <v>87</v>
      </c>
      <c r="B5" s="26" t="s">
        <v>88</v>
      </c>
      <c r="C5" s="26" t="s">
        <v>89</v>
      </c>
      <c r="D5" s="26" t="s">
        <v>90</v>
      </c>
      <c r="E5" s="26" t="s">
        <v>91</v>
      </c>
      <c r="F5" s="26" t="s">
        <v>88</v>
      </c>
      <c r="G5" s="26" t="s">
        <v>89</v>
      </c>
      <c r="H5" s="26" t="s">
        <v>90</v>
      </c>
      <c r="I5" s="26" t="s">
        <v>91</v>
      </c>
      <c r="J5" s="26" t="s">
        <v>88</v>
      </c>
      <c r="K5" s="26" t="s">
        <v>89</v>
      </c>
    </row>
    <row r="6" spans="1:11" x14ac:dyDescent="0.3">
      <c r="A6" s="25" t="s">
        <v>92</v>
      </c>
      <c r="B6" s="26">
        <v>50000</v>
      </c>
      <c r="C6" s="26">
        <v>55000</v>
      </c>
      <c r="D6" s="26">
        <v>60000</v>
      </c>
      <c r="E6" s="26">
        <v>65000</v>
      </c>
      <c r="F6" s="26">
        <v>70000</v>
      </c>
      <c r="G6" s="26">
        <v>75000</v>
      </c>
      <c r="H6" s="26">
        <v>80000</v>
      </c>
      <c r="I6" s="26">
        <v>85000</v>
      </c>
      <c r="J6" s="26">
        <v>90000</v>
      </c>
      <c r="K6" s="26">
        <v>95000</v>
      </c>
    </row>
    <row r="7" spans="1:11" x14ac:dyDescent="0.3">
      <c r="A7" s="25" t="s">
        <v>93</v>
      </c>
      <c r="B7" s="26">
        <v>2000</v>
      </c>
      <c r="C7" s="26">
        <v>2500</v>
      </c>
      <c r="D7" s="26">
        <v>3000</v>
      </c>
      <c r="E7" s="26">
        <v>3500</v>
      </c>
      <c r="F7" s="26">
        <v>4000</v>
      </c>
      <c r="G7" s="26">
        <v>4500</v>
      </c>
      <c r="H7" s="26">
        <v>5000</v>
      </c>
      <c r="I7" s="26">
        <v>5500</v>
      </c>
      <c r="J7" s="26">
        <v>6000</v>
      </c>
      <c r="K7" s="26">
        <v>6500</v>
      </c>
    </row>
    <row r="8" spans="1:11" x14ac:dyDescent="0.3">
      <c r="A8" s="25" t="s">
        <v>94</v>
      </c>
      <c r="B8" s="26">
        <v>52000</v>
      </c>
      <c r="C8" s="26">
        <v>57500</v>
      </c>
      <c r="D8" s="26">
        <v>63000</v>
      </c>
      <c r="E8" s="26">
        <v>685000</v>
      </c>
      <c r="F8" s="26">
        <v>74000</v>
      </c>
      <c r="G8" s="26">
        <v>79500</v>
      </c>
      <c r="H8" s="26">
        <v>85000</v>
      </c>
      <c r="I8" s="26">
        <v>90500</v>
      </c>
      <c r="J8" s="26">
        <v>96000</v>
      </c>
      <c r="K8" s="26">
        <v>101500</v>
      </c>
    </row>
    <row r="9" spans="1:1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x14ac:dyDescent="0.3">
      <c r="A10" s="24" t="s">
        <v>95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3">
      <c r="A11" s="13"/>
      <c r="B11" s="24"/>
      <c r="C11" s="24"/>
      <c r="D11" s="13"/>
      <c r="E11" s="13"/>
      <c r="F11" s="13"/>
      <c r="G11" s="13"/>
      <c r="H11" s="13"/>
      <c r="I11" s="13"/>
      <c r="J11" s="13"/>
      <c r="K11" s="13"/>
    </row>
    <row r="12" spans="1:11" x14ac:dyDescent="0.3">
      <c r="A12" s="13" t="s">
        <v>96</v>
      </c>
      <c r="B12" s="27"/>
      <c r="C12" s="98" t="str">
        <f>HLOOKUP(102,A3:K8,3,)</f>
        <v>Marketing</v>
      </c>
      <c r="D12" s="13"/>
      <c r="E12" s="13"/>
      <c r="F12" s="13"/>
      <c r="G12" s="13"/>
      <c r="H12" s="13"/>
      <c r="I12" s="13"/>
      <c r="J12" s="13"/>
      <c r="K12" s="13"/>
    </row>
    <row r="13" spans="1:1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3">
      <c r="A14" s="24" t="s">
        <v>97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3">
      <c r="A15" s="13"/>
      <c r="B15" s="24"/>
      <c r="C15" s="24"/>
      <c r="D15" s="13"/>
      <c r="E15" s="13"/>
      <c r="F15" s="13"/>
      <c r="G15" s="13"/>
      <c r="H15" s="13"/>
      <c r="I15" s="13"/>
      <c r="J15" s="13"/>
      <c r="K15" s="13"/>
    </row>
    <row r="16" spans="1:11" x14ac:dyDescent="0.3">
      <c r="A16" s="13" t="s">
        <v>96</v>
      </c>
      <c r="B16" s="27"/>
      <c r="C16" s="98">
        <f>HLOOKUP(105,A3:K8,4,FALSE)</f>
        <v>70000</v>
      </c>
      <c r="D16" s="13"/>
      <c r="E16" s="13"/>
      <c r="F16" s="13"/>
      <c r="G16" s="13"/>
      <c r="H16" s="13"/>
      <c r="I16" s="13"/>
      <c r="J16" s="13"/>
      <c r="K16" s="13"/>
    </row>
    <row r="17" spans="1:16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6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6" x14ac:dyDescent="0.3">
      <c r="A19" s="24" t="s">
        <v>98</v>
      </c>
      <c r="B19" s="24"/>
      <c r="C19" s="24"/>
      <c r="D19" s="13"/>
      <c r="E19" s="13"/>
      <c r="F19" s="13"/>
      <c r="G19" s="13"/>
      <c r="H19" s="13"/>
      <c r="I19" s="13"/>
      <c r="J19" s="13"/>
      <c r="K19" s="13"/>
    </row>
    <row r="20" spans="1:16" x14ac:dyDescent="0.3">
      <c r="A20" s="12" t="s">
        <v>96</v>
      </c>
      <c r="B20" s="27"/>
      <c r="C20" s="98">
        <f>INDEX(A8:K8,MATCH(107,A3:K3,0))</f>
        <v>85000</v>
      </c>
      <c r="D20" s="13"/>
      <c r="E20" s="13"/>
      <c r="F20" s="13"/>
      <c r="G20" s="13"/>
      <c r="H20" s="13"/>
      <c r="I20" s="13"/>
      <c r="J20" s="13"/>
      <c r="K20" s="106"/>
      <c r="L20" s="106"/>
      <c r="M20" s="1"/>
      <c r="N20" s="1"/>
      <c r="O20" s="1"/>
      <c r="P20" s="7"/>
    </row>
    <row r="21" spans="1:16" x14ac:dyDescent="0.3">
      <c r="K21" s="106"/>
      <c r="L21" s="106"/>
      <c r="M21" s="1"/>
      <c r="N21" s="111" t="s">
        <v>365</v>
      </c>
      <c r="O21" s="112"/>
      <c r="P21" s="112"/>
    </row>
    <row r="22" spans="1:16" x14ac:dyDescent="0.3">
      <c r="A22" s="121" t="s">
        <v>765</v>
      </c>
      <c r="K22" s="1"/>
      <c r="L22" s="51" t="s">
        <v>375</v>
      </c>
      <c r="M22" s="51" t="s">
        <v>376</v>
      </c>
      <c r="N22" s="51" t="s">
        <v>366</v>
      </c>
      <c r="O22" s="51" t="s">
        <v>368</v>
      </c>
      <c r="P22" s="51" t="s">
        <v>369</v>
      </c>
    </row>
    <row r="23" spans="1:16" x14ac:dyDescent="0.3">
      <c r="K23" s="1"/>
      <c r="L23" s="54" t="s">
        <v>377</v>
      </c>
      <c r="M23" s="54" t="s">
        <v>378</v>
      </c>
      <c r="N23" s="55">
        <v>3419</v>
      </c>
      <c r="O23" s="55">
        <v>4378</v>
      </c>
      <c r="P23" s="56">
        <v>2755</v>
      </c>
    </row>
    <row r="24" spans="1:16" x14ac:dyDescent="0.3">
      <c r="A24" s="6">
        <v>1</v>
      </c>
      <c r="B24" s="7" t="s">
        <v>364</v>
      </c>
      <c r="C24" s="1"/>
      <c r="D24" s="1"/>
      <c r="E24" s="1"/>
      <c r="F24" s="1"/>
      <c r="K24" s="1"/>
      <c r="L24" s="54" t="s">
        <v>377</v>
      </c>
      <c r="M24" s="54" t="s">
        <v>379</v>
      </c>
      <c r="N24" s="55">
        <v>1492</v>
      </c>
      <c r="O24" s="55">
        <v>2126</v>
      </c>
      <c r="P24" s="56">
        <v>2103</v>
      </c>
    </row>
    <row r="25" spans="1:16" x14ac:dyDescent="0.3">
      <c r="A25" s="106"/>
      <c r="B25" s="106"/>
      <c r="C25" s="1"/>
      <c r="D25" s="1"/>
      <c r="E25" s="1"/>
      <c r="F25" s="1"/>
      <c r="K25" s="1"/>
      <c r="L25" s="54" t="s">
        <v>377</v>
      </c>
      <c r="M25" s="54" t="s">
        <v>380</v>
      </c>
      <c r="N25" s="55">
        <v>1371</v>
      </c>
      <c r="O25" s="55">
        <v>1930</v>
      </c>
      <c r="P25" s="56">
        <v>1823</v>
      </c>
    </row>
    <row r="26" spans="1:16" x14ac:dyDescent="0.3">
      <c r="A26" s="1"/>
      <c r="B26" s="6" t="s">
        <v>365</v>
      </c>
      <c r="C26" s="51" t="s">
        <v>366</v>
      </c>
      <c r="D26" s="1"/>
      <c r="E26" s="32"/>
      <c r="F26" s="1"/>
      <c r="K26" s="1"/>
      <c r="L26" s="54" t="s">
        <v>377</v>
      </c>
      <c r="M26" s="54" t="s">
        <v>381</v>
      </c>
      <c r="N26" s="55">
        <v>1607</v>
      </c>
      <c r="O26" s="55">
        <v>2133</v>
      </c>
      <c r="P26" s="56">
        <v>2102</v>
      </c>
    </row>
    <row r="27" spans="1:16" x14ac:dyDescent="0.3">
      <c r="A27" s="1"/>
      <c r="B27" s="7" t="s">
        <v>367</v>
      </c>
      <c r="C27" s="50"/>
      <c r="D27" s="99">
        <f>SUM(N23:N180)</f>
        <v>99498</v>
      </c>
      <c r="E27" s="7"/>
      <c r="F27" s="1"/>
      <c r="K27" s="1"/>
      <c r="L27" s="54" t="s">
        <v>377</v>
      </c>
      <c r="M27" s="54" t="s">
        <v>382</v>
      </c>
      <c r="N27" s="57">
        <v>951</v>
      </c>
      <c r="O27" s="55">
        <v>1445</v>
      </c>
      <c r="P27" s="56">
        <v>1416</v>
      </c>
    </row>
    <row r="28" spans="1:16" x14ac:dyDescent="0.3">
      <c r="A28" s="106"/>
      <c r="B28" s="106"/>
      <c r="C28" s="1"/>
      <c r="D28" s="1"/>
      <c r="E28" s="1"/>
      <c r="F28" s="1"/>
      <c r="K28" s="1"/>
      <c r="L28" s="54" t="s">
        <v>377</v>
      </c>
      <c r="M28" s="54" t="s">
        <v>383</v>
      </c>
      <c r="N28" s="57">
        <v>889</v>
      </c>
      <c r="O28" s="55">
        <v>1293</v>
      </c>
      <c r="P28" s="56">
        <v>1526</v>
      </c>
    </row>
    <row r="29" spans="1:16" x14ac:dyDescent="0.3">
      <c r="A29" s="1"/>
      <c r="B29" s="6" t="s">
        <v>365</v>
      </c>
      <c r="C29" s="51" t="s">
        <v>368</v>
      </c>
      <c r="D29" s="1"/>
      <c r="E29" s="1"/>
      <c r="F29" s="1"/>
      <c r="K29" s="1"/>
      <c r="L29" s="54" t="s">
        <v>377</v>
      </c>
      <c r="M29" s="54" t="s">
        <v>384</v>
      </c>
      <c r="N29" s="55">
        <v>1254</v>
      </c>
      <c r="O29" s="55">
        <v>1989</v>
      </c>
      <c r="P29" s="56">
        <v>1685</v>
      </c>
    </row>
    <row r="30" spans="1:16" x14ac:dyDescent="0.3">
      <c r="A30" s="1"/>
      <c r="B30" s="7" t="s">
        <v>367</v>
      </c>
      <c r="C30" s="50"/>
      <c r="D30" s="99">
        <f>SUM(O23:O180)</f>
        <v>211409</v>
      </c>
      <c r="E30" s="1"/>
      <c r="F30" s="1"/>
      <c r="K30" s="1"/>
      <c r="L30" s="54" t="s">
        <v>377</v>
      </c>
      <c r="M30" s="54" t="s">
        <v>385</v>
      </c>
      <c r="N30" s="55">
        <v>1025</v>
      </c>
      <c r="O30" s="55">
        <v>1362</v>
      </c>
      <c r="P30" s="56">
        <v>2077</v>
      </c>
    </row>
    <row r="31" spans="1:16" x14ac:dyDescent="0.3">
      <c r="A31" s="106"/>
      <c r="B31" s="106"/>
      <c r="C31" s="1"/>
      <c r="D31" s="1"/>
      <c r="E31" s="1"/>
      <c r="F31" s="1"/>
      <c r="K31" s="1"/>
      <c r="L31" s="54" t="s">
        <v>377</v>
      </c>
      <c r="M31" s="54" t="s">
        <v>386</v>
      </c>
      <c r="N31" s="55">
        <v>1194</v>
      </c>
      <c r="O31" s="55">
        <v>2016</v>
      </c>
      <c r="P31" s="56">
        <v>1452</v>
      </c>
    </row>
    <row r="32" spans="1:16" x14ac:dyDescent="0.3">
      <c r="A32" s="1"/>
      <c r="B32" s="6" t="s">
        <v>365</v>
      </c>
      <c r="C32" s="51" t="s">
        <v>369</v>
      </c>
      <c r="D32" s="1"/>
      <c r="E32" s="1"/>
      <c r="F32" s="1"/>
      <c r="K32" s="1"/>
      <c r="L32" s="54" t="s">
        <v>377</v>
      </c>
      <c r="M32" s="54" t="s">
        <v>387</v>
      </c>
      <c r="N32" s="57">
        <v>607</v>
      </c>
      <c r="O32" s="57">
        <v>853</v>
      </c>
      <c r="P32" s="56">
        <v>1022</v>
      </c>
    </row>
    <row r="33" spans="1:16" x14ac:dyDescent="0.3">
      <c r="A33" s="1"/>
      <c r="B33" s="7" t="s">
        <v>367</v>
      </c>
      <c r="C33" s="50"/>
      <c r="D33" s="99">
        <f>SUM(P23:P180)</f>
        <v>127820</v>
      </c>
      <c r="E33" s="1"/>
      <c r="F33" s="1"/>
      <c r="K33" s="1"/>
      <c r="L33" s="54" t="s">
        <v>377</v>
      </c>
      <c r="M33" s="54" t="s">
        <v>388</v>
      </c>
      <c r="N33" s="57">
        <v>626</v>
      </c>
      <c r="O33" s="55">
        <v>1569</v>
      </c>
      <c r="P33" s="56">
        <v>1033</v>
      </c>
    </row>
    <row r="34" spans="1:16" x14ac:dyDescent="0.3">
      <c r="A34" s="106"/>
      <c r="B34" s="106"/>
      <c r="C34" s="1"/>
      <c r="D34" s="1"/>
      <c r="E34" s="1"/>
      <c r="F34" s="1"/>
      <c r="K34" s="1"/>
      <c r="L34" s="54" t="s">
        <v>377</v>
      </c>
      <c r="M34" s="54" t="s">
        <v>389</v>
      </c>
      <c r="N34" s="55">
        <v>1037</v>
      </c>
      <c r="O34" s="55">
        <v>2300</v>
      </c>
      <c r="P34" s="56">
        <v>1598</v>
      </c>
    </row>
    <row r="35" spans="1:16" x14ac:dyDescent="0.3">
      <c r="A35" s="6">
        <v>2</v>
      </c>
      <c r="B35" s="28" t="s">
        <v>370</v>
      </c>
      <c r="C35" s="52"/>
      <c r="D35" s="52"/>
      <c r="E35" s="52"/>
      <c r="F35" s="1"/>
      <c r="K35" s="1"/>
      <c r="L35" s="54" t="s">
        <v>377</v>
      </c>
      <c r="M35" s="54" t="s">
        <v>390</v>
      </c>
      <c r="N35" s="57">
        <v>972</v>
      </c>
      <c r="O35" s="55">
        <v>2128</v>
      </c>
      <c r="P35" s="58">
        <v>912</v>
      </c>
    </row>
    <row r="36" spans="1:16" x14ac:dyDescent="0.3">
      <c r="A36" s="106"/>
      <c r="B36" s="110"/>
      <c r="C36" s="100">
        <f>SUM(N25:P25)</f>
        <v>5124</v>
      </c>
      <c r="D36" s="7"/>
      <c r="E36" s="7"/>
      <c r="F36" s="7"/>
      <c r="K36" s="1"/>
      <c r="L36" s="54" t="s">
        <v>377</v>
      </c>
      <c r="M36" s="54" t="s">
        <v>391</v>
      </c>
      <c r="N36" s="57">
        <v>88</v>
      </c>
      <c r="O36" s="55">
        <v>1159</v>
      </c>
      <c r="P36" s="58">
        <v>0</v>
      </c>
    </row>
    <row r="37" spans="1:16" x14ac:dyDescent="0.3">
      <c r="A37" s="106"/>
      <c r="B37" s="106"/>
      <c r="C37" s="1"/>
      <c r="D37" s="1"/>
      <c r="E37" s="1"/>
      <c r="F37" s="1"/>
      <c r="K37" s="1"/>
      <c r="L37" s="54" t="s">
        <v>377</v>
      </c>
      <c r="M37" s="54" t="s">
        <v>392</v>
      </c>
      <c r="N37" s="55">
        <v>2052</v>
      </c>
      <c r="O37" s="55">
        <v>2159</v>
      </c>
      <c r="P37" s="56">
        <v>1582</v>
      </c>
    </row>
    <row r="38" spans="1:16" x14ac:dyDescent="0.3">
      <c r="A38" s="6">
        <v>3</v>
      </c>
      <c r="B38" s="28" t="s">
        <v>371</v>
      </c>
      <c r="C38" s="52"/>
      <c r="D38" s="52"/>
      <c r="E38" s="52"/>
      <c r="F38" s="52"/>
      <c r="K38" s="1"/>
      <c r="L38" s="54" t="s">
        <v>377</v>
      </c>
      <c r="M38" s="54" t="s">
        <v>393</v>
      </c>
      <c r="N38" s="55">
        <v>1582</v>
      </c>
      <c r="O38" s="55">
        <v>2308</v>
      </c>
      <c r="P38" s="56">
        <v>1699</v>
      </c>
    </row>
    <row r="39" spans="1:16" x14ac:dyDescent="0.3">
      <c r="A39" s="106"/>
      <c r="B39" s="110"/>
      <c r="C39" s="100">
        <f>SUM(N23:P42)</f>
        <v>89884</v>
      </c>
      <c r="D39" s="7"/>
      <c r="E39" s="53"/>
      <c r="F39" s="7"/>
      <c r="K39" s="1"/>
      <c r="L39" s="54" t="s">
        <v>377</v>
      </c>
      <c r="M39" s="54" t="s">
        <v>394</v>
      </c>
      <c r="N39" s="55">
        <v>1088</v>
      </c>
      <c r="O39" s="55">
        <v>1218</v>
      </c>
      <c r="P39" s="58">
        <v>981</v>
      </c>
    </row>
    <row r="40" spans="1:16" x14ac:dyDescent="0.3">
      <c r="A40" s="106"/>
      <c r="B40" s="106"/>
      <c r="C40" s="1"/>
      <c r="D40" s="1"/>
      <c r="E40" s="53"/>
      <c r="F40" s="7"/>
      <c r="K40" s="1"/>
      <c r="L40" s="54" t="s">
        <v>377</v>
      </c>
      <c r="M40" s="54" t="s">
        <v>395</v>
      </c>
      <c r="N40" s="57">
        <v>706</v>
      </c>
      <c r="O40" s="55">
        <v>1151</v>
      </c>
      <c r="P40" s="56">
        <v>1145</v>
      </c>
    </row>
    <row r="41" spans="1:16" x14ac:dyDescent="0.3">
      <c r="A41" s="6">
        <v>4</v>
      </c>
      <c r="B41" s="28" t="s">
        <v>372</v>
      </c>
      <c r="C41" s="52"/>
      <c r="D41" s="52"/>
      <c r="E41" s="52"/>
      <c r="F41" s="52"/>
      <c r="K41" s="1"/>
      <c r="L41" s="54" t="s">
        <v>377</v>
      </c>
      <c r="M41" s="54" t="s">
        <v>396</v>
      </c>
      <c r="N41" s="55">
        <v>1335</v>
      </c>
      <c r="O41" s="55">
        <v>2098</v>
      </c>
      <c r="P41" s="56">
        <v>1322</v>
      </c>
    </row>
    <row r="42" spans="1:16" x14ac:dyDescent="0.3">
      <c r="A42" s="1"/>
      <c r="B42" s="7" t="s">
        <v>373</v>
      </c>
      <c r="C42" s="101">
        <f>SUM(N23:N180)</f>
        <v>99498</v>
      </c>
      <c r="D42" s="7"/>
      <c r="E42" s="1"/>
      <c r="F42" s="6"/>
      <c r="K42" s="1"/>
      <c r="L42" s="54" t="s">
        <v>377</v>
      </c>
      <c r="M42" s="54" t="s">
        <v>397</v>
      </c>
      <c r="N42" s="57">
        <v>702</v>
      </c>
      <c r="O42" s="55">
        <v>1162</v>
      </c>
      <c r="P42" s="58">
        <v>877</v>
      </c>
    </row>
    <row r="43" spans="1:16" x14ac:dyDescent="0.3">
      <c r="A43" s="1"/>
      <c r="B43" s="7" t="s">
        <v>374</v>
      </c>
      <c r="C43" s="102">
        <f>SUM(P23:P180)</f>
        <v>127820</v>
      </c>
      <c r="D43" s="7"/>
      <c r="E43" s="1"/>
      <c r="F43" s="7"/>
      <c r="K43" s="1"/>
      <c r="L43" s="54" t="s">
        <v>377</v>
      </c>
      <c r="M43" s="54" t="s">
        <v>398</v>
      </c>
      <c r="N43" s="57">
        <v>968</v>
      </c>
      <c r="O43" s="55">
        <v>1101</v>
      </c>
      <c r="P43" s="58">
        <v>797</v>
      </c>
    </row>
    <row r="44" spans="1:16" x14ac:dyDescent="0.3">
      <c r="A44" s="106"/>
      <c r="B44" s="106"/>
      <c r="C44" s="1"/>
      <c r="D44" s="1"/>
      <c r="E44" s="1"/>
      <c r="F44" s="7"/>
      <c r="K44" s="1"/>
      <c r="L44" s="54" t="s">
        <v>377</v>
      </c>
      <c r="M44" s="54" t="s">
        <v>399</v>
      </c>
      <c r="N44" s="55">
        <v>1664</v>
      </c>
      <c r="O44" s="55">
        <v>2069</v>
      </c>
      <c r="P44" s="56">
        <v>1710</v>
      </c>
    </row>
    <row r="45" spans="1:16" x14ac:dyDescent="0.3">
      <c r="K45" s="1"/>
      <c r="L45" s="54" t="s">
        <v>377</v>
      </c>
      <c r="M45" s="54" t="s">
        <v>400</v>
      </c>
      <c r="N45" s="57">
        <v>624</v>
      </c>
      <c r="O45" s="57">
        <v>770</v>
      </c>
      <c r="P45" s="58">
        <v>746</v>
      </c>
    </row>
    <row r="46" spans="1:16" x14ac:dyDescent="0.3">
      <c r="A46" s="121" t="s">
        <v>766</v>
      </c>
      <c r="K46" s="1"/>
      <c r="L46" s="54" t="s">
        <v>377</v>
      </c>
      <c r="M46" s="54" t="s">
        <v>401</v>
      </c>
      <c r="N46" s="57">
        <v>685</v>
      </c>
      <c r="O46" s="55">
        <v>1501</v>
      </c>
      <c r="P46" s="56">
        <v>1126</v>
      </c>
    </row>
    <row r="47" spans="1:16" x14ac:dyDescent="0.3">
      <c r="A47" s="7"/>
      <c r="B47" s="45" t="s">
        <v>536</v>
      </c>
      <c r="C47" s="45" t="s">
        <v>537</v>
      </c>
      <c r="D47" s="45" t="s">
        <v>538</v>
      </c>
      <c r="E47" s="45" t="s">
        <v>539</v>
      </c>
      <c r="F47" s="7"/>
      <c r="G47" s="7"/>
      <c r="H47" s="7"/>
      <c r="K47" s="1"/>
      <c r="L47" s="54" t="s">
        <v>377</v>
      </c>
      <c r="M47" s="54" t="s">
        <v>402</v>
      </c>
      <c r="N47" s="55">
        <v>1248</v>
      </c>
      <c r="O47" s="55">
        <v>1763</v>
      </c>
      <c r="P47" s="56">
        <v>1146</v>
      </c>
    </row>
    <row r="48" spans="1:16" x14ac:dyDescent="0.3">
      <c r="A48" s="7"/>
      <c r="B48" s="59">
        <v>1</v>
      </c>
      <c r="C48" s="60">
        <v>8000</v>
      </c>
      <c r="D48" s="59" t="s">
        <v>540</v>
      </c>
      <c r="E48" s="59">
        <v>10</v>
      </c>
      <c r="F48" s="7"/>
      <c r="G48" s="7"/>
      <c r="H48" s="7"/>
      <c r="K48" s="1"/>
      <c r="L48" s="54" t="s">
        <v>377</v>
      </c>
      <c r="M48" s="54" t="s">
        <v>403</v>
      </c>
      <c r="N48" s="55">
        <v>1342</v>
      </c>
      <c r="O48" s="55">
        <v>1559</v>
      </c>
      <c r="P48" s="56">
        <v>1307</v>
      </c>
    </row>
    <row r="49" spans="1:16" x14ac:dyDescent="0.3">
      <c r="A49" s="7"/>
      <c r="B49" s="59">
        <v>2</v>
      </c>
      <c r="C49" s="60">
        <v>11000</v>
      </c>
      <c r="D49" s="59" t="s">
        <v>540</v>
      </c>
      <c r="E49" s="59">
        <v>9</v>
      </c>
      <c r="F49" s="7"/>
      <c r="G49" s="7"/>
      <c r="H49" s="7"/>
      <c r="K49" s="1"/>
      <c r="L49" s="54" t="s">
        <v>377</v>
      </c>
      <c r="M49" s="54" t="s">
        <v>404</v>
      </c>
      <c r="N49" s="57">
        <v>760</v>
      </c>
      <c r="O49" s="57">
        <v>965</v>
      </c>
      <c r="P49" s="58">
        <v>921</v>
      </c>
    </row>
    <row r="50" spans="1:16" x14ac:dyDescent="0.3">
      <c r="A50" s="7"/>
      <c r="B50" s="59">
        <v>3</v>
      </c>
      <c r="C50" s="60">
        <v>6000</v>
      </c>
      <c r="D50" s="59" t="s">
        <v>541</v>
      </c>
      <c r="E50" s="59">
        <v>5</v>
      </c>
      <c r="F50" s="7"/>
      <c r="G50" s="7"/>
      <c r="H50" s="7"/>
      <c r="K50" s="1"/>
      <c r="L50" s="54" t="s">
        <v>377</v>
      </c>
      <c r="M50" s="54" t="s">
        <v>405</v>
      </c>
      <c r="N50" s="55">
        <v>1187</v>
      </c>
      <c r="O50" s="55">
        <v>1568</v>
      </c>
      <c r="P50" s="56">
        <v>1190</v>
      </c>
    </row>
    <row r="51" spans="1:16" x14ac:dyDescent="0.3">
      <c r="A51" s="7"/>
      <c r="B51" s="59">
        <v>4</v>
      </c>
      <c r="C51" s="60">
        <v>15000</v>
      </c>
      <c r="D51" s="59" t="s">
        <v>540</v>
      </c>
      <c r="E51" s="59">
        <v>10</v>
      </c>
      <c r="F51" s="7"/>
      <c r="G51" s="7"/>
      <c r="H51" s="7"/>
      <c r="K51" s="1"/>
      <c r="L51" s="54" t="s">
        <v>377</v>
      </c>
      <c r="M51" s="54" t="s">
        <v>406</v>
      </c>
      <c r="N51" s="57">
        <v>0</v>
      </c>
      <c r="O51" s="57">
        <v>0</v>
      </c>
      <c r="P51" s="58">
        <v>277</v>
      </c>
    </row>
    <row r="52" spans="1:16" x14ac:dyDescent="0.3">
      <c r="A52" s="7"/>
      <c r="B52" s="59">
        <v>5</v>
      </c>
      <c r="C52" s="60">
        <v>10000</v>
      </c>
      <c r="D52" s="59" t="s">
        <v>541</v>
      </c>
      <c r="E52" s="59">
        <v>2</v>
      </c>
      <c r="F52" s="7"/>
      <c r="G52" s="7"/>
      <c r="H52" s="7"/>
      <c r="K52" s="1"/>
      <c r="L52" s="54" t="s">
        <v>377</v>
      </c>
      <c r="M52" s="54" t="s">
        <v>407</v>
      </c>
      <c r="N52" s="57">
        <v>368</v>
      </c>
      <c r="O52" s="55">
        <v>1386</v>
      </c>
      <c r="P52" s="58">
        <v>637</v>
      </c>
    </row>
    <row r="53" spans="1:16" x14ac:dyDescent="0.3">
      <c r="A53" s="7"/>
      <c r="B53" s="59">
        <v>6</v>
      </c>
      <c r="C53" s="60">
        <v>15000</v>
      </c>
      <c r="D53" s="59" t="s">
        <v>540</v>
      </c>
      <c r="E53" s="59">
        <v>5</v>
      </c>
      <c r="F53" s="7"/>
      <c r="G53" s="7"/>
      <c r="H53" s="7"/>
      <c r="K53" s="1"/>
      <c r="L53" s="54" t="s">
        <v>377</v>
      </c>
      <c r="M53" s="54" t="s">
        <v>408</v>
      </c>
      <c r="N53" s="57">
        <v>317</v>
      </c>
      <c r="O53" s="55">
        <v>1215</v>
      </c>
      <c r="P53" s="58">
        <v>478</v>
      </c>
    </row>
    <row r="54" spans="1:16" x14ac:dyDescent="0.3">
      <c r="A54" s="7"/>
      <c r="B54" s="59">
        <v>7</v>
      </c>
      <c r="C54" s="60">
        <v>13000</v>
      </c>
      <c r="D54" s="59" t="s">
        <v>540</v>
      </c>
      <c r="E54" s="59">
        <v>999</v>
      </c>
      <c r="F54" s="7"/>
      <c r="G54" s="7"/>
      <c r="H54" s="7"/>
      <c r="K54" s="1"/>
      <c r="L54" s="54" t="s">
        <v>377</v>
      </c>
      <c r="M54" s="54" t="s">
        <v>409</v>
      </c>
      <c r="N54" s="57">
        <v>689</v>
      </c>
      <c r="O54" s="55">
        <v>2544</v>
      </c>
      <c r="P54" s="56">
        <v>1009</v>
      </c>
    </row>
    <row r="55" spans="1:16" x14ac:dyDescent="0.3">
      <c r="A55" s="7"/>
      <c r="B55" s="59">
        <v>8</v>
      </c>
      <c r="C55" s="60">
        <v>8000</v>
      </c>
      <c r="D55" s="59" t="s">
        <v>540</v>
      </c>
      <c r="E55" s="59">
        <v>2</v>
      </c>
      <c r="F55" s="7"/>
      <c r="G55" s="7"/>
      <c r="H55" s="7"/>
      <c r="K55" s="1"/>
      <c r="L55" s="54" t="s">
        <v>377</v>
      </c>
      <c r="M55" s="54" t="s">
        <v>410</v>
      </c>
      <c r="N55" s="57">
        <v>510</v>
      </c>
      <c r="O55" s="55">
        <v>2583</v>
      </c>
      <c r="P55" s="58">
        <v>861</v>
      </c>
    </row>
    <row r="56" spans="1:16" x14ac:dyDescent="0.3">
      <c r="A56" s="7"/>
      <c r="B56" s="59">
        <v>9</v>
      </c>
      <c r="C56" s="60">
        <v>11000</v>
      </c>
      <c r="D56" s="59" t="s">
        <v>541</v>
      </c>
      <c r="E56" s="59">
        <v>5</v>
      </c>
      <c r="F56" s="7"/>
      <c r="G56" s="7"/>
      <c r="H56" s="7"/>
      <c r="K56" s="1"/>
      <c r="L56" s="54" t="s">
        <v>377</v>
      </c>
      <c r="M56" s="54" t="s">
        <v>411</v>
      </c>
      <c r="N56" s="57">
        <v>257</v>
      </c>
      <c r="O56" s="55">
        <v>1023</v>
      </c>
      <c r="P56" s="58">
        <v>446</v>
      </c>
    </row>
    <row r="57" spans="1:16" x14ac:dyDescent="0.3">
      <c r="A57" s="7"/>
      <c r="B57" s="59">
        <v>10</v>
      </c>
      <c r="C57" s="60">
        <v>9000</v>
      </c>
      <c r="D57" s="59" t="s">
        <v>540</v>
      </c>
      <c r="E57" s="59">
        <v>6</v>
      </c>
      <c r="F57" s="7"/>
      <c r="G57" s="7"/>
      <c r="H57" s="7"/>
      <c r="K57" s="1"/>
      <c r="L57" s="54" t="s">
        <v>377</v>
      </c>
      <c r="M57" s="54" t="s">
        <v>412</v>
      </c>
      <c r="N57" s="57">
        <v>335</v>
      </c>
      <c r="O57" s="55">
        <v>1225</v>
      </c>
      <c r="P57" s="58">
        <v>520</v>
      </c>
    </row>
    <row r="58" spans="1:16" x14ac:dyDescent="0.3">
      <c r="A58" s="109"/>
      <c r="B58" s="109"/>
      <c r="C58" s="7"/>
      <c r="D58" s="7"/>
      <c r="E58" s="7"/>
      <c r="F58" s="7"/>
      <c r="G58" s="7"/>
      <c r="H58" s="7"/>
      <c r="K58" s="1"/>
      <c r="L58" s="54" t="s">
        <v>377</v>
      </c>
      <c r="M58" s="54" t="s">
        <v>413</v>
      </c>
      <c r="N58" s="57">
        <v>264</v>
      </c>
      <c r="O58" s="57">
        <v>957</v>
      </c>
      <c r="P58" s="58">
        <v>405</v>
      </c>
    </row>
    <row r="59" spans="1:16" x14ac:dyDescent="0.3">
      <c r="A59" s="109"/>
      <c r="B59" s="109"/>
      <c r="C59" s="7"/>
      <c r="D59" s="7"/>
      <c r="E59" s="7"/>
      <c r="F59" s="7"/>
      <c r="G59" s="7"/>
      <c r="H59" s="7"/>
      <c r="K59" s="1"/>
      <c r="L59" s="54" t="s">
        <v>377</v>
      </c>
      <c r="M59" s="54" t="s">
        <v>414</v>
      </c>
      <c r="N59" s="57">
        <v>285</v>
      </c>
      <c r="O59" s="57">
        <v>869</v>
      </c>
      <c r="P59" s="58">
        <v>434</v>
      </c>
    </row>
    <row r="60" spans="1:16" ht="15" thickBot="1" x14ac:dyDescent="0.35">
      <c r="A60" s="7"/>
      <c r="B60" s="6" t="s">
        <v>542</v>
      </c>
      <c r="C60" s="7"/>
      <c r="D60" s="7"/>
      <c r="E60" s="7"/>
      <c r="F60" s="7"/>
      <c r="G60" s="7"/>
      <c r="H60" s="7"/>
      <c r="K60" s="1"/>
      <c r="L60" s="54" t="s">
        <v>377</v>
      </c>
      <c r="M60" s="54" t="s">
        <v>415</v>
      </c>
      <c r="N60" s="57">
        <v>550</v>
      </c>
      <c r="O60" s="55">
        <v>2502</v>
      </c>
      <c r="P60" s="58">
        <v>822</v>
      </c>
    </row>
    <row r="61" spans="1:16" ht="15" thickBot="1" x14ac:dyDescent="0.35">
      <c r="A61" s="7">
        <v>1</v>
      </c>
      <c r="B61" s="7" t="s">
        <v>543</v>
      </c>
      <c r="C61" s="7"/>
      <c r="D61" s="7"/>
      <c r="E61" s="7"/>
      <c r="F61" s="7"/>
      <c r="G61" s="7"/>
      <c r="H61" s="61">
        <f>SUMIF(D48:D57,"YES",C48:C57)</f>
        <v>79000</v>
      </c>
      <c r="K61" s="1"/>
      <c r="L61" s="54" t="s">
        <v>377</v>
      </c>
      <c r="M61" s="54" t="s">
        <v>416</v>
      </c>
      <c r="N61" s="57">
        <v>266</v>
      </c>
      <c r="O61" s="55">
        <v>1382</v>
      </c>
      <c r="P61" s="58">
        <v>501</v>
      </c>
    </row>
    <row r="62" spans="1:16" ht="15" thickBot="1" x14ac:dyDescent="0.35">
      <c r="A62" s="7">
        <v>2</v>
      </c>
      <c r="B62" s="7" t="s">
        <v>544</v>
      </c>
      <c r="C62" s="7"/>
      <c r="D62" s="7"/>
      <c r="E62" s="7"/>
      <c r="F62" s="7"/>
      <c r="G62" s="7"/>
      <c r="H62" s="61">
        <f>SUMIF(D48:D57,"NO",C48:C57)</f>
        <v>27000</v>
      </c>
      <c r="K62" s="1"/>
      <c r="L62" s="54" t="s">
        <v>377</v>
      </c>
      <c r="M62" s="54" t="s">
        <v>417</v>
      </c>
      <c r="N62" s="57">
        <v>598</v>
      </c>
      <c r="O62" s="55">
        <v>2107</v>
      </c>
      <c r="P62" s="56">
        <v>1002</v>
      </c>
    </row>
    <row r="63" spans="1:16" ht="15" thickBot="1" x14ac:dyDescent="0.35">
      <c r="A63" s="109"/>
      <c r="B63" s="109"/>
      <c r="C63" s="7"/>
      <c r="D63" s="7"/>
      <c r="E63" s="7"/>
      <c r="F63" s="7"/>
      <c r="G63" s="7"/>
      <c r="H63" s="7"/>
      <c r="K63" s="1"/>
      <c r="L63" s="54" t="s">
        <v>377</v>
      </c>
      <c r="M63" s="54" t="s">
        <v>418</v>
      </c>
      <c r="N63" s="57">
        <v>344</v>
      </c>
      <c r="O63" s="55">
        <v>1641</v>
      </c>
      <c r="P63" s="58">
        <v>765</v>
      </c>
    </row>
    <row r="64" spans="1:16" ht="15" thickBot="1" x14ac:dyDescent="0.35">
      <c r="A64" s="7">
        <v>3</v>
      </c>
      <c r="B64" s="7" t="s">
        <v>545</v>
      </c>
      <c r="C64" s="7"/>
      <c r="D64" s="7"/>
      <c r="E64" s="7"/>
      <c r="F64" s="7"/>
      <c r="G64" s="7"/>
      <c r="H64" s="61">
        <f>SUMIFS(E48:E57,C48:C57,"&gt;10000")</f>
        <v>1028</v>
      </c>
      <c r="K64" s="1"/>
      <c r="L64" s="54" t="s">
        <v>377</v>
      </c>
      <c r="M64" s="54" t="s">
        <v>419</v>
      </c>
      <c r="N64" s="57">
        <v>183</v>
      </c>
      <c r="O64" s="57">
        <v>867</v>
      </c>
      <c r="P64" s="58">
        <v>384</v>
      </c>
    </row>
    <row r="65" spans="1:16" ht="15" thickBot="1" x14ac:dyDescent="0.35">
      <c r="A65" s="109"/>
      <c r="B65" s="109"/>
      <c r="C65" s="7"/>
      <c r="D65" s="7"/>
      <c r="E65" s="7"/>
      <c r="F65" s="7"/>
      <c r="G65" s="7"/>
      <c r="H65" s="7"/>
      <c r="K65" s="1"/>
      <c r="L65" s="54" t="s">
        <v>377</v>
      </c>
      <c r="M65" s="54" t="s">
        <v>420</v>
      </c>
      <c r="N65" s="57">
        <v>302</v>
      </c>
      <c r="O65" s="55">
        <v>1326</v>
      </c>
      <c r="P65" s="58">
        <v>586</v>
      </c>
    </row>
    <row r="66" spans="1:16" ht="15" thickBot="1" x14ac:dyDescent="0.35">
      <c r="A66" s="7">
        <v>4</v>
      </c>
      <c r="B66" s="7" t="s">
        <v>546</v>
      </c>
      <c r="C66" s="7"/>
      <c r="D66" s="7"/>
      <c r="E66" s="7"/>
      <c r="F66" s="7"/>
      <c r="G66" s="7"/>
      <c r="H66" s="61">
        <f>SUMIF(C48:C57,"&gt;10000",C48:C57)</f>
        <v>65000</v>
      </c>
      <c r="K66" s="1"/>
      <c r="L66" s="54" t="s">
        <v>377</v>
      </c>
      <c r="M66" s="54" t="s">
        <v>421</v>
      </c>
      <c r="N66" s="57">
        <v>177</v>
      </c>
      <c r="O66" s="57">
        <v>823</v>
      </c>
      <c r="P66" s="58">
        <v>548</v>
      </c>
    </row>
    <row r="67" spans="1:16" ht="15" thickBot="1" x14ac:dyDescent="0.35">
      <c r="A67" s="7">
        <v>5</v>
      </c>
      <c r="B67" s="7" t="s">
        <v>547</v>
      </c>
      <c r="C67" s="7"/>
      <c r="D67" s="7"/>
      <c r="E67" s="7"/>
      <c r="F67" s="7"/>
      <c r="G67" s="7"/>
      <c r="H67" s="61">
        <f>SUMIF(C48:C57,"&lt;9500",C48:C57)</f>
        <v>31000</v>
      </c>
      <c r="K67" s="1"/>
      <c r="L67" s="54" t="s">
        <v>377</v>
      </c>
      <c r="M67" s="54" t="s">
        <v>422</v>
      </c>
      <c r="N67" s="57">
        <v>285</v>
      </c>
      <c r="O67" s="55">
        <v>1249</v>
      </c>
      <c r="P67" s="58">
        <v>533</v>
      </c>
    </row>
    <row r="68" spans="1:16" x14ac:dyDescent="0.3">
      <c r="K68" s="1"/>
      <c r="L68" s="54" t="s">
        <v>377</v>
      </c>
      <c r="M68" s="54" t="s">
        <v>423</v>
      </c>
      <c r="N68" s="57">
        <v>236</v>
      </c>
      <c r="O68" s="55">
        <v>1162</v>
      </c>
      <c r="P68" s="58">
        <v>402</v>
      </c>
    </row>
    <row r="69" spans="1:16" x14ac:dyDescent="0.3">
      <c r="A69" s="121" t="s">
        <v>766</v>
      </c>
      <c r="K69" s="1"/>
      <c r="L69" s="54" t="s">
        <v>377</v>
      </c>
      <c r="M69" s="54" t="s">
        <v>424</v>
      </c>
      <c r="N69" s="57">
        <v>293</v>
      </c>
      <c r="O69" s="55">
        <v>1016</v>
      </c>
      <c r="P69" s="58">
        <v>585</v>
      </c>
    </row>
    <row r="70" spans="1:16" x14ac:dyDescent="0.3">
      <c r="K70" s="1"/>
      <c r="L70" s="54" t="s">
        <v>377</v>
      </c>
      <c r="M70" s="54" t="s">
        <v>425</v>
      </c>
      <c r="N70" s="57">
        <v>242</v>
      </c>
      <c r="O70" s="55">
        <v>1363</v>
      </c>
      <c r="P70" s="58">
        <v>428</v>
      </c>
    </row>
    <row r="71" spans="1:16" x14ac:dyDescent="0.3">
      <c r="A71" s="62" t="s">
        <v>548</v>
      </c>
      <c r="B71" s="63"/>
      <c r="C71" s="63"/>
      <c r="D71" s="63"/>
      <c r="E71" s="63"/>
      <c r="K71" s="1"/>
      <c r="L71" s="54" t="s">
        <v>377</v>
      </c>
      <c r="M71" s="54" t="s">
        <v>426</v>
      </c>
      <c r="N71" s="57">
        <v>248</v>
      </c>
      <c r="O71" s="55">
        <v>1398</v>
      </c>
      <c r="P71" s="58">
        <v>476</v>
      </c>
    </row>
    <row r="72" spans="1:16" x14ac:dyDescent="0.3">
      <c r="A72" s="64" t="s">
        <v>1</v>
      </c>
      <c r="B72" s="64" t="s">
        <v>549</v>
      </c>
      <c r="C72" s="64" t="s">
        <v>550</v>
      </c>
      <c r="D72" s="64" t="s">
        <v>551</v>
      </c>
      <c r="E72" s="63"/>
      <c r="K72" s="1"/>
      <c r="L72" s="54" t="s">
        <v>377</v>
      </c>
      <c r="M72" s="54" t="s">
        <v>427</v>
      </c>
      <c r="N72" s="57">
        <v>292</v>
      </c>
      <c r="O72" s="55">
        <v>1380</v>
      </c>
      <c r="P72" s="58">
        <v>456</v>
      </c>
    </row>
    <row r="73" spans="1:16" x14ac:dyDescent="0.3">
      <c r="A73" s="65" t="s">
        <v>552</v>
      </c>
      <c r="B73" s="65" t="s">
        <v>553</v>
      </c>
      <c r="C73" s="65" t="s">
        <v>554</v>
      </c>
      <c r="D73" s="65">
        <v>28</v>
      </c>
      <c r="E73" s="63"/>
      <c r="K73" s="1"/>
      <c r="L73" s="54" t="s">
        <v>377</v>
      </c>
      <c r="M73" s="54" t="s">
        <v>428</v>
      </c>
      <c r="N73" s="57">
        <v>196</v>
      </c>
      <c r="O73" s="55">
        <v>1238</v>
      </c>
      <c r="P73" s="58">
        <v>493</v>
      </c>
    </row>
    <row r="74" spans="1:16" x14ac:dyDescent="0.3">
      <c r="A74" s="65" t="s">
        <v>555</v>
      </c>
      <c r="B74" s="65" t="s">
        <v>556</v>
      </c>
      <c r="C74" s="65" t="s">
        <v>557</v>
      </c>
      <c r="D74" s="65">
        <v>8</v>
      </c>
      <c r="E74" s="63"/>
      <c r="K74" s="1"/>
      <c r="L74" s="54" t="s">
        <v>377</v>
      </c>
      <c r="M74" s="54" t="s">
        <v>429</v>
      </c>
      <c r="N74" s="57">
        <v>432</v>
      </c>
      <c r="O74" s="55">
        <v>1216</v>
      </c>
      <c r="P74" s="58">
        <v>552</v>
      </c>
    </row>
    <row r="75" spans="1:16" x14ac:dyDescent="0.3">
      <c r="A75" s="65" t="s">
        <v>558</v>
      </c>
      <c r="B75" s="65" t="s">
        <v>559</v>
      </c>
      <c r="C75" s="65" t="s">
        <v>554</v>
      </c>
      <c r="D75" s="65">
        <v>19</v>
      </c>
      <c r="E75" s="63"/>
      <c r="K75" s="1"/>
      <c r="L75" s="54" t="s">
        <v>377</v>
      </c>
      <c r="M75" s="54" t="s">
        <v>430</v>
      </c>
      <c r="N75" s="57">
        <v>420</v>
      </c>
      <c r="O75" s="55">
        <v>1581</v>
      </c>
      <c r="P75" s="58">
        <v>525</v>
      </c>
    </row>
    <row r="76" spans="1:16" x14ac:dyDescent="0.3">
      <c r="A76" s="65" t="s">
        <v>560</v>
      </c>
      <c r="B76" s="65" t="s">
        <v>561</v>
      </c>
      <c r="C76" s="65" t="s">
        <v>562</v>
      </c>
      <c r="D76" s="65">
        <v>2</v>
      </c>
      <c r="E76" s="63"/>
      <c r="K76" s="1"/>
      <c r="L76" s="54" t="s">
        <v>377</v>
      </c>
      <c r="M76" s="54" t="s">
        <v>431</v>
      </c>
      <c r="N76" s="57">
        <v>398</v>
      </c>
      <c r="O76" s="55">
        <v>1759</v>
      </c>
      <c r="P76" s="58">
        <v>682</v>
      </c>
    </row>
    <row r="77" spans="1:16" x14ac:dyDescent="0.3">
      <c r="A77" s="65" t="s">
        <v>563</v>
      </c>
      <c r="B77" s="65" t="s">
        <v>559</v>
      </c>
      <c r="C77" s="65" t="s">
        <v>564</v>
      </c>
      <c r="D77" s="65">
        <v>5</v>
      </c>
      <c r="E77" s="63"/>
      <c r="K77" s="1"/>
      <c r="L77" s="54" t="s">
        <v>377</v>
      </c>
      <c r="M77" s="54" t="s">
        <v>432</v>
      </c>
      <c r="N77" s="57">
        <v>128</v>
      </c>
      <c r="O77" s="57">
        <v>791</v>
      </c>
      <c r="P77" s="58">
        <v>242</v>
      </c>
    </row>
    <row r="78" spans="1:16" x14ac:dyDescent="0.3">
      <c r="A78" s="65" t="s">
        <v>565</v>
      </c>
      <c r="B78" s="65" t="s">
        <v>556</v>
      </c>
      <c r="C78" s="65" t="s">
        <v>554</v>
      </c>
      <c r="D78" s="65">
        <v>9</v>
      </c>
      <c r="E78" s="63"/>
      <c r="K78" s="1"/>
      <c r="L78" s="54" t="s">
        <v>377</v>
      </c>
      <c r="M78" s="54" t="s">
        <v>433</v>
      </c>
      <c r="N78" s="57">
        <v>225</v>
      </c>
      <c r="O78" s="57">
        <v>935</v>
      </c>
      <c r="P78" s="58">
        <v>432</v>
      </c>
    </row>
    <row r="79" spans="1:16" x14ac:dyDescent="0.3">
      <c r="A79" s="65" t="s">
        <v>566</v>
      </c>
      <c r="B79" s="65" t="s">
        <v>559</v>
      </c>
      <c r="C79" s="65" t="s">
        <v>567</v>
      </c>
      <c r="D79" s="65">
        <v>18</v>
      </c>
      <c r="E79" s="63"/>
      <c r="K79" s="1"/>
      <c r="L79" s="54" t="s">
        <v>377</v>
      </c>
      <c r="M79" s="54" t="s">
        <v>434</v>
      </c>
      <c r="N79" s="55">
        <v>1358</v>
      </c>
      <c r="O79" s="55">
        <v>2231</v>
      </c>
      <c r="P79" s="56">
        <v>1391</v>
      </c>
    </row>
    <row r="80" spans="1:16" x14ac:dyDescent="0.3">
      <c r="A80" s="65" t="s">
        <v>568</v>
      </c>
      <c r="B80" s="65" t="s">
        <v>553</v>
      </c>
      <c r="C80" s="65" t="s">
        <v>554</v>
      </c>
      <c r="D80" s="65">
        <v>11</v>
      </c>
      <c r="E80" s="63"/>
      <c r="K80" s="1"/>
      <c r="L80" s="54" t="s">
        <v>377</v>
      </c>
      <c r="M80" s="54" t="s">
        <v>435</v>
      </c>
      <c r="N80" s="55">
        <v>1345</v>
      </c>
      <c r="O80" s="55">
        <v>1791</v>
      </c>
      <c r="P80" s="56">
        <v>1460</v>
      </c>
    </row>
    <row r="81" spans="1:16" x14ac:dyDescent="0.3">
      <c r="A81" s="65" t="s">
        <v>569</v>
      </c>
      <c r="B81" s="65" t="s">
        <v>561</v>
      </c>
      <c r="C81" s="65" t="s">
        <v>570</v>
      </c>
      <c r="D81" s="65">
        <v>3</v>
      </c>
      <c r="E81" s="63"/>
      <c r="K81" s="1"/>
      <c r="L81" s="54" t="s">
        <v>377</v>
      </c>
      <c r="M81" s="54" t="s">
        <v>436</v>
      </c>
      <c r="N81" s="57">
        <v>769</v>
      </c>
      <c r="O81" s="55">
        <v>1948</v>
      </c>
      <c r="P81" s="56">
        <v>1011</v>
      </c>
    </row>
    <row r="82" spans="1:16" x14ac:dyDescent="0.3">
      <c r="A82" s="65" t="s">
        <v>571</v>
      </c>
      <c r="B82" s="65" t="s">
        <v>556</v>
      </c>
      <c r="C82" s="65" t="s">
        <v>572</v>
      </c>
      <c r="D82" s="65">
        <v>15</v>
      </c>
      <c r="E82" s="63"/>
      <c r="K82" s="1"/>
      <c r="L82" s="54" t="s">
        <v>377</v>
      </c>
      <c r="M82" s="54" t="s">
        <v>437</v>
      </c>
      <c r="N82" s="57">
        <v>560</v>
      </c>
      <c r="O82" s="55">
        <v>1835</v>
      </c>
      <c r="P82" s="58">
        <v>642</v>
      </c>
    </row>
    <row r="83" spans="1:16" x14ac:dyDescent="0.3">
      <c r="A83" s="63"/>
      <c r="B83" s="63"/>
      <c r="C83" s="63"/>
      <c r="D83" s="63"/>
      <c r="E83" s="63"/>
      <c r="K83" s="1"/>
      <c r="L83" s="54" t="s">
        <v>377</v>
      </c>
      <c r="M83" s="54" t="s">
        <v>438</v>
      </c>
      <c r="N83" s="57">
        <v>836</v>
      </c>
      <c r="O83" s="55">
        <v>2245</v>
      </c>
      <c r="P83" s="58">
        <v>861</v>
      </c>
    </row>
    <row r="84" spans="1:16" x14ac:dyDescent="0.3">
      <c r="A84" s="66" t="s">
        <v>573</v>
      </c>
      <c r="B84" s="63"/>
      <c r="C84" s="63"/>
      <c r="D84" s="38"/>
      <c r="E84" s="63"/>
      <c r="K84" s="1"/>
      <c r="L84" s="54" t="s">
        <v>377</v>
      </c>
      <c r="M84" s="54" t="s">
        <v>439</v>
      </c>
      <c r="N84" s="57">
        <v>587</v>
      </c>
      <c r="O84" s="55">
        <v>1471</v>
      </c>
      <c r="P84" s="58">
        <v>623</v>
      </c>
    </row>
    <row r="85" spans="1:16" x14ac:dyDescent="0.3">
      <c r="A85" s="63"/>
      <c r="B85" s="63"/>
      <c r="C85" s="63"/>
      <c r="D85" s="63"/>
      <c r="E85" s="63"/>
      <c r="K85" s="1"/>
      <c r="L85" s="54" t="s">
        <v>377</v>
      </c>
      <c r="M85" s="54" t="s">
        <v>440</v>
      </c>
      <c r="N85" s="57">
        <v>774</v>
      </c>
      <c r="O85" s="55">
        <v>1403</v>
      </c>
      <c r="P85" s="56">
        <v>1085</v>
      </c>
    </row>
    <row r="86" spans="1:16" x14ac:dyDescent="0.3">
      <c r="A86" s="67" t="s">
        <v>574</v>
      </c>
      <c r="B86" s="63"/>
      <c r="C86" s="63"/>
      <c r="D86" s="63"/>
      <c r="E86" s="63"/>
      <c r="K86" s="1"/>
      <c r="L86" s="54" t="s">
        <v>377</v>
      </c>
      <c r="M86" s="54" t="s">
        <v>441</v>
      </c>
      <c r="N86" s="57">
        <v>757</v>
      </c>
      <c r="O86" s="55">
        <v>1203</v>
      </c>
      <c r="P86" s="56">
        <v>1175</v>
      </c>
    </row>
    <row r="87" spans="1:16" x14ac:dyDescent="0.3">
      <c r="A87" s="63"/>
      <c r="B87" s="68" t="s">
        <v>575</v>
      </c>
      <c r="C87" s="68"/>
      <c r="D87" s="63"/>
      <c r="E87" s="63"/>
      <c r="K87" s="1"/>
      <c r="L87" s="54" t="s">
        <v>377</v>
      </c>
      <c r="M87" s="54" t="s">
        <v>442</v>
      </c>
      <c r="N87" s="57">
        <v>591</v>
      </c>
      <c r="O87" s="55">
        <v>1439</v>
      </c>
      <c r="P87" s="58">
        <v>858</v>
      </c>
    </row>
    <row r="88" spans="1:16" x14ac:dyDescent="0.3">
      <c r="A88" s="69" t="s">
        <v>96</v>
      </c>
      <c r="B88" s="71"/>
      <c r="C88" s="103">
        <f>SUMIFS(D73:D82,C73:C82,"USA",B73:B82,"Athletics")</f>
        <v>9</v>
      </c>
      <c r="D88" s="63"/>
      <c r="E88" s="63"/>
      <c r="K88" s="1"/>
      <c r="L88" s="54" t="s">
        <v>377</v>
      </c>
      <c r="M88" s="54" t="s">
        <v>443</v>
      </c>
      <c r="N88" s="57">
        <v>457</v>
      </c>
      <c r="O88" s="55">
        <v>1161</v>
      </c>
      <c r="P88" s="58">
        <v>594</v>
      </c>
    </row>
    <row r="89" spans="1:16" x14ac:dyDescent="0.3">
      <c r="A89" s="63"/>
      <c r="B89" s="63"/>
      <c r="C89" s="63"/>
      <c r="D89" s="63"/>
      <c r="E89" s="63"/>
      <c r="K89" s="1"/>
      <c r="L89" s="54" t="s">
        <v>377</v>
      </c>
      <c r="M89" s="54" t="s">
        <v>444</v>
      </c>
      <c r="N89" s="57">
        <v>494</v>
      </c>
      <c r="O89" s="55">
        <v>1585</v>
      </c>
      <c r="P89" s="58">
        <v>705</v>
      </c>
    </row>
    <row r="90" spans="1:16" x14ac:dyDescent="0.3">
      <c r="A90" s="67" t="s">
        <v>576</v>
      </c>
      <c r="B90" s="63"/>
      <c r="C90" s="63"/>
      <c r="D90" s="63"/>
      <c r="E90" s="63"/>
      <c r="K90" s="1"/>
      <c r="L90" s="54" t="s">
        <v>377</v>
      </c>
      <c r="M90" s="54" t="s">
        <v>445</v>
      </c>
      <c r="N90" s="57">
        <v>914</v>
      </c>
      <c r="O90" s="55">
        <v>1727</v>
      </c>
      <c r="P90" s="56">
        <v>1308</v>
      </c>
    </row>
    <row r="91" spans="1:16" x14ac:dyDescent="0.3">
      <c r="A91" s="63"/>
      <c r="B91" s="68" t="s">
        <v>575</v>
      </c>
      <c r="C91" s="68"/>
      <c r="D91" s="63"/>
      <c r="E91" s="63"/>
      <c r="K91" s="1"/>
      <c r="L91" s="54" t="s">
        <v>377</v>
      </c>
      <c r="M91" s="54" t="s">
        <v>446</v>
      </c>
      <c r="N91" s="57">
        <v>581</v>
      </c>
      <c r="O91" s="55">
        <v>1448</v>
      </c>
      <c r="P91" s="58">
        <v>885</v>
      </c>
    </row>
    <row r="92" spans="1:16" x14ac:dyDescent="0.3">
      <c r="A92" s="69" t="s">
        <v>96</v>
      </c>
      <c r="B92" s="71"/>
      <c r="C92" s="103">
        <f>SUMIF(B73:B82,"Figure Skating",D73:D82)</f>
        <v>5</v>
      </c>
      <c r="D92" s="63"/>
      <c r="E92" s="63"/>
      <c r="K92" s="1"/>
      <c r="L92" s="54" t="s">
        <v>377</v>
      </c>
      <c r="M92" s="54" t="s">
        <v>447</v>
      </c>
      <c r="N92" s="57">
        <v>31</v>
      </c>
      <c r="O92" s="57">
        <v>0</v>
      </c>
      <c r="P92" s="58">
        <v>78</v>
      </c>
    </row>
    <row r="93" spans="1:16" x14ac:dyDescent="0.3">
      <c r="A93" s="63"/>
      <c r="B93" s="63"/>
      <c r="C93" s="63"/>
      <c r="D93" s="63"/>
      <c r="E93" s="63"/>
      <c r="K93" s="1"/>
      <c r="L93" s="54" t="s">
        <v>377</v>
      </c>
      <c r="M93" s="54" t="s">
        <v>448</v>
      </c>
      <c r="N93" s="57">
        <v>92</v>
      </c>
      <c r="O93" s="57">
        <v>233</v>
      </c>
      <c r="P93" s="58">
        <v>494</v>
      </c>
    </row>
    <row r="94" spans="1:16" x14ac:dyDescent="0.3">
      <c r="A94" s="67" t="s">
        <v>577</v>
      </c>
      <c r="B94" s="63"/>
      <c r="C94" s="63"/>
      <c r="D94" s="63"/>
      <c r="E94" s="63"/>
      <c r="K94" s="1"/>
      <c r="L94" s="54" t="s">
        <v>377</v>
      </c>
      <c r="M94" s="54" t="s">
        <v>449</v>
      </c>
      <c r="N94" s="57">
        <v>486</v>
      </c>
      <c r="O94" s="55">
        <v>1176</v>
      </c>
      <c r="P94" s="58">
        <v>400</v>
      </c>
    </row>
    <row r="95" spans="1:16" x14ac:dyDescent="0.3">
      <c r="A95" s="63"/>
      <c r="B95" s="68" t="s">
        <v>575</v>
      </c>
      <c r="C95" s="68"/>
      <c r="D95" s="63"/>
      <c r="E95" s="63"/>
      <c r="K95" s="1"/>
      <c r="L95" s="54" t="s">
        <v>377</v>
      </c>
      <c r="M95" s="54" t="s">
        <v>450</v>
      </c>
      <c r="N95" s="57">
        <v>440</v>
      </c>
      <c r="O95" s="57">
        <v>874</v>
      </c>
      <c r="P95" s="58">
        <v>803</v>
      </c>
    </row>
    <row r="96" spans="1:16" x14ac:dyDescent="0.3">
      <c r="A96" s="69" t="s">
        <v>96</v>
      </c>
      <c r="B96" s="71"/>
      <c r="C96" s="103">
        <f>SUMIF(C73:C82,"USA",D73:D82)+SUMIF(C73:C82,"Jamaica",D73:D82)</f>
        <v>75</v>
      </c>
      <c r="D96" s="63"/>
      <c r="E96" s="63"/>
      <c r="K96" s="1"/>
      <c r="L96" s="54" t="s">
        <v>377</v>
      </c>
      <c r="M96" s="54" t="s">
        <v>451</v>
      </c>
      <c r="N96" s="57">
        <v>127</v>
      </c>
      <c r="O96" s="57">
        <v>695</v>
      </c>
      <c r="P96" s="58">
        <v>440</v>
      </c>
    </row>
    <row r="97" spans="1:16" x14ac:dyDescent="0.3">
      <c r="A97" s="63"/>
      <c r="B97" s="63"/>
      <c r="C97" s="63"/>
      <c r="D97" s="63"/>
      <c r="E97" s="63"/>
      <c r="K97" s="1"/>
      <c r="L97" s="54" t="s">
        <v>377</v>
      </c>
      <c r="M97" s="54" t="s">
        <v>452</v>
      </c>
      <c r="N97" s="57">
        <v>257</v>
      </c>
      <c r="O97" s="55">
        <v>1367</v>
      </c>
      <c r="P97" s="58">
        <v>544</v>
      </c>
    </row>
    <row r="98" spans="1:16" x14ac:dyDescent="0.3">
      <c r="K98" s="1"/>
      <c r="L98" s="54" t="s">
        <v>377</v>
      </c>
      <c r="M98" s="54" t="s">
        <v>453</v>
      </c>
      <c r="N98" s="57">
        <v>399</v>
      </c>
      <c r="O98" s="55">
        <v>1238</v>
      </c>
      <c r="P98" s="58">
        <v>622</v>
      </c>
    </row>
    <row r="99" spans="1:16" x14ac:dyDescent="0.3">
      <c r="K99" s="1"/>
      <c r="L99" s="54" t="s">
        <v>377</v>
      </c>
      <c r="M99" s="54" t="s">
        <v>454</v>
      </c>
      <c r="N99" s="57">
        <v>470</v>
      </c>
      <c r="O99" s="55">
        <v>1609</v>
      </c>
      <c r="P99" s="58">
        <v>662</v>
      </c>
    </row>
    <row r="100" spans="1:16" x14ac:dyDescent="0.3">
      <c r="K100" s="1"/>
      <c r="L100" s="54" t="s">
        <v>377</v>
      </c>
      <c r="M100" s="54" t="s">
        <v>455</v>
      </c>
      <c r="N100" s="57">
        <v>651</v>
      </c>
      <c r="O100" s="55">
        <v>2120</v>
      </c>
      <c r="P100" s="58">
        <v>824</v>
      </c>
    </row>
    <row r="101" spans="1:16" x14ac:dyDescent="0.3">
      <c r="K101" s="1"/>
      <c r="L101" s="54" t="s">
        <v>377</v>
      </c>
      <c r="M101" s="54" t="s">
        <v>456</v>
      </c>
      <c r="N101" s="57">
        <v>757</v>
      </c>
      <c r="O101" s="55">
        <v>2498</v>
      </c>
      <c r="P101" s="58">
        <v>846</v>
      </c>
    </row>
    <row r="102" spans="1:16" x14ac:dyDescent="0.3">
      <c r="K102" s="1"/>
      <c r="L102" s="54" t="s">
        <v>377</v>
      </c>
      <c r="M102" s="54" t="s">
        <v>457</v>
      </c>
      <c r="N102" s="57">
        <v>526</v>
      </c>
      <c r="O102" s="55">
        <v>1902</v>
      </c>
      <c r="P102" s="58">
        <v>743</v>
      </c>
    </row>
    <row r="103" spans="1:16" x14ac:dyDescent="0.3">
      <c r="K103" s="1"/>
      <c r="L103" s="54" t="s">
        <v>377</v>
      </c>
      <c r="M103" s="54" t="s">
        <v>458</v>
      </c>
      <c r="N103" s="57">
        <v>196</v>
      </c>
      <c r="O103" s="57">
        <v>994</v>
      </c>
      <c r="P103" s="58">
        <v>477</v>
      </c>
    </row>
    <row r="104" spans="1:16" x14ac:dyDescent="0.3">
      <c r="K104" s="1"/>
      <c r="L104" s="54" t="s">
        <v>377</v>
      </c>
      <c r="M104" s="54" t="s">
        <v>459</v>
      </c>
      <c r="N104" s="57">
        <v>260</v>
      </c>
      <c r="O104" s="55">
        <v>1010</v>
      </c>
      <c r="P104" s="58">
        <v>575</v>
      </c>
    </row>
    <row r="105" spans="1:16" x14ac:dyDescent="0.3">
      <c r="K105" s="1"/>
      <c r="L105" s="54" t="s">
        <v>377</v>
      </c>
      <c r="M105" s="54" t="s">
        <v>460</v>
      </c>
      <c r="N105" s="57">
        <v>192</v>
      </c>
      <c r="O105" s="57">
        <v>899</v>
      </c>
      <c r="P105" s="58">
        <v>369</v>
      </c>
    </row>
    <row r="106" spans="1:16" x14ac:dyDescent="0.3">
      <c r="K106" s="1"/>
      <c r="L106" s="54" t="s">
        <v>377</v>
      </c>
      <c r="M106" s="54" t="s">
        <v>461</v>
      </c>
      <c r="N106" s="57">
        <v>177</v>
      </c>
      <c r="O106" s="57">
        <v>284</v>
      </c>
      <c r="P106" s="58">
        <v>174</v>
      </c>
    </row>
    <row r="107" spans="1:16" x14ac:dyDescent="0.3">
      <c r="K107" s="1"/>
      <c r="L107" s="54" t="s">
        <v>377</v>
      </c>
      <c r="M107" s="54" t="s">
        <v>462</v>
      </c>
      <c r="N107" s="57">
        <v>741</v>
      </c>
      <c r="O107" s="55">
        <v>1781</v>
      </c>
      <c r="P107" s="56">
        <v>1028</v>
      </c>
    </row>
    <row r="108" spans="1:16" x14ac:dyDescent="0.3">
      <c r="K108" s="1"/>
      <c r="L108" s="54" t="s">
        <v>377</v>
      </c>
      <c r="M108" s="54" t="s">
        <v>463</v>
      </c>
      <c r="N108" s="57">
        <v>174</v>
      </c>
      <c r="O108" s="57">
        <v>773</v>
      </c>
      <c r="P108" s="58">
        <v>237</v>
      </c>
    </row>
    <row r="109" spans="1:16" x14ac:dyDescent="0.3">
      <c r="K109" s="1"/>
      <c r="L109" s="54" t="s">
        <v>377</v>
      </c>
      <c r="M109" s="54" t="s">
        <v>464</v>
      </c>
      <c r="N109" s="57">
        <v>94</v>
      </c>
      <c r="O109" s="57">
        <v>769</v>
      </c>
      <c r="P109" s="58">
        <v>228</v>
      </c>
    </row>
    <row r="110" spans="1:16" x14ac:dyDescent="0.3">
      <c r="K110" s="1"/>
      <c r="L110" s="54" t="s">
        <v>377</v>
      </c>
      <c r="M110" s="54" t="s">
        <v>465</v>
      </c>
      <c r="N110" s="57">
        <v>197</v>
      </c>
      <c r="O110" s="57">
        <v>837</v>
      </c>
      <c r="P110" s="58">
        <v>434</v>
      </c>
    </row>
    <row r="111" spans="1:16" x14ac:dyDescent="0.3">
      <c r="K111" s="1"/>
      <c r="L111" s="54" t="s">
        <v>377</v>
      </c>
      <c r="M111" s="54" t="s">
        <v>466</v>
      </c>
      <c r="N111" s="57">
        <v>318</v>
      </c>
      <c r="O111" s="55">
        <v>1120</v>
      </c>
      <c r="P111" s="58">
        <v>444</v>
      </c>
    </row>
    <row r="112" spans="1:16" x14ac:dyDescent="0.3">
      <c r="K112" s="1"/>
      <c r="L112" s="54" t="s">
        <v>377</v>
      </c>
      <c r="M112" s="54" t="s">
        <v>467</v>
      </c>
      <c r="N112" s="57">
        <v>82</v>
      </c>
      <c r="O112" s="57">
        <v>723</v>
      </c>
      <c r="P112" s="58">
        <v>204</v>
      </c>
    </row>
    <row r="113" spans="11:16" x14ac:dyDescent="0.3">
      <c r="K113" s="1"/>
      <c r="L113" s="54" t="s">
        <v>377</v>
      </c>
      <c r="M113" s="54" t="s">
        <v>468</v>
      </c>
      <c r="N113" s="57">
        <v>206</v>
      </c>
      <c r="O113" s="57">
        <v>550</v>
      </c>
      <c r="P113" s="58">
        <v>229</v>
      </c>
    </row>
    <row r="114" spans="11:16" x14ac:dyDescent="0.3">
      <c r="K114" s="1"/>
      <c r="L114" s="54" t="s">
        <v>377</v>
      </c>
      <c r="M114" s="54" t="s">
        <v>469</v>
      </c>
      <c r="N114" s="57">
        <v>390</v>
      </c>
      <c r="O114" s="55">
        <v>1297</v>
      </c>
      <c r="P114" s="58">
        <v>456</v>
      </c>
    </row>
    <row r="115" spans="11:16" x14ac:dyDescent="0.3">
      <c r="K115" s="1"/>
      <c r="L115" s="54" t="s">
        <v>377</v>
      </c>
      <c r="M115" s="54" t="s">
        <v>470</v>
      </c>
      <c r="N115" s="57">
        <v>111</v>
      </c>
      <c r="O115" s="55">
        <v>1160</v>
      </c>
      <c r="P115" s="58">
        <v>282</v>
      </c>
    </row>
    <row r="116" spans="11:16" x14ac:dyDescent="0.3">
      <c r="K116" s="1"/>
      <c r="L116" s="54" t="s">
        <v>377</v>
      </c>
      <c r="M116" s="54" t="s">
        <v>471</v>
      </c>
      <c r="N116" s="57">
        <v>522</v>
      </c>
      <c r="O116" s="55">
        <v>1667</v>
      </c>
      <c r="P116" s="58">
        <v>556</v>
      </c>
    </row>
    <row r="117" spans="11:16" x14ac:dyDescent="0.3">
      <c r="K117" s="1"/>
      <c r="L117" s="54" t="s">
        <v>377</v>
      </c>
      <c r="M117" s="54" t="s">
        <v>472</v>
      </c>
      <c r="N117" s="57">
        <v>278</v>
      </c>
      <c r="O117" s="55">
        <v>1091</v>
      </c>
      <c r="P117" s="58">
        <v>505</v>
      </c>
    </row>
    <row r="118" spans="11:16" x14ac:dyDescent="0.3">
      <c r="K118" s="1"/>
      <c r="L118" s="54" t="s">
        <v>377</v>
      </c>
      <c r="M118" s="54" t="s">
        <v>473</v>
      </c>
      <c r="N118" s="57">
        <v>0</v>
      </c>
      <c r="O118" s="57">
        <v>0</v>
      </c>
      <c r="P118" s="58">
        <v>0</v>
      </c>
    </row>
    <row r="119" spans="11:16" x14ac:dyDescent="0.3">
      <c r="K119" s="1"/>
      <c r="L119" s="54" t="s">
        <v>377</v>
      </c>
      <c r="M119" s="54" t="s">
        <v>474</v>
      </c>
      <c r="N119" s="57">
        <v>120</v>
      </c>
      <c r="O119" s="55">
        <v>1335</v>
      </c>
      <c r="P119" s="58">
        <v>289</v>
      </c>
    </row>
    <row r="120" spans="11:16" x14ac:dyDescent="0.3">
      <c r="K120" s="1"/>
      <c r="L120" s="54" t="s">
        <v>377</v>
      </c>
      <c r="M120" s="54" t="s">
        <v>475</v>
      </c>
      <c r="N120" s="57">
        <v>316</v>
      </c>
      <c r="O120" s="55">
        <v>1028</v>
      </c>
      <c r="P120" s="58">
        <v>505</v>
      </c>
    </row>
    <row r="121" spans="11:16" x14ac:dyDescent="0.3">
      <c r="K121" s="1"/>
      <c r="L121" s="54" t="s">
        <v>377</v>
      </c>
      <c r="M121" s="54" t="s">
        <v>476</v>
      </c>
      <c r="N121" s="57">
        <v>446</v>
      </c>
      <c r="O121" s="55">
        <v>1763</v>
      </c>
      <c r="P121" s="58">
        <v>527</v>
      </c>
    </row>
    <row r="122" spans="11:16" x14ac:dyDescent="0.3">
      <c r="K122" s="1"/>
      <c r="L122" s="54" t="s">
        <v>377</v>
      </c>
      <c r="M122" s="54" t="s">
        <v>477</v>
      </c>
      <c r="N122" s="57">
        <v>0</v>
      </c>
      <c r="O122" s="57">
        <v>0</v>
      </c>
      <c r="P122" s="58">
        <v>0</v>
      </c>
    </row>
    <row r="123" spans="11:16" x14ac:dyDescent="0.3">
      <c r="K123" s="1"/>
      <c r="L123" s="54" t="s">
        <v>377</v>
      </c>
      <c r="M123" s="54" t="s">
        <v>478</v>
      </c>
      <c r="N123" s="57">
        <v>254</v>
      </c>
      <c r="O123" s="57">
        <v>642</v>
      </c>
      <c r="P123" s="58">
        <v>308</v>
      </c>
    </row>
    <row r="124" spans="11:16" x14ac:dyDescent="0.3">
      <c r="K124" s="1"/>
      <c r="L124" s="54" t="s">
        <v>377</v>
      </c>
      <c r="M124" s="54" t="s">
        <v>479</v>
      </c>
      <c r="N124" s="57">
        <v>157</v>
      </c>
      <c r="O124" s="57">
        <v>440</v>
      </c>
      <c r="P124" s="58">
        <v>436</v>
      </c>
    </row>
    <row r="125" spans="11:16" x14ac:dyDescent="0.3">
      <c r="K125" s="1"/>
      <c r="L125" s="54" t="s">
        <v>377</v>
      </c>
      <c r="M125" s="54" t="s">
        <v>480</v>
      </c>
      <c r="N125" s="57">
        <v>788</v>
      </c>
      <c r="O125" s="57">
        <v>988</v>
      </c>
      <c r="P125" s="58">
        <v>673</v>
      </c>
    </row>
    <row r="126" spans="11:16" x14ac:dyDescent="0.3">
      <c r="K126" s="1"/>
      <c r="L126" s="54" t="s">
        <v>377</v>
      </c>
      <c r="M126" s="54" t="s">
        <v>481</v>
      </c>
      <c r="N126" s="57">
        <v>398</v>
      </c>
      <c r="O126" s="57">
        <v>454</v>
      </c>
      <c r="P126" s="58">
        <v>333</v>
      </c>
    </row>
    <row r="127" spans="11:16" x14ac:dyDescent="0.3">
      <c r="K127" s="1"/>
      <c r="L127" s="54" t="s">
        <v>377</v>
      </c>
      <c r="M127" s="54" t="s">
        <v>482</v>
      </c>
      <c r="N127" s="57">
        <v>796</v>
      </c>
      <c r="O127" s="57">
        <v>912</v>
      </c>
      <c r="P127" s="58">
        <v>687</v>
      </c>
    </row>
    <row r="128" spans="11:16" x14ac:dyDescent="0.3">
      <c r="K128" s="1"/>
      <c r="L128" s="54" t="s">
        <v>377</v>
      </c>
      <c r="M128" s="54" t="s">
        <v>483</v>
      </c>
      <c r="N128" s="57">
        <v>633</v>
      </c>
      <c r="O128" s="55">
        <v>1349</v>
      </c>
      <c r="P128" s="58">
        <v>564</v>
      </c>
    </row>
    <row r="129" spans="11:16" x14ac:dyDescent="0.3">
      <c r="K129" s="1"/>
      <c r="L129" s="54" t="s">
        <v>377</v>
      </c>
      <c r="M129" s="54" t="s">
        <v>484</v>
      </c>
      <c r="N129" s="55">
        <v>1018</v>
      </c>
      <c r="O129" s="55">
        <v>1622</v>
      </c>
      <c r="P129" s="58">
        <v>826</v>
      </c>
    </row>
    <row r="130" spans="11:16" x14ac:dyDescent="0.3">
      <c r="K130" s="1"/>
      <c r="L130" s="54" t="s">
        <v>377</v>
      </c>
      <c r="M130" s="54" t="s">
        <v>485</v>
      </c>
      <c r="N130" s="57">
        <v>356</v>
      </c>
      <c r="O130" s="57">
        <v>429</v>
      </c>
      <c r="P130" s="58">
        <v>621</v>
      </c>
    </row>
    <row r="131" spans="11:16" x14ac:dyDescent="0.3">
      <c r="K131" s="1"/>
      <c r="L131" s="54" t="s">
        <v>377</v>
      </c>
      <c r="M131" s="54" t="s">
        <v>486</v>
      </c>
      <c r="N131" s="55">
        <v>1173</v>
      </c>
      <c r="O131" s="55">
        <v>1342</v>
      </c>
      <c r="P131" s="58">
        <v>605</v>
      </c>
    </row>
    <row r="132" spans="11:16" x14ac:dyDescent="0.3">
      <c r="K132" s="1"/>
      <c r="L132" s="54" t="s">
        <v>377</v>
      </c>
      <c r="M132" s="54" t="s">
        <v>487</v>
      </c>
      <c r="N132" s="57">
        <v>729</v>
      </c>
      <c r="O132" s="55">
        <v>1085</v>
      </c>
      <c r="P132" s="58">
        <v>838</v>
      </c>
    </row>
    <row r="133" spans="11:16" x14ac:dyDescent="0.3">
      <c r="K133" s="1"/>
      <c r="L133" s="54" t="s">
        <v>377</v>
      </c>
      <c r="M133" s="54" t="s">
        <v>488</v>
      </c>
      <c r="N133" s="57">
        <v>935</v>
      </c>
      <c r="O133" s="55">
        <v>1436</v>
      </c>
      <c r="P133" s="56">
        <v>1237</v>
      </c>
    </row>
    <row r="134" spans="11:16" x14ac:dyDescent="0.3">
      <c r="K134" s="1"/>
      <c r="L134" s="54" t="s">
        <v>377</v>
      </c>
      <c r="M134" s="54" t="s">
        <v>489</v>
      </c>
      <c r="N134" s="57">
        <v>930</v>
      </c>
      <c r="O134" s="55">
        <v>1328</v>
      </c>
      <c r="P134" s="56">
        <v>1024</v>
      </c>
    </row>
    <row r="135" spans="11:16" x14ac:dyDescent="0.3">
      <c r="K135" s="1"/>
      <c r="L135" s="54" t="s">
        <v>377</v>
      </c>
      <c r="M135" s="54" t="s">
        <v>490</v>
      </c>
      <c r="N135" s="55">
        <v>1207</v>
      </c>
      <c r="O135" s="55">
        <v>1863</v>
      </c>
      <c r="P135" s="56">
        <v>1375</v>
      </c>
    </row>
    <row r="136" spans="11:16" x14ac:dyDescent="0.3">
      <c r="K136" s="1"/>
      <c r="L136" s="54" t="s">
        <v>377</v>
      </c>
      <c r="M136" s="54" t="s">
        <v>491</v>
      </c>
      <c r="N136" s="55">
        <v>1089</v>
      </c>
      <c r="O136" s="55">
        <v>1554</v>
      </c>
      <c r="P136" s="58">
        <v>945</v>
      </c>
    </row>
    <row r="137" spans="11:16" x14ac:dyDescent="0.3">
      <c r="K137" s="1"/>
      <c r="L137" s="54" t="s">
        <v>377</v>
      </c>
      <c r="M137" s="54" t="s">
        <v>492</v>
      </c>
      <c r="N137" s="55">
        <v>1179</v>
      </c>
      <c r="O137" s="55">
        <v>1541</v>
      </c>
      <c r="P137" s="56">
        <v>1136</v>
      </c>
    </row>
    <row r="138" spans="11:16" x14ac:dyDescent="0.3">
      <c r="K138" s="1"/>
      <c r="L138" s="54" t="s">
        <v>377</v>
      </c>
      <c r="M138" s="54" t="s">
        <v>493</v>
      </c>
      <c r="N138" s="57">
        <v>646</v>
      </c>
      <c r="O138" s="55">
        <v>1144</v>
      </c>
      <c r="P138" s="56">
        <v>1027</v>
      </c>
    </row>
    <row r="139" spans="11:16" x14ac:dyDescent="0.3">
      <c r="K139" s="1"/>
      <c r="L139" s="54" t="s">
        <v>377</v>
      </c>
      <c r="M139" s="54" t="s">
        <v>494</v>
      </c>
      <c r="N139" s="57">
        <v>689</v>
      </c>
      <c r="O139" s="55">
        <v>1352</v>
      </c>
      <c r="P139" s="58">
        <v>777</v>
      </c>
    </row>
    <row r="140" spans="11:16" x14ac:dyDescent="0.3">
      <c r="K140" s="1"/>
      <c r="L140" s="54" t="s">
        <v>377</v>
      </c>
      <c r="M140" s="54" t="s">
        <v>495</v>
      </c>
      <c r="N140" s="57">
        <v>92</v>
      </c>
      <c r="O140" s="55">
        <v>1393</v>
      </c>
      <c r="P140" s="58">
        <v>295</v>
      </c>
    </row>
    <row r="141" spans="11:16" x14ac:dyDescent="0.3">
      <c r="K141" s="1"/>
      <c r="L141" s="54" t="s">
        <v>377</v>
      </c>
      <c r="M141" s="54" t="s">
        <v>496</v>
      </c>
      <c r="N141" s="57">
        <v>361</v>
      </c>
      <c r="O141" s="55">
        <v>4109</v>
      </c>
      <c r="P141" s="58">
        <v>761</v>
      </c>
    </row>
    <row r="142" spans="11:16" x14ac:dyDescent="0.3">
      <c r="K142" s="1"/>
      <c r="L142" s="54" t="s">
        <v>377</v>
      </c>
      <c r="M142" s="54" t="s">
        <v>497</v>
      </c>
      <c r="N142" s="57">
        <v>148</v>
      </c>
      <c r="O142" s="55">
        <v>1510</v>
      </c>
      <c r="P142" s="58">
        <v>300</v>
      </c>
    </row>
    <row r="143" spans="11:16" x14ac:dyDescent="0.3">
      <c r="K143" s="1"/>
      <c r="L143" s="54" t="s">
        <v>377</v>
      </c>
      <c r="M143" s="54" t="s">
        <v>498</v>
      </c>
      <c r="N143" s="57">
        <v>367</v>
      </c>
      <c r="O143" s="55">
        <v>1942</v>
      </c>
      <c r="P143" s="58">
        <v>817</v>
      </c>
    </row>
    <row r="144" spans="11:16" x14ac:dyDescent="0.3">
      <c r="K144" s="1"/>
      <c r="L144" s="54" t="s">
        <v>377</v>
      </c>
      <c r="M144" s="54" t="s">
        <v>499</v>
      </c>
      <c r="N144" s="57">
        <v>96</v>
      </c>
      <c r="O144" s="57">
        <v>249</v>
      </c>
      <c r="P144" s="58">
        <v>191</v>
      </c>
    </row>
    <row r="145" spans="11:16" x14ac:dyDescent="0.3">
      <c r="K145" s="1"/>
      <c r="L145" s="54" t="s">
        <v>377</v>
      </c>
      <c r="M145" s="54" t="s">
        <v>500</v>
      </c>
      <c r="N145" s="57">
        <v>104</v>
      </c>
      <c r="O145" s="57">
        <v>281</v>
      </c>
      <c r="P145" s="58">
        <v>241</v>
      </c>
    </row>
    <row r="146" spans="11:16" x14ac:dyDescent="0.3">
      <c r="K146" s="1"/>
      <c r="L146" s="54" t="s">
        <v>377</v>
      </c>
      <c r="M146" s="54" t="s">
        <v>501</v>
      </c>
      <c r="N146" s="57">
        <v>152</v>
      </c>
      <c r="O146" s="57">
        <v>225</v>
      </c>
      <c r="P146" s="58">
        <v>215</v>
      </c>
    </row>
    <row r="147" spans="11:16" x14ac:dyDescent="0.3">
      <c r="K147" s="1"/>
      <c r="L147" s="54" t="s">
        <v>377</v>
      </c>
      <c r="M147" s="54" t="s">
        <v>502</v>
      </c>
      <c r="N147" s="57">
        <v>661</v>
      </c>
      <c r="O147" s="55">
        <v>1509</v>
      </c>
      <c r="P147" s="58">
        <v>818</v>
      </c>
    </row>
    <row r="148" spans="11:16" x14ac:dyDescent="0.3">
      <c r="K148" s="1"/>
      <c r="L148" s="54" t="s">
        <v>377</v>
      </c>
      <c r="M148" s="54" t="s">
        <v>503</v>
      </c>
      <c r="N148" s="57">
        <v>417</v>
      </c>
      <c r="O148" s="57">
        <v>591</v>
      </c>
      <c r="P148" s="58">
        <v>414</v>
      </c>
    </row>
    <row r="149" spans="11:16" x14ac:dyDescent="0.3">
      <c r="K149" s="1"/>
      <c r="L149" s="54" t="s">
        <v>377</v>
      </c>
      <c r="M149" s="54" t="s">
        <v>504</v>
      </c>
      <c r="N149" s="57">
        <v>588</v>
      </c>
      <c r="O149" s="55">
        <v>1036</v>
      </c>
      <c r="P149" s="58">
        <v>725</v>
      </c>
    </row>
    <row r="150" spans="11:16" x14ac:dyDescent="0.3">
      <c r="K150" s="1"/>
      <c r="L150" s="54" t="s">
        <v>377</v>
      </c>
      <c r="M150" s="54" t="s">
        <v>505</v>
      </c>
      <c r="N150" s="57">
        <v>99</v>
      </c>
      <c r="O150" s="57">
        <v>566</v>
      </c>
      <c r="P150" s="58">
        <v>200</v>
      </c>
    </row>
    <row r="151" spans="11:16" x14ac:dyDescent="0.3">
      <c r="K151" s="1"/>
      <c r="L151" s="54" t="s">
        <v>377</v>
      </c>
      <c r="M151" s="54" t="s">
        <v>506</v>
      </c>
      <c r="N151" s="55">
        <v>1113</v>
      </c>
      <c r="O151" s="55">
        <v>1539</v>
      </c>
      <c r="P151" s="56">
        <v>1209</v>
      </c>
    </row>
    <row r="152" spans="11:16" x14ac:dyDescent="0.3">
      <c r="K152" s="1"/>
      <c r="L152" s="54" t="s">
        <v>377</v>
      </c>
      <c r="M152" s="54" t="s">
        <v>507</v>
      </c>
      <c r="N152" s="55">
        <v>1462</v>
      </c>
      <c r="O152" s="55">
        <v>1993</v>
      </c>
      <c r="P152" s="56">
        <v>1444</v>
      </c>
    </row>
    <row r="153" spans="11:16" x14ac:dyDescent="0.3">
      <c r="K153" s="1"/>
      <c r="L153" s="54" t="s">
        <v>377</v>
      </c>
      <c r="M153" s="54" t="s">
        <v>508</v>
      </c>
      <c r="N153" s="55">
        <v>1094</v>
      </c>
      <c r="O153" s="55">
        <v>1924</v>
      </c>
      <c r="P153" s="56">
        <v>1466</v>
      </c>
    </row>
    <row r="154" spans="11:16" x14ac:dyDescent="0.3">
      <c r="K154" s="1"/>
      <c r="L154" s="54" t="s">
        <v>377</v>
      </c>
      <c r="M154" s="54" t="s">
        <v>509</v>
      </c>
      <c r="N154" s="57">
        <v>924</v>
      </c>
      <c r="O154" s="55">
        <v>1799</v>
      </c>
      <c r="P154" s="56">
        <v>1269</v>
      </c>
    </row>
    <row r="155" spans="11:16" x14ac:dyDescent="0.3">
      <c r="K155" s="1"/>
      <c r="L155" s="54" t="s">
        <v>377</v>
      </c>
      <c r="M155" s="54" t="s">
        <v>510</v>
      </c>
      <c r="N155" s="57">
        <v>0</v>
      </c>
      <c r="O155" s="57">
        <v>0</v>
      </c>
      <c r="P155" s="58">
        <v>0</v>
      </c>
    </row>
    <row r="156" spans="11:16" x14ac:dyDescent="0.3">
      <c r="K156" s="1"/>
      <c r="L156" s="54" t="s">
        <v>377</v>
      </c>
      <c r="M156" s="54" t="s">
        <v>511</v>
      </c>
      <c r="N156" s="57">
        <v>296</v>
      </c>
      <c r="O156" s="57">
        <v>443</v>
      </c>
      <c r="P156" s="58">
        <v>157</v>
      </c>
    </row>
    <row r="157" spans="11:16" x14ac:dyDescent="0.3">
      <c r="K157" s="1"/>
      <c r="L157" s="54" t="s">
        <v>377</v>
      </c>
      <c r="M157" s="54" t="s">
        <v>512</v>
      </c>
      <c r="N157" s="57">
        <v>858</v>
      </c>
      <c r="O157" s="55">
        <v>1562</v>
      </c>
      <c r="P157" s="58">
        <v>832</v>
      </c>
    </row>
    <row r="158" spans="11:16" x14ac:dyDescent="0.3">
      <c r="K158" s="1"/>
      <c r="L158" s="54" t="s">
        <v>377</v>
      </c>
      <c r="M158" s="54" t="s">
        <v>513</v>
      </c>
      <c r="N158" s="57">
        <v>487</v>
      </c>
      <c r="O158" s="57">
        <v>821</v>
      </c>
      <c r="P158" s="58">
        <v>556</v>
      </c>
    </row>
    <row r="159" spans="11:16" x14ac:dyDescent="0.3">
      <c r="K159" s="1"/>
      <c r="L159" s="54" t="s">
        <v>377</v>
      </c>
      <c r="M159" s="54" t="s">
        <v>514</v>
      </c>
      <c r="N159" s="57">
        <v>985</v>
      </c>
      <c r="O159" s="55">
        <v>2100</v>
      </c>
      <c r="P159" s="56">
        <v>1402</v>
      </c>
    </row>
    <row r="160" spans="11:16" x14ac:dyDescent="0.3">
      <c r="K160" s="1"/>
      <c r="L160" s="54" t="s">
        <v>377</v>
      </c>
      <c r="M160" s="54" t="s">
        <v>515</v>
      </c>
      <c r="N160" s="57">
        <v>430</v>
      </c>
      <c r="O160" s="57">
        <v>976</v>
      </c>
      <c r="P160" s="58">
        <v>616</v>
      </c>
    </row>
    <row r="161" spans="11:16" x14ac:dyDescent="0.3">
      <c r="K161" s="1"/>
      <c r="L161" s="54" t="s">
        <v>377</v>
      </c>
      <c r="M161" s="54" t="s">
        <v>516</v>
      </c>
      <c r="N161" s="57">
        <v>11</v>
      </c>
      <c r="O161" s="57">
        <v>4</v>
      </c>
      <c r="P161" s="58">
        <v>351</v>
      </c>
    </row>
    <row r="162" spans="11:16" x14ac:dyDescent="0.3">
      <c r="K162" s="1"/>
      <c r="L162" s="54" t="s">
        <v>377</v>
      </c>
      <c r="M162" s="54" t="s">
        <v>517</v>
      </c>
      <c r="N162" s="57">
        <v>370</v>
      </c>
      <c r="O162" s="57">
        <v>480</v>
      </c>
      <c r="P162" s="58">
        <v>398</v>
      </c>
    </row>
    <row r="163" spans="11:16" x14ac:dyDescent="0.3">
      <c r="K163" s="1"/>
      <c r="L163" s="54" t="s">
        <v>377</v>
      </c>
      <c r="M163" s="54" t="s">
        <v>518</v>
      </c>
      <c r="N163" s="57">
        <v>778</v>
      </c>
      <c r="O163" s="55">
        <v>1343</v>
      </c>
      <c r="P163" s="56">
        <v>1071</v>
      </c>
    </row>
    <row r="164" spans="11:16" x14ac:dyDescent="0.3">
      <c r="K164" s="1"/>
      <c r="L164" s="54" t="s">
        <v>377</v>
      </c>
      <c r="M164" s="54" t="s">
        <v>519</v>
      </c>
      <c r="N164" s="57">
        <v>783</v>
      </c>
      <c r="O164" s="55">
        <v>1429</v>
      </c>
      <c r="P164" s="56">
        <v>1018</v>
      </c>
    </row>
    <row r="165" spans="11:16" x14ac:dyDescent="0.3">
      <c r="K165" s="1"/>
      <c r="L165" s="54" t="s">
        <v>377</v>
      </c>
      <c r="M165" s="54" t="s">
        <v>520</v>
      </c>
      <c r="N165" s="55">
        <v>1376</v>
      </c>
      <c r="O165" s="55">
        <v>2314</v>
      </c>
      <c r="P165" s="56">
        <v>1440</v>
      </c>
    </row>
    <row r="166" spans="11:16" x14ac:dyDescent="0.3">
      <c r="K166" s="1"/>
      <c r="L166" s="54" t="s">
        <v>377</v>
      </c>
      <c r="M166" s="54" t="s">
        <v>521</v>
      </c>
      <c r="N166" s="57">
        <v>717</v>
      </c>
      <c r="O166" s="55">
        <v>1732</v>
      </c>
      <c r="P166" s="56">
        <v>1623</v>
      </c>
    </row>
    <row r="167" spans="11:16" x14ac:dyDescent="0.3">
      <c r="K167" s="1"/>
      <c r="L167" s="54" t="s">
        <v>377</v>
      </c>
      <c r="M167" s="54" t="s">
        <v>522</v>
      </c>
      <c r="N167" s="57">
        <v>301</v>
      </c>
      <c r="O167" s="57">
        <v>720</v>
      </c>
      <c r="P167" s="58">
        <v>629</v>
      </c>
    </row>
    <row r="168" spans="11:16" x14ac:dyDescent="0.3">
      <c r="K168" s="1"/>
      <c r="L168" s="54" t="s">
        <v>377</v>
      </c>
      <c r="M168" s="54" t="s">
        <v>523</v>
      </c>
      <c r="N168" s="57">
        <v>179</v>
      </c>
      <c r="O168" s="57">
        <v>303</v>
      </c>
      <c r="P168" s="58">
        <v>258</v>
      </c>
    </row>
    <row r="169" spans="11:16" x14ac:dyDescent="0.3">
      <c r="K169" s="1"/>
      <c r="L169" s="54" t="s">
        <v>377</v>
      </c>
      <c r="M169" s="54" t="s">
        <v>524</v>
      </c>
      <c r="N169" s="57">
        <v>919</v>
      </c>
      <c r="O169" s="55">
        <v>1445</v>
      </c>
      <c r="P169" s="56">
        <v>1250</v>
      </c>
    </row>
    <row r="170" spans="11:16" x14ac:dyDescent="0.3">
      <c r="K170" s="1"/>
      <c r="L170" s="54" t="s">
        <v>377</v>
      </c>
      <c r="M170" s="54" t="s">
        <v>525</v>
      </c>
      <c r="N170" s="57">
        <v>396</v>
      </c>
      <c r="O170" s="57">
        <v>704</v>
      </c>
      <c r="P170" s="58">
        <v>712</v>
      </c>
    </row>
    <row r="171" spans="11:16" x14ac:dyDescent="0.3">
      <c r="K171" s="1"/>
      <c r="L171" s="54" t="s">
        <v>377</v>
      </c>
      <c r="M171" s="54" t="s">
        <v>526</v>
      </c>
      <c r="N171" s="57">
        <v>387</v>
      </c>
      <c r="O171" s="57">
        <v>735</v>
      </c>
      <c r="P171" s="58">
        <v>677</v>
      </c>
    </row>
    <row r="172" spans="11:16" x14ac:dyDescent="0.3">
      <c r="K172" s="1"/>
      <c r="L172" s="54" t="s">
        <v>377</v>
      </c>
      <c r="M172" s="54" t="s">
        <v>527</v>
      </c>
      <c r="N172" s="57">
        <v>869</v>
      </c>
      <c r="O172" s="55">
        <v>1267</v>
      </c>
      <c r="P172" s="58">
        <v>801</v>
      </c>
    </row>
    <row r="173" spans="11:16" x14ac:dyDescent="0.3">
      <c r="K173" s="1"/>
      <c r="L173" s="54" t="s">
        <v>377</v>
      </c>
      <c r="M173" s="54" t="s">
        <v>528</v>
      </c>
      <c r="N173" s="55">
        <v>1500</v>
      </c>
      <c r="O173" s="55">
        <v>2104</v>
      </c>
      <c r="P173" s="56">
        <v>1570</v>
      </c>
    </row>
    <row r="174" spans="11:16" x14ac:dyDescent="0.3">
      <c r="K174" s="1"/>
      <c r="L174" s="54" t="s">
        <v>377</v>
      </c>
      <c r="M174" s="54" t="s">
        <v>529</v>
      </c>
      <c r="N174" s="55">
        <v>1064</v>
      </c>
      <c r="O174" s="55">
        <v>1509</v>
      </c>
      <c r="P174" s="56">
        <v>1126</v>
      </c>
    </row>
    <row r="175" spans="11:16" x14ac:dyDescent="0.3">
      <c r="K175" s="1"/>
      <c r="L175" s="54" t="s">
        <v>377</v>
      </c>
      <c r="M175" s="54" t="s">
        <v>530</v>
      </c>
      <c r="N175" s="55">
        <v>1272</v>
      </c>
      <c r="O175" s="55">
        <v>2058</v>
      </c>
      <c r="P175" s="56">
        <v>1702</v>
      </c>
    </row>
    <row r="176" spans="11:16" x14ac:dyDescent="0.3">
      <c r="K176" s="1"/>
      <c r="L176" s="54" t="s">
        <v>377</v>
      </c>
      <c r="M176" s="54" t="s">
        <v>531</v>
      </c>
      <c r="N176" s="57">
        <v>916</v>
      </c>
      <c r="O176" s="55">
        <v>1326</v>
      </c>
      <c r="P176" s="58">
        <v>840</v>
      </c>
    </row>
    <row r="177" spans="11:16" x14ac:dyDescent="0.3">
      <c r="K177" s="1"/>
      <c r="L177" s="54" t="s">
        <v>377</v>
      </c>
      <c r="M177" s="54" t="s">
        <v>532</v>
      </c>
      <c r="N177" s="57">
        <v>877</v>
      </c>
      <c r="O177" s="55">
        <v>1498</v>
      </c>
      <c r="P177" s="56">
        <v>1274</v>
      </c>
    </row>
    <row r="178" spans="11:16" x14ac:dyDescent="0.3">
      <c r="K178" s="1"/>
      <c r="L178" s="54" t="s">
        <v>377</v>
      </c>
      <c r="M178" s="54" t="s">
        <v>533</v>
      </c>
      <c r="N178" s="57">
        <v>716</v>
      </c>
      <c r="O178" s="55">
        <v>1119</v>
      </c>
      <c r="P178" s="58">
        <v>837</v>
      </c>
    </row>
    <row r="179" spans="11:16" x14ac:dyDescent="0.3">
      <c r="K179" s="1"/>
      <c r="L179" s="54" t="s">
        <v>377</v>
      </c>
      <c r="M179" s="54" t="s">
        <v>534</v>
      </c>
      <c r="N179" s="57">
        <v>772</v>
      </c>
      <c r="O179" s="55">
        <v>1410</v>
      </c>
      <c r="P179" s="56">
        <v>1199</v>
      </c>
    </row>
    <row r="180" spans="11:16" x14ac:dyDescent="0.3">
      <c r="K180" s="1"/>
      <c r="L180" s="54" t="s">
        <v>377</v>
      </c>
      <c r="M180" s="54" t="s">
        <v>535</v>
      </c>
      <c r="N180" s="55">
        <v>1190</v>
      </c>
      <c r="O180" s="55">
        <v>1969</v>
      </c>
      <c r="P180" s="56">
        <v>1597</v>
      </c>
    </row>
  </sheetData>
  <mergeCells count="16">
    <mergeCell ref="A31:B31"/>
    <mergeCell ref="A34:B34"/>
    <mergeCell ref="A36:B36"/>
    <mergeCell ref="A37:B37"/>
    <mergeCell ref="K20:L20"/>
    <mergeCell ref="K21:L21"/>
    <mergeCell ref="N21:P21"/>
    <mergeCell ref="A25:B25"/>
    <mergeCell ref="A28:B28"/>
    <mergeCell ref="A58:B58"/>
    <mergeCell ref="A59:B59"/>
    <mergeCell ref="A63:B63"/>
    <mergeCell ref="A65:B65"/>
    <mergeCell ref="A39:B39"/>
    <mergeCell ref="A40:B40"/>
    <mergeCell ref="A44:B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328C-6FD9-463C-996A-D97917E8468F}">
  <dimension ref="A1:I95"/>
  <sheetViews>
    <sheetView topLeftCell="A95" workbookViewId="0">
      <selection activeCell="A66" sqref="A66"/>
    </sheetView>
  </sheetViews>
  <sheetFormatPr defaultRowHeight="14.4" x14ac:dyDescent="0.3"/>
  <cols>
    <col min="1" max="1" width="17.44140625" customWidth="1"/>
    <col min="2" max="2" width="14.109375" customWidth="1"/>
    <col min="5" max="5" width="13" customWidth="1"/>
    <col min="7" max="7" width="10.33203125" bestFit="1" customWidth="1"/>
    <col min="8" max="8" width="15" customWidth="1"/>
  </cols>
  <sheetData>
    <row r="1" spans="1:8" x14ac:dyDescent="0.3">
      <c r="A1" s="7" t="s">
        <v>578</v>
      </c>
      <c r="B1" s="7"/>
      <c r="C1" s="7"/>
      <c r="D1" s="7"/>
      <c r="E1" s="7"/>
      <c r="F1" s="7"/>
      <c r="G1" s="7"/>
      <c r="H1" s="7"/>
    </row>
    <row r="2" spans="1:8" x14ac:dyDescent="0.3">
      <c r="A2" s="7" t="s">
        <v>579</v>
      </c>
      <c r="B2" s="7"/>
      <c r="C2" s="7"/>
      <c r="D2" s="7"/>
      <c r="E2" s="7"/>
      <c r="F2" s="7"/>
      <c r="G2" s="7"/>
      <c r="H2" s="7"/>
    </row>
    <row r="3" spans="1:8" x14ac:dyDescent="0.3">
      <c r="A3" s="6" t="s">
        <v>767</v>
      </c>
      <c r="B3" s="7"/>
      <c r="C3" s="7"/>
      <c r="D3" s="7"/>
      <c r="E3" s="7"/>
      <c r="F3" s="7"/>
      <c r="G3" s="7"/>
      <c r="H3" s="7"/>
    </row>
    <row r="4" spans="1:8" x14ac:dyDescent="0.3">
      <c r="A4" s="7"/>
      <c r="B4" s="7"/>
      <c r="C4" s="7"/>
      <c r="D4" s="7"/>
      <c r="E4" s="7"/>
      <c r="F4" s="7"/>
      <c r="G4" s="6" t="s">
        <v>580</v>
      </c>
      <c r="H4" s="7"/>
    </row>
    <row r="5" spans="1:8" x14ac:dyDescent="0.3">
      <c r="A5" s="7"/>
      <c r="B5" s="7"/>
      <c r="C5" s="7"/>
      <c r="D5" s="7"/>
      <c r="E5" s="7"/>
      <c r="F5" s="7"/>
      <c r="G5" s="7"/>
      <c r="H5" s="7"/>
    </row>
    <row r="6" spans="1:8" ht="21.6" customHeight="1" x14ac:dyDescent="0.3">
      <c r="A6" s="7"/>
      <c r="B6" s="7"/>
      <c r="C6" s="7"/>
      <c r="D6" s="7"/>
      <c r="E6" s="7"/>
      <c r="F6" s="7"/>
      <c r="G6" s="72" t="s">
        <v>223</v>
      </c>
      <c r="H6" s="72" t="s">
        <v>581</v>
      </c>
    </row>
    <row r="7" spans="1:8" x14ac:dyDescent="0.3">
      <c r="A7" s="6" t="s">
        <v>223</v>
      </c>
      <c r="B7" s="6" t="s">
        <v>581</v>
      </c>
      <c r="C7" s="7"/>
      <c r="D7" s="7"/>
      <c r="E7" s="7"/>
      <c r="F7" s="7"/>
      <c r="G7" s="73">
        <v>44197</v>
      </c>
      <c r="H7" s="74" t="s">
        <v>582</v>
      </c>
    </row>
    <row r="8" spans="1:8" x14ac:dyDescent="0.3">
      <c r="A8" s="75">
        <v>44317</v>
      </c>
      <c r="B8" s="76" t="str">
        <f>VLOOKUP(A8, $G$7:$H$27, 2, TRUE)</f>
        <v xml:space="preserve">$1.3624 </v>
      </c>
      <c r="C8" s="7"/>
      <c r="D8" s="7"/>
      <c r="E8" s="7"/>
      <c r="F8" s="7"/>
      <c r="G8" s="73">
        <v>44287</v>
      </c>
      <c r="H8" s="74" t="s">
        <v>583</v>
      </c>
    </row>
    <row r="9" spans="1:8" x14ac:dyDescent="0.3">
      <c r="A9" s="7" t="s">
        <v>584</v>
      </c>
      <c r="B9" s="76" t="str">
        <f>VLOOKUP(A9, $G$7:$H$27, 2, TRUE)</f>
        <v xml:space="preserve">$1.3586 </v>
      </c>
      <c r="C9" s="7"/>
      <c r="D9" s="7"/>
      <c r="E9" s="7"/>
      <c r="F9" s="7"/>
      <c r="G9" s="73">
        <v>44317</v>
      </c>
      <c r="H9" s="74" t="s">
        <v>585</v>
      </c>
    </row>
    <row r="10" spans="1:8" x14ac:dyDescent="0.3">
      <c r="A10" s="7" t="s">
        <v>586</v>
      </c>
      <c r="B10" s="76" t="str">
        <f>VLOOKUP(A10, $G$7:$H$27, 2, TRUE)</f>
        <v xml:space="preserve">$1.3684 </v>
      </c>
      <c r="C10" s="7"/>
      <c r="D10" s="7"/>
      <c r="E10" s="7"/>
      <c r="F10" s="7"/>
      <c r="G10" s="73">
        <v>44348</v>
      </c>
      <c r="H10" s="74" t="s">
        <v>587</v>
      </c>
    </row>
    <row r="11" spans="1:8" x14ac:dyDescent="0.3">
      <c r="A11" s="7"/>
      <c r="B11" s="7"/>
      <c r="C11" s="7"/>
      <c r="D11" s="7"/>
      <c r="E11" s="7"/>
      <c r="F11" s="7"/>
      <c r="G11" s="73">
        <v>44378</v>
      </c>
      <c r="H11" s="74" t="s">
        <v>588</v>
      </c>
    </row>
    <row r="12" spans="1:8" x14ac:dyDescent="0.3">
      <c r="A12" s="7"/>
      <c r="B12" s="7"/>
      <c r="C12" s="7"/>
      <c r="D12" s="7"/>
      <c r="E12" s="7"/>
      <c r="F12" s="7"/>
      <c r="G12" s="73">
        <v>44409</v>
      </c>
      <c r="H12" s="74" t="s">
        <v>588</v>
      </c>
    </row>
    <row r="13" spans="1:8" x14ac:dyDescent="0.3">
      <c r="A13" s="7"/>
      <c r="B13" s="7"/>
      <c r="C13" s="7"/>
      <c r="D13" s="7"/>
      <c r="E13" s="7"/>
      <c r="F13" s="7"/>
      <c r="G13" s="73">
        <v>44501</v>
      </c>
      <c r="H13" s="74" t="s">
        <v>589</v>
      </c>
    </row>
    <row r="14" spans="1:8" x14ac:dyDescent="0.3">
      <c r="A14" s="7"/>
      <c r="B14" s="7"/>
      <c r="C14" s="7"/>
      <c r="D14" s="7"/>
      <c r="E14" s="7"/>
      <c r="F14" s="7"/>
      <c r="G14" s="73">
        <v>44531</v>
      </c>
      <c r="H14" s="74" t="s">
        <v>590</v>
      </c>
    </row>
    <row r="15" spans="1:8" ht="16.2" customHeight="1" x14ac:dyDescent="0.3">
      <c r="A15" s="7"/>
      <c r="B15" s="7"/>
      <c r="C15" s="7"/>
      <c r="D15" s="7"/>
      <c r="E15" s="7"/>
      <c r="F15" s="7"/>
      <c r="G15" s="77" t="s">
        <v>591</v>
      </c>
      <c r="H15" s="74" t="s">
        <v>592</v>
      </c>
    </row>
    <row r="16" spans="1:8" ht="12.6" customHeight="1" x14ac:dyDescent="0.3">
      <c r="A16" s="7"/>
      <c r="B16" s="7"/>
      <c r="C16" s="7"/>
      <c r="D16" s="7"/>
      <c r="E16" s="7"/>
      <c r="F16" s="7"/>
      <c r="G16" s="77" t="s">
        <v>593</v>
      </c>
      <c r="H16" s="74" t="s">
        <v>594</v>
      </c>
    </row>
    <row r="17" spans="1:8" ht="15" customHeight="1" x14ac:dyDescent="0.3">
      <c r="A17" s="7"/>
      <c r="B17" s="7"/>
      <c r="C17" s="7"/>
      <c r="D17" s="7"/>
      <c r="E17" s="7"/>
      <c r="F17" s="7"/>
      <c r="G17" s="77" t="s">
        <v>584</v>
      </c>
      <c r="H17" s="74" t="s">
        <v>595</v>
      </c>
    </row>
    <row r="18" spans="1:8" ht="17.399999999999999" customHeight="1" x14ac:dyDescent="0.3">
      <c r="A18" s="7"/>
      <c r="B18" s="7"/>
      <c r="C18" s="7"/>
      <c r="D18" s="7"/>
      <c r="E18" s="7"/>
      <c r="F18" s="7"/>
      <c r="G18" s="77" t="s">
        <v>596</v>
      </c>
      <c r="H18" s="74" t="s">
        <v>597</v>
      </c>
    </row>
    <row r="19" spans="1:8" ht="16.2" customHeight="1" x14ac:dyDescent="0.3">
      <c r="A19" s="7"/>
      <c r="B19" s="7"/>
      <c r="C19" s="7"/>
      <c r="D19" s="7"/>
      <c r="E19" s="7"/>
      <c r="F19" s="7"/>
      <c r="G19" s="77" t="s">
        <v>598</v>
      </c>
      <c r="H19" s="74" t="s">
        <v>599</v>
      </c>
    </row>
    <row r="20" spans="1:8" ht="17.399999999999999" customHeight="1" x14ac:dyDescent="0.3">
      <c r="A20" s="7"/>
      <c r="B20" s="7"/>
      <c r="C20" s="7"/>
      <c r="D20" s="7"/>
      <c r="E20" s="7"/>
      <c r="F20" s="7"/>
      <c r="G20" s="77" t="s">
        <v>600</v>
      </c>
      <c r="H20" s="74" t="s">
        <v>601</v>
      </c>
    </row>
    <row r="21" spans="1:8" ht="15" customHeight="1" x14ac:dyDescent="0.3">
      <c r="A21" s="7"/>
      <c r="B21" s="7"/>
      <c r="C21" s="7"/>
      <c r="D21" s="7"/>
      <c r="E21" s="7"/>
      <c r="F21" s="7"/>
      <c r="G21" s="77" t="s">
        <v>602</v>
      </c>
      <c r="H21" s="74" t="s">
        <v>603</v>
      </c>
    </row>
    <row r="22" spans="1:8" ht="13.8" customHeight="1" x14ac:dyDescent="0.3">
      <c r="A22" s="7"/>
      <c r="B22" s="7"/>
      <c r="C22" s="7"/>
      <c r="D22" s="7"/>
      <c r="E22" s="7"/>
      <c r="F22" s="7"/>
      <c r="G22" s="77" t="s">
        <v>604</v>
      </c>
      <c r="H22" s="74" t="s">
        <v>605</v>
      </c>
    </row>
    <row r="23" spans="1:8" ht="16.2" customHeight="1" x14ac:dyDescent="0.3">
      <c r="A23" s="7"/>
      <c r="B23" s="7"/>
      <c r="C23" s="7"/>
      <c r="D23" s="7"/>
      <c r="E23" s="7"/>
      <c r="F23" s="7"/>
      <c r="G23" s="77" t="s">
        <v>606</v>
      </c>
      <c r="H23" s="74" t="s">
        <v>607</v>
      </c>
    </row>
    <row r="24" spans="1:8" ht="13.2" customHeight="1" x14ac:dyDescent="0.3">
      <c r="A24" s="7"/>
      <c r="B24" s="7"/>
      <c r="C24" s="7"/>
      <c r="D24" s="7"/>
      <c r="E24" s="7"/>
      <c r="F24" s="7"/>
      <c r="G24" s="77" t="s">
        <v>608</v>
      </c>
      <c r="H24" s="74" t="s">
        <v>609</v>
      </c>
    </row>
    <row r="25" spans="1:8" ht="15.6" customHeight="1" x14ac:dyDescent="0.3">
      <c r="A25" s="7"/>
      <c r="B25" s="7"/>
      <c r="C25" s="7"/>
      <c r="D25" s="7"/>
      <c r="E25" s="7"/>
      <c r="F25" s="7"/>
      <c r="G25" s="77" t="s">
        <v>610</v>
      </c>
      <c r="H25" s="74" t="s">
        <v>611</v>
      </c>
    </row>
    <row r="26" spans="1:8" ht="16.8" customHeight="1" x14ac:dyDescent="0.3">
      <c r="A26" s="7"/>
      <c r="B26" s="7"/>
      <c r="C26" s="7"/>
      <c r="D26" s="7"/>
      <c r="E26" s="7"/>
      <c r="F26" s="7"/>
      <c r="G26" s="77" t="s">
        <v>612</v>
      </c>
      <c r="H26" s="74" t="s">
        <v>613</v>
      </c>
    </row>
    <row r="27" spans="1:8" ht="14.4" customHeight="1" x14ac:dyDescent="0.3">
      <c r="A27" s="7"/>
      <c r="B27" s="7"/>
      <c r="C27" s="7"/>
      <c r="D27" s="7"/>
      <c r="E27" s="7"/>
      <c r="F27" s="7"/>
      <c r="G27" s="77" t="s">
        <v>614</v>
      </c>
      <c r="H27" s="74" t="s">
        <v>615</v>
      </c>
    </row>
    <row r="28" spans="1:8" x14ac:dyDescent="0.3">
      <c r="A28" s="121" t="s">
        <v>768</v>
      </c>
    </row>
    <row r="30" spans="1:8" x14ac:dyDescent="0.3">
      <c r="A30" s="114" t="s">
        <v>616</v>
      </c>
      <c r="B30" s="114"/>
      <c r="C30" s="114"/>
      <c r="D30" s="114"/>
      <c r="E30" s="7"/>
    </row>
    <row r="31" spans="1:8" x14ac:dyDescent="0.3">
      <c r="A31" s="7"/>
      <c r="B31" s="7"/>
      <c r="C31" s="7"/>
      <c r="D31" s="7"/>
      <c r="E31" s="7"/>
    </row>
    <row r="32" spans="1:8" x14ac:dyDescent="0.3">
      <c r="A32" s="78" t="s">
        <v>75</v>
      </c>
      <c r="B32" s="79" t="s">
        <v>1</v>
      </c>
      <c r="C32" s="79" t="s">
        <v>617</v>
      </c>
      <c r="D32" s="79" t="s">
        <v>92</v>
      </c>
      <c r="E32" s="79" t="s">
        <v>125</v>
      </c>
    </row>
    <row r="33" spans="1:5" x14ac:dyDescent="0.3">
      <c r="A33" s="80">
        <v>56815</v>
      </c>
      <c r="B33" s="81" t="s">
        <v>618</v>
      </c>
      <c r="C33" s="81" t="s">
        <v>619</v>
      </c>
      <c r="D33" s="82">
        <v>13836</v>
      </c>
      <c r="E33" s="82">
        <v>25</v>
      </c>
    </row>
    <row r="34" spans="1:5" x14ac:dyDescent="0.3">
      <c r="A34" s="80">
        <v>51186</v>
      </c>
      <c r="B34" s="81" t="s">
        <v>620</v>
      </c>
      <c r="C34" s="81" t="s">
        <v>621</v>
      </c>
      <c r="D34" s="82">
        <v>11771</v>
      </c>
      <c r="E34" s="82">
        <v>32</v>
      </c>
    </row>
    <row r="35" spans="1:5" x14ac:dyDescent="0.3">
      <c r="A35" s="80">
        <v>51511</v>
      </c>
      <c r="B35" s="81" t="s">
        <v>622</v>
      </c>
      <c r="C35" s="81" t="s">
        <v>623</v>
      </c>
      <c r="D35" s="82">
        <v>13046</v>
      </c>
      <c r="E35" s="82">
        <v>35</v>
      </c>
    </row>
    <row r="36" spans="1:5" x14ac:dyDescent="0.3">
      <c r="A36" s="80">
        <v>50890</v>
      </c>
      <c r="B36" s="81" t="s">
        <v>624</v>
      </c>
      <c r="C36" s="81" t="s">
        <v>625</v>
      </c>
      <c r="D36" s="82">
        <v>18276</v>
      </c>
      <c r="E36" s="82">
        <v>32</v>
      </c>
    </row>
    <row r="37" spans="1:5" x14ac:dyDescent="0.3">
      <c r="A37" s="80">
        <v>53700</v>
      </c>
      <c r="B37" s="81" t="s">
        <v>626</v>
      </c>
      <c r="C37" s="81" t="s">
        <v>627</v>
      </c>
      <c r="D37" s="82">
        <v>19327</v>
      </c>
      <c r="E37" s="82">
        <v>26</v>
      </c>
    </row>
    <row r="38" spans="1:5" x14ac:dyDescent="0.3">
      <c r="A38" s="80">
        <v>55879</v>
      </c>
      <c r="B38" s="81" t="s">
        <v>628</v>
      </c>
      <c r="C38" s="81" t="s">
        <v>629</v>
      </c>
      <c r="D38" s="82">
        <v>18996</v>
      </c>
      <c r="E38" s="82">
        <v>35</v>
      </c>
    </row>
    <row r="39" spans="1:5" x14ac:dyDescent="0.3">
      <c r="A39" s="80">
        <v>59848</v>
      </c>
      <c r="B39" s="81" t="s">
        <v>630</v>
      </c>
      <c r="C39" s="81" t="s">
        <v>623</v>
      </c>
      <c r="D39" s="82">
        <v>10387</v>
      </c>
      <c r="E39" s="82">
        <v>25</v>
      </c>
    </row>
    <row r="40" spans="1:5" x14ac:dyDescent="0.3">
      <c r="A40" s="80">
        <v>58369</v>
      </c>
      <c r="B40" s="81" t="s">
        <v>631</v>
      </c>
      <c r="C40" s="81" t="s">
        <v>629</v>
      </c>
      <c r="D40" s="82">
        <v>12566</v>
      </c>
      <c r="E40" s="82">
        <v>37</v>
      </c>
    </row>
    <row r="41" spans="1:5" x14ac:dyDescent="0.3">
      <c r="A41" s="80">
        <v>50217</v>
      </c>
      <c r="B41" s="81" t="s">
        <v>632</v>
      </c>
      <c r="C41" s="81" t="s">
        <v>633</v>
      </c>
      <c r="D41" s="82">
        <v>16406</v>
      </c>
      <c r="E41" s="82">
        <v>42</v>
      </c>
    </row>
    <row r="42" spans="1:5" x14ac:dyDescent="0.3">
      <c r="A42" s="80">
        <v>50695</v>
      </c>
      <c r="B42" s="81" t="s">
        <v>634</v>
      </c>
      <c r="C42" s="81" t="s">
        <v>625</v>
      </c>
      <c r="D42" s="82">
        <v>15784</v>
      </c>
      <c r="E42" s="82">
        <v>43</v>
      </c>
    </row>
    <row r="43" spans="1:5" x14ac:dyDescent="0.3">
      <c r="A43" s="80">
        <v>59673</v>
      </c>
      <c r="B43" s="81" t="s">
        <v>635</v>
      </c>
      <c r="C43" s="81" t="s">
        <v>619</v>
      </c>
      <c r="D43" s="82">
        <v>10959</v>
      </c>
      <c r="E43" s="82">
        <v>30</v>
      </c>
    </row>
    <row r="44" spans="1:5" x14ac:dyDescent="0.3">
      <c r="A44" s="80">
        <v>52130</v>
      </c>
      <c r="B44" s="81" t="s">
        <v>636</v>
      </c>
      <c r="C44" s="81" t="s">
        <v>637</v>
      </c>
      <c r="D44" s="82">
        <v>14562</v>
      </c>
      <c r="E44" s="82">
        <v>32</v>
      </c>
    </row>
    <row r="45" spans="1:5" x14ac:dyDescent="0.3">
      <c r="A45" s="7"/>
      <c r="B45" s="7"/>
      <c r="C45" s="7"/>
      <c r="D45" s="7"/>
      <c r="E45" s="7"/>
    </row>
    <row r="46" spans="1:5" x14ac:dyDescent="0.3">
      <c r="A46" s="7" t="s">
        <v>638</v>
      </c>
      <c r="B46" s="1"/>
      <c r="C46" s="1"/>
      <c r="D46" s="11" t="str">
        <f>VLOOKUP(58369, $A$33:$E$44, 2, FALSE)</f>
        <v>Thomas Davies</v>
      </c>
      <c r="E46" s="7"/>
    </row>
    <row r="47" spans="1:5" x14ac:dyDescent="0.3">
      <c r="A47" s="7"/>
      <c r="B47" s="7"/>
      <c r="C47" s="7"/>
      <c r="D47" s="7"/>
      <c r="E47" s="7"/>
    </row>
    <row r="48" spans="1:5" x14ac:dyDescent="0.3">
      <c r="A48" s="7" t="s">
        <v>639</v>
      </c>
      <c r="B48" s="1"/>
      <c r="C48" s="7"/>
      <c r="D48" s="11">
        <f>VLOOKUP("Estelle Cormack", $B$33:$E$44, 4, FALSE)</f>
        <v>30</v>
      </c>
      <c r="E48" s="7"/>
    </row>
    <row r="49" spans="1:5" x14ac:dyDescent="0.3">
      <c r="A49" s="7"/>
      <c r="B49" s="7"/>
      <c r="C49" s="7"/>
      <c r="D49" s="7"/>
      <c r="E49" s="7"/>
    </row>
    <row r="50" spans="1:5" x14ac:dyDescent="0.3">
      <c r="A50" s="109" t="s">
        <v>640</v>
      </c>
      <c r="B50" s="109"/>
      <c r="C50" s="109"/>
      <c r="D50" s="7"/>
      <c r="E50" s="7"/>
    </row>
    <row r="51" spans="1:5" x14ac:dyDescent="0.3">
      <c r="A51" s="7"/>
      <c r="B51" s="7"/>
      <c r="C51" s="7"/>
      <c r="D51" s="7"/>
      <c r="E51" s="7"/>
    </row>
    <row r="52" spans="1:5" x14ac:dyDescent="0.3">
      <c r="A52" s="29" t="s">
        <v>75</v>
      </c>
      <c r="B52" s="83" t="s">
        <v>617</v>
      </c>
      <c r="C52" s="7"/>
      <c r="D52" s="7"/>
      <c r="E52" s="7"/>
    </row>
    <row r="53" spans="1:5" x14ac:dyDescent="0.3">
      <c r="A53" s="80">
        <v>55879</v>
      </c>
      <c r="B53" s="84" t="str">
        <f>VLOOKUP(55879, $A$33:$E$44, 3, FALSE)</f>
        <v>Capetown</v>
      </c>
      <c r="C53" s="7"/>
      <c r="D53" s="7"/>
      <c r="E53" s="7"/>
    </row>
    <row r="54" spans="1:5" x14ac:dyDescent="0.3">
      <c r="A54" s="80">
        <v>50217</v>
      </c>
      <c r="B54" s="84" t="str">
        <f>VLOOKUP(50217, $A$33:$E$44, 3, FALSE)</f>
        <v>Warsaw</v>
      </c>
      <c r="C54" s="7"/>
      <c r="D54" s="7"/>
      <c r="E54" s="7"/>
    </row>
    <row r="55" spans="1:5" x14ac:dyDescent="0.3">
      <c r="A55" s="80">
        <v>50695</v>
      </c>
      <c r="B55" s="84" t="str">
        <f>VLOOKUP(50695, $A$33:$E$44, 3, FALSE)</f>
        <v>Cairo</v>
      </c>
      <c r="C55" s="7"/>
      <c r="D55" s="7"/>
      <c r="E55" s="7"/>
    </row>
    <row r="56" spans="1:5" x14ac:dyDescent="0.3">
      <c r="A56" s="7"/>
      <c r="B56" s="7"/>
      <c r="C56" s="7"/>
      <c r="D56" s="7"/>
      <c r="E56" s="7"/>
    </row>
    <row r="57" spans="1:5" x14ac:dyDescent="0.3">
      <c r="A57" s="109" t="s">
        <v>641</v>
      </c>
      <c r="B57" s="109"/>
      <c r="C57" s="109"/>
      <c r="D57" s="7"/>
      <c r="E57" s="7"/>
    </row>
    <row r="58" spans="1:5" x14ac:dyDescent="0.3">
      <c r="A58" s="7"/>
      <c r="B58" s="7"/>
      <c r="C58" s="7"/>
      <c r="D58" s="7"/>
      <c r="E58" s="7"/>
    </row>
    <row r="59" spans="1:5" x14ac:dyDescent="0.3">
      <c r="A59" s="29" t="s">
        <v>1</v>
      </c>
      <c r="B59" s="83" t="s">
        <v>92</v>
      </c>
      <c r="C59" s="7"/>
      <c r="D59" s="7"/>
      <c r="E59" s="7"/>
    </row>
    <row r="60" spans="1:5" x14ac:dyDescent="0.3">
      <c r="A60" s="85" t="s">
        <v>624</v>
      </c>
      <c r="B60" s="84">
        <f>VLOOKUP("Ian Nash",$B$33:$E$44,3,FALSE)</f>
        <v>18276</v>
      </c>
      <c r="C60" s="7"/>
      <c r="D60" s="7"/>
      <c r="E60" s="7"/>
    </row>
    <row r="61" spans="1:5" x14ac:dyDescent="0.3">
      <c r="A61" s="85" t="s">
        <v>642</v>
      </c>
      <c r="B61" s="84" t="s">
        <v>670</v>
      </c>
      <c r="C61" s="7"/>
      <c r="D61" s="7"/>
      <c r="E61" s="7"/>
    </row>
    <row r="62" spans="1:5" x14ac:dyDescent="0.3">
      <c r="A62" s="85" t="s">
        <v>635</v>
      </c>
      <c r="B62" s="84">
        <f>VLOOKUP("Estelle Cormack",$B$33:$E$44,3,)</f>
        <v>10959</v>
      </c>
      <c r="C62" s="7"/>
      <c r="D62" s="7"/>
      <c r="E62" s="7"/>
    </row>
    <row r="63" spans="1:5" x14ac:dyDescent="0.3">
      <c r="A63" s="7"/>
      <c r="B63" s="7"/>
      <c r="C63" s="7"/>
      <c r="D63" s="7"/>
      <c r="E63" s="7"/>
    </row>
    <row r="66" spans="1:9" x14ac:dyDescent="0.3">
      <c r="A66" s="121" t="s">
        <v>769</v>
      </c>
    </row>
    <row r="68" spans="1:9" x14ac:dyDescent="0.3">
      <c r="A68" s="70"/>
      <c r="B68" s="69" t="s">
        <v>643</v>
      </c>
      <c r="C68" s="70"/>
      <c r="D68" s="70"/>
      <c r="E68" s="70"/>
      <c r="F68" s="70"/>
      <c r="G68" s="70"/>
      <c r="H68" s="70"/>
      <c r="I68" s="70"/>
    </row>
    <row r="69" spans="1:9" x14ac:dyDescent="0.3">
      <c r="A69" s="70"/>
      <c r="B69" s="86" t="s">
        <v>1</v>
      </c>
      <c r="C69" s="86" t="s">
        <v>125</v>
      </c>
      <c r="D69" s="86" t="s">
        <v>644</v>
      </c>
      <c r="E69" s="86" t="s">
        <v>645</v>
      </c>
      <c r="F69" s="70"/>
      <c r="G69" s="70"/>
      <c r="H69" s="70"/>
      <c r="I69" s="70"/>
    </row>
    <row r="70" spans="1:9" x14ac:dyDescent="0.3">
      <c r="A70" s="70"/>
      <c r="B70" s="87" t="s">
        <v>646</v>
      </c>
      <c r="C70" s="87">
        <v>35</v>
      </c>
      <c r="D70" s="87" t="s">
        <v>647</v>
      </c>
      <c r="E70" s="87" t="s">
        <v>648</v>
      </c>
      <c r="F70" s="70"/>
      <c r="G70" s="70"/>
      <c r="H70" s="70"/>
      <c r="I70" s="70"/>
    </row>
    <row r="71" spans="1:9" x14ac:dyDescent="0.3">
      <c r="A71" s="70"/>
      <c r="B71" s="87" t="s">
        <v>649</v>
      </c>
      <c r="C71" s="87">
        <v>42</v>
      </c>
      <c r="D71" s="87" t="s">
        <v>650</v>
      </c>
      <c r="E71" s="87" t="s">
        <v>651</v>
      </c>
      <c r="F71" s="70"/>
      <c r="G71" s="70"/>
      <c r="H71" s="70"/>
      <c r="I71" s="70"/>
    </row>
    <row r="72" spans="1:9" x14ac:dyDescent="0.3">
      <c r="A72" s="70"/>
      <c r="B72" s="87" t="s">
        <v>79</v>
      </c>
      <c r="C72" s="87">
        <v>28</v>
      </c>
      <c r="D72" s="87" t="s">
        <v>647</v>
      </c>
      <c r="E72" s="87" t="s">
        <v>652</v>
      </c>
      <c r="F72" s="70"/>
      <c r="G72" s="70"/>
      <c r="H72" s="70"/>
      <c r="I72" s="70"/>
    </row>
    <row r="73" spans="1:9" x14ac:dyDescent="0.3">
      <c r="A73" s="70"/>
      <c r="B73" s="87" t="s">
        <v>653</v>
      </c>
      <c r="C73" s="87">
        <v>25</v>
      </c>
      <c r="D73" s="87" t="s">
        <v>650</v>
      </c>
      <c r="E73" s="87" t="s">
        <v>88</v>
      </c>
      <c r="F73" s="70"/>
      <c r="G73" s="70"/>
      <c r="H73" s="70"/>
      <c r="I73" s="70"/>
    </row>
    <row r="74" spans="1:9" x14ac:dyDescent="0.3">
      <c r="A74" s="70"/>
      <c r="B74" s="87" t="s">
        <v>654</v>
      </c>
      <c r="C74" s="87">
        <v>31</v>
      </c>
      <c r="D74" s="87" t="s">
        <v>647</v>
      </c>
      <c r="E74" s="87" t="s">
        <v>89</v>
      </c>
      <c r="F74" s="70"/>
      <c r="G74" s="70"/>
      <c r="H74" s="70"/>
      <c r="I74" s="70"/>
    </row>
    <row r="75" spans="1:9" x14ac:dyDescent="0.3">
      <c r="A75" s="70"/>
      <c r="B75" s="87" t="s">
        <v>655</v>
      </c>
      <c r="C75" s="87">
        <v>27</v>
      </c>
      <c r="D75" s="87" t="s">
        <v>650</v>
      </c>
      <c r="E75" s="87" t="s">
        <v>656</v>
      </c>
      <c r="F75" s="70"/>
      <c r="G75" s="70"/>
      <c r="H75" s="70"/>
      <c r="I75" s="70"/>
    </row>
    <row r="76" spans="1:9" x14ac:dyDescent="0.3">
      <c r="A76" s="70"/>
      <c r="B76" s="87" t="s">
        <v>657</v>
      </c>
      <c r="C76" s="87">
        <v>38</v>
      </c>
      <c r="D76" s="87" t="s">
        <v>647</v>
      </c>
      <c r="E76" s="87" t="s">
        <v>658</v>
      </c>
      <c r="F76" s="70"/>
      <c r="G76" s="70"/>
      <c r="H76" s="70"/>
      <c r="I76" s="70"/>
    </row>
    <row r="77" spans="1:9" x14ac:dyDescent="0.3">
      <c r="A77" s="70"/>
      <c r="B77" s="87" t="s">
        <v>659</v>
      </c>
      <c r="C77" s="87">
        <v>29</v>
      </c>
      <c r="D77" s="87" t="s">
        <v>650</v>
      </c>
      <c r="E77" s="87" t="s">
        <v>660</v>
      </c>
      <c r="F77" s="70"/>
      <c r="G77" s="70"/>
      <c r="H77" s="70"/>
      <c r="I77" s="70"/>
    </row>
    <row r="78" spans="1:9" x14ac:dyDescent="0.3">
      <c r="A78" s="70"/>
      <c r="B78" s="87" t="s">
        <v>661</v>
      </c>
      <c r="C78" s="87">
        <v>45</v>
      </c>
      <c r="D78" s="87" t="s">
        <v>647</v>
      </c>
      <c r="E78" s="87" t="s">
        <v>662</v>
      </c>
      <c r="F78" s="70"/>
      <c r="G78" s="70"/>
      <c r="H78" s="70"/>
      <c r="I78" s="70"/>
    </row>
    <row r="79" spans="1:9" x14ac:dyDescent="0.3">
      <c r="A79" s="70"/>
      <c r="B79" s="87" t="s">
        <v>663</v>
      </c>
      <c r="C79" s="87">
        <v>33</v>
      </c>
      <c r="D79" s="87" t="s">
        <v>650</v>
      </c>
      <c r="E79" s="87" t="s">
        <v>664</v>
      </c>
      <c r="F79" s="70"/>
      <c r="G79" s="70"/>
      <c r="H79" s="70"/>
      <c r="I79" s="70"/>
    </row>
    <row r="80" spans="1:9" x14ac:dyDescent="0.3">
      <c r="A80" s="113"/>
      <c r="B80" s="113"/>
      <c r="C80" s="70"/>
      <c r="D80" s="70"/>
      <c r="E80" s="70"/>
      <c r="F80" s="70"/>
      <c r="G80" s="70"/>
      <c r="H80" s="70"/>
      <c r="I80" s="70"/>
    </row>
    <row r="81" spans="1:9" x14ac:dyDescent="0.3">
      <c r="A81" s="113"/>
      <c r="B81" s="113"/>
      <c r="C81" s="70"/>
      <c r="D81" s="70"/>
      <c r="E81" s="70"/>
      <c r="F81" s="70"/>
      <c r="G81" s="70"/>
      <c r="H81" s="70"/>
      <c r="I81" s="70"/>
    </row>
    <row r="82" spans="1:9" x14ac:dyDescent="0.3">
      <c r="A82" s="70"/>
      <c r="B82" s="88" t="s">
        <v>573</v>
      </c>
      <c r="C82" s="70"/>
      <c r="D82" s="70"/>
      <c r="E82" s="70"/>
      <c r="F82" s="70"/>
      <c r="G82" s="70"/>
      <c r="H82" s="70"/>
      <c r="I82" s="70"/>
    </row>
    <row r="83" spans="1:9" x14ac:dyDescent="0.3">
      <c r="A83" s="113"/>
      <c r="B83" s="113"/>
      <c r="C83" s="70"/>
      <c r="D83" s="70"/>
      <c r="E83" s="70"/>
      <c r="F83" s="70"/>
      <c r="G83" s="70" t="s">
        <v>665</v>
      </c>
      <c r="H83" s="70"/>
      <c r="I83" s="70"/>
    </row>
    <row r="84" spans="1:9" x14ac:dyDescent="0.3">
      <c r="A84" s="70">
        <v>1</v>
      </c>
      <c r="B84" s="70" t="s">
        <v>666</v>
      </c>
      <c r="C84" s="70"/>
      <c r="D84" s="70"/>
      <c r="E84" s="70"/>
      <c r="F84" s="70"/>
      <c r="G84" s="70"/>
      <c r="H84" s="70"/>
      <c r="I84" s="70"/>
    </row>
    <row r="85" spans="1:9" x14ac:dyDescent="0.3">
      <c r="A85" s="113"/>
      <c r="B85" s="113"/>
      <c r="C85" s="68" t="s">
        <v>575</v>
      </c>
      <c r="D85" s="68"/>
      <c r="E85" s="70"/>
      <c r="F85" s="70"/>
      <c r="G85" s="70"/>
      <c r="H85" s="70"/>
      <c r="I85" s="70"/>
    </row>
    <row r="86" spans="1:9" x14ac:dyDescent="0.3">
      <c r="A86" s="70"/>
      <c r="B86" s="69" t="s">
        <v>96</v>
      </c>
      <c r="C86" s="71"/>
      <c r="D86" s="105" t="str">
        <f>VLOOKUP("Jane Doe", $B$70:$E$79, 4, FALSE)</f>
        <v>Data Scientist</v>
      </c>
      <c r="E86" s="70"/>
      <c r="F86" s="70"/>
      <c r="G86" s="70"/>
      <c r="H86" s="70"/>
      <c r="I86" s="70"/>
    </row>
    <row r="87" spans="1:9" x14ac:dyDescent="0.3">
      <c r="A87" s="113"/>
      <c r="B87" s="113"/>
      <c r="C87" s="70"/>
      <c r="D87" s="70"/>
      <c r="E87" s="70"/>
      <c r="F87" s="70"/>
      <c r="G87" s="70"/>
      <c r="H87" s="70"/>
      <c r="I87" s="70"/>
    </row>
    <row r="88" spans="1:9" x14ac:dyDescent="0.3">
      <c r="A88" s="70">
        <v>2</v>
      </c>
      <c r="B88" s="70" t="s">
        <v>667</v>
      </c>
      <c r="C88" s="70"/>
      <c r="D88" s="70"/>
      <c r="E88" s="70"/>
      <c r="F88" s="70"/>
      <c r="G88" s="70"/>
      <c r="H88" s="70"/>
      <c r="I88" s="70"/>
    </row>
    <row r="89" spans="1:9" x14ac:dyDescent="0.3">
      <c r="A89" s="113"/>
      <c r="B89" s="113"/>
      <c r="C89" s="68" t="s">
        <v>575</v>
      </c>
      <c r="D89" s="68"/>
      <c r="E89" s="70"/>
      <c r="F89" s="70"/>
      <c r="G89" s="70"/>
      <c r="H89" s="70"/>
      <c r="I89" s="70"/>
    </row>
    <row r="90" spans="1:9" x14ac:dyDescent="0.3">
      <c r="A90" s="70"/>
      <c r="B90" s="69" t="s">
        <v>96</v>
      </c>
      <c r="C90" s="71"/>
      <c r="D90" s="105">
        <f>VLOOKUP("Mike Lee",$B$70:$E$79,2,)</f>
        <v>45</v>
      </c>
      <c r="E90" s="70"/>
      <c r="F90" s="70"/>
      <c r="G90" s="70"/>
      <c r="H90" s="70"/>
      <c r="I90" s="70"/>
    </row>
    <row r="91" spans="1:9" x14ac:dyDescent="0.3">
      <c r="A91" s="113"/>
      <c r="B91" s="113"/>
      <c r="C91" s="70"/>
      <c r="D91" s="70"/>
      <c r="E91" s="70"/>
      <c r="F91" s="70"/>
      <c r="G91" s="70"/>
      <c r="H91" s="70"/>
      <c r="I91" s="70"/>
    </row>
    <row r="92" spans="1:9" x14ac:dyDescent="0.3">
      <c r="A92" s="70">
        <v>2</v>
      </c>
      <c r="B92" s="70" t="s">
        <v>668</v>
      </c>
      <c r="C92" s="70"/>
      <c r="D92" s="70"/>
      <c r="E92" s="70"/>
      <c r="F92" s="70"/>
      <c r="G92" s="70"/>
      <c r="H92" s="70"/>
      <c r="I92" s="70"/>
    </row>
    <row r="93" spans="1:9" x14ac:dyDescent="0.3">
      <c r="A93" s="113"/>
      <c r="B93" s="113"/>
      <c r="C93" s="68" t="s">
        <v>575</v>
      </c>
      <c r="D93" s="68"/>
      <c r="E93" s="70"/>
      <c r="F93" s="70"/>
      <c r="G93" s="70"/>
      <c r="H93" s="70"/>
      <c r="I93" s="70"/>
    </row>
    <row r="94" spans="1:9" x14ac:dyDescent="0.3">
      <c r="A94" s="70"/>
      <c r="B94" s="69" t="s">
        <v>96</v>
      </c>
      <c r="C94" s="71"/>
      <c r="D94" s="105" t="str">
        <f>VLOOKUP("B*", $B$70:$E$79, 4, FALSE)</f>
        <v>Accountant</v>
      </c>
      <c r="E94" s="70"/>
      <c r="F94" s="70"/>
      <c r="G94" s="70"/>
      <c r="H94" s="70"/>
      <c r="I94" s="70"/>
    </row>
    <row r="95" spans="1:9" x14ac:dyDescent="0.3">
      <c r="A95" s="113"/>
      <c r="B95" s="113"/>
      <c r="C95" s="70"/>
      <c r="D95" s="70"/>
      <c r="E95" s="70"/>
      <c r="F95" s="70"/>
      <c r="G95" s="70"/>
      <c r="H95" s="70"/>
      <c r="I95" s="70"/>
    </row>
  </sheetData>
  <mergeCells count="12">
    <mergeCell ref="A95:B95"/>
    <mergeCell ref="A30:D30"/>
    <mergeCell ref="A50:C50"/>
    <mergeCell ref="A57:C57"/>
    <mergeCell ref="A80:B80"/>
    <mergeCell ref="A81:B81"/>
    <mergeCell ref="A83:B83"/>
    <mergeCell ref="A85:B85"/>
    <mergeCell ref="A87:B87"/>
    <mergeCell ref="A89:B89"/>
    <mergeCell ref="A91:B91"/>
    <mergeCell ref="A93:B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FDF2-434E-4D06-A378-8F292627E356}">
  <dimension ref="A3:G53"/>
  <sheetViews>
    <sheetView tabSelected="1" topLeftCell="A68" workbookViewId="0">
      <selection activeCell="A33" sqref="A33"/>
    </sheetView>
  </sheetViews>
  <sheetFormatPr defaultRowHeight="14.4" x14ac:dyDescent="0.3"/>
  <cols>
    <col min="1" max="1" width="10.77734375" bestFit="1" customWidth="1"/>
    <col min="2" max="2" width="19.88671875" customWidth="1"/>
    <col min="3" max="3" width="15" customWidth="1"/>
    <col min="4" max="4" width="10.5546875" bestFit="1" customWidth="1"/>
    <col min="6" max="7" width="10.5546875" bestFit="1" customWidth="1"/>
  </cols>
  <sheetData>
    <row r="3" spans="1:6" ht="28.8" x14ac:dyDescent="0.55000000000000004">
      <c r="A3" s="119" t="s">
        <v>770</v>
      </c>
    </row>
    <row r="7" spans="1:6" x14ac:dyDescent="0.3">
      <c r="A7" t="s">
        <v>703</v>
      </c>
      <c r="B7" t="s">
        <v>702</v>
      </c>
      <c r="C7" t="s">
        <v>671</v>
      </c>
      <c r="D7" t="s">
        <v>92</v>
      </c>
      <c r="E7" t="s">
        <v>125</v>
      </c>
      <c r="F7" t="s">
        <v>714</v>
      </c>
    </row>
    <row r="8" spans="1:6" x14ac:dyDescent="0.3">
      <c r="A8">
        <v>1</v>
      </c>
      <c r="B8" t="s">
        <v>673</v>
      </c>
      <c r="C8" t="s">
        <v>674</v>
      </c>
      <c r="D8">
        <v>50000</v>
      </c>
      <c r="E8">
        <v>30</v>
      </c>
      <c r="F8">
        <f>D8*0.1</f>
        <v>5000</v>
      </c>
    </row>
    <row r="9" spans="1:6" x14ac:dyDescent="0.3">
      <c r="A9">
        <v>2</v>
      </c>
      <c r="B9" t="s">
        <v>675</v>
      </c>
      <c r="C9" t="s">
        <v>676</v>
      </c>
      <c r="D9">
        <v>60000</v>
      </c>
      <c r="E9">
        <v>35</v>
      </c>
      <c r="F9">
        <f t="shared" ref="F9:F27" si="0">D9*0.1</f>
        <v>6000</v>
      </c>
    </row>
    <row r="10" spans="1:6" x14ac:dyDescent="0.3">
      <c r="A10">
        <v>3</v>
      </c>
      <c r="B10" t="s">
        <v>677</v>
      </c>
      <c r="C10" t="s">
        <v>678</v>
      </c>
      <c r="D10">
        <v>75000</v>
      </c>
      <c r="E10">
        <v>40</v>
      </c>
      <c r="F10">
        <f t="shared" si="0"/>
        <v>7500</v>
      </c>
    </row>
    <row r="11" spans="1:6" x14ac:dyDescent="0.3">
      <c r="A11">
        <v>4</v>
      </c>
      <c r="B11" t="s">
        <v>679</v>
      </c>
      <c r="C11" t="s">
        <v>680</v>
      </c>
      <c r="D11">
        <v>55000</v>
      </c>
      <c r="E11">
        <v>28</v>
      </c>
      <c r="F11">
        <f t="shared" si="0"/>
        <v>5500</v>
      </c>
    </row>
    <row r="12" spans="1:6" x14ac:dyDescent="0.3">
      <c r="A12">
        <v>5</v>
      </c>
      <c r="B12" t="s">
        <v>681</v>
      </c>
      <c r="C12" t="s">
        <v>682</v>
      </c>
      <c r="D12">
        <v>80000</v>
      </c>
      <c r="E12">
        <v>45</v>
      </c>
      <c r="F12">
        <f t="shared" si="0"/>
        <v>8000</v>
      </c>
    </row>
    <row r="13" spans="1:6" x14ac:dyDescent="0.3">
      <c r="A13">
        <v>6</v>
      </c>
      <c r="B13" t="s">
        <v>683</v>
      </c>
      <c r="C13" t="s">
        <v>684</v>
      </c>
      <c r="D13">
        <v>65000</v>
      </c>
      <c r="E13">
        <v>33</v>
      </c>
      <c r="F13">
        <f t="shared" si="0"/>
        <v>6500</v>
      </c>
    </row>
    <row r="14" spans="1:6" x14ac:dyDescent="0.3">
      <c r="A14">
        <v>7</v>
      </c>
      <c r="B14" t="s">
        <v>685</v>
      </c>
      <c r="C14" t="s">
        <v>686</v>
      </c>
      <c r="D14">
        <v>70000</v>
      </c>
      <c r="E14">
        <v>38</v>
      </c>
      <c r="F14">
        <f t="shared" si="0"/>
        <v>7000</v>
      </c>
    </row>
    <row r="15" spans="1:6" x14ac:dyDescent="0.3">
      <c r="A15">
        <v>8</v>
      </c>
      <c r="B15" t="s">
        <v>687</v>
      </c>
      <c r="C15" t="s">
        <v>688</v>
      </c>
      <c r="D15">
        <v>60000</v>
      </c>
      <c r="E15">
        <v>32</v>
      </c>
      <c r="F15">
        <f t="shared" si="0"/>
        <v>6000</v>
      </c>
    </row>
    <row r="16" spans="1:6" x14ac:dyDescent="0.3">
      <c r="A16">
        <v>9</v>
      </c>
      <c r="B16" t="s">
        <v>689</v>
      </c>
      <c r="C16" t="s">
        <v>690</v>
      </c>
      <c r="D16">
        <v>85000</v>
      </c>
      <c r="E16">
        <v>42</v>
      </c>
      <c r="F16">
        <f t="shared" si="0"/>
        <v>8500</v>
      </c>
    </row>
    <row r="17" spans="1:6" x14ac:dyDescent="0.3">
      <c r="A17">
        <v>10</v>
      </c>
      <c r="B17" t="s">
        <v>691</v>
      </c>
      <c r="C17" t="s">
        <v>692</v>
      </c>
      <c r="D17">
        <v>70000</v>
      </c>
      <c r="E17">
        <v>36</v>
      </c>
      <c r="F17">
        <f t="shared" si="0"/>
        <v>7000</v>
      </c>
    </row>
    <row r="18" spans="1:6" x14ac:dyDescent="0.3">
      <c r="A18">
        <v>11</v>
      </c>
      <c r="B18" t="s">
        <v>693</v>
      </c>
      <c r="C18" t="s">
        <v>694</v>
      </c>
      <c r="D18">
        <v>60000</v>
      </c>
      <c r="E18">
        <v>31</v>
      </c>
      <c r="F18">
        <f t="shared" si="0"/>
        <v>6000</v>
      </c>
    </row>
    <row r="19" spans="1:6" x14ac:dyDescent="0.3">
      <c r="A19">
        <v>12</v>
      </c>
      <c r="B19" t="s">
        <v>695</v>
      </c>
      <c r="C19" t="s">
        <v>696</v>
      </c>
      <c r="D19">
        <v>55000</v>
      </c>
      <c r="E19">
        <v>29</v>
      </c>
      <c r="F19">
        <f t="shared" si="0"/>
        <v>5500</v>
      </c>
    </row>
    <row r="20" spans="1:6" x14ac:dyDescent="0.3">
      <c r="A20">
        <v>13</v>
      </c>
      <c r="B20" t="s">
        <v>697</v>
      </c>
      <c r="C20" t="s">
        <v>676</v>
      </c>
      <c r="D20">
        <v>90000</v>
      </c>
      <c r="E20">
        <v>48</v>
      </c>
      <c r="F20">
        <f t="shared" si="0"/>
        <v>9000</v>
      </c>
    </row>
    <row r="21" spans="1:6" x14ac:dyDescent="0.3">
      <c r="A21">
        <v>14</v>
      </c>
      <c r="B21" t="s">
        <v>698</v>
      </c>
      <c r="C21" t="s">
        <v>699</v>
      </c>
      <c r="D21">
        <v>65000</v>
      </c>
      <c r="E21">
        <v>34</v>
      </c>
      <c r="F21">
        <f t="shared" si="0"/>
        <v>6500</v>
      </c>
    </row>
    <row r="22" spans="1:6" x14ac:dyDescent="0.3">
      <c r="A22">
        <v>15</v>
      </c>
      <c r="B22" t="s">
        <v>700</v>
      </c>
      <c r="C22" t="s">
        <v>701</v>
      </c>
      <c r="D22">
        <v>75000</v>
      </c>
      <c r="E22">
        <v>39</v>
      </c>
      <c r="F22">
        <f t="shared" si="0"/>
        <v>7500</v>
      </c>
    </row>
    <row r="23" spans="1:6" x14ac:dyDescent="0.3">
      <c r="A23">
        <v>16</v>
      </c>
      <c r="B23" t="s">
        <v>704</v>
      </c>
      <c r="C23" t="s">
        <v>705</v>
      </c>
      <c r="D23">
        <v>70000</v>
      </c>
      <c r="E23">
        <v>37</v>
      </c>
      <c r="F23">
        <f t="shared" si="0"/>
        <v>7000</v>
      </c>
    </row>
    <row r="24" spans="1:6" x14ac:dyDescent="0.3">
      <c r="A24">
        <v>17</v>
      </c>
      <c r="B24" t="s">
        <v>706</v>
      </c>
      <c r="C24" t="s">
        <v>707</v>
      </c>
      <c r="D24">
        <v>80000</v>
      </c>
      <c r="E24">
        <v>41</v>
      </c>
      <c r="F24">
        <f t="shared" si="0"/>
        <v>8000</v>
      </c>
    </row>
    <row r="25" spans="1:6" x14ac:dyDescent="0.3">
      <c r="A25">
        <v>18</v>
      </c>
      <c r="B25" t="s">
        <v>708</v>
      </c>
      <c r="C25" t="s">
        <v>709</v>
      </c>
      <c r="D25">
        <v>60000</v>
      </c>
      <c r="E25">
        <v>33</v>
      </c>
      <c r="F25">
        <f t="shared" si="0"/>
        <v>6000</v>
      </c>
    </row>
    <row r="26" spans="1:6" x14ac:dyDescent="0.3">
      <c r="A26">
        <v>19</v>
      </c>
      <c r="B26" t="s">
        <v>710</v>
      </c>
      <c r="C26" t="s">
        <v>711</v>
      </c>
      <c r="D26">
        <v>70000</v>
      </c>
      <c r="E26">
        <v>38</v>
      </c>
      <c r="F26">
        <f t="shared" si="0"/>
        <v>7000</v>
      </c>
    </row>
    <row r="27" spans="1:6" x14ac:dyDescent="0.3">
      <c r="A27">
        <v>20</v>
      </c>
      <c r="B27" t="s">
        <v>713</v>
      </c>
      <c r="C27" t="s">
        <v>712</v>
      </c>
      <c r="D27">
        <v>65000</v>
      </c>
      <c r="E27">
        <v>35</v>
      </c>
      <c r="F27">
        <f t="shared" si="0"/>
        <v>6500</v>
      </c>
    </row>
    <row r="32" spans="1:6" ht="28.8" x14ac:dyDescent="0.55000000000000004">
      <c r="A32" t="s">
        <v>771</v>
      </c>
    </row>
    <row r="34" spans="1:7" ht="15" thickBot="1" x14ac:dyDescent="0.35">
      <c r="A34" t="s">
        <v>672</v>
      </c>
    </row>
    <row r="35" spans="1:7" ht="15" thickBot="1" x14ac:dyDescent="0.35">
      <c r="A35" t="s">
        <v>715</v>
      </c>
      <c r="B35" t="s">
        <v>1</v>
      </c>
      <c r="C35" t="s">
        <v>716</v>
      </c>
      <c r="D35" t="s">
        <v>717</v>
      </c>
      <c r="E35" t="s">
        <v>718</v>
      </c>
      <c r="F35" s="116" t="s">
        <v>714</v>
      </c>
      <c r="G35" t="s">
        <v>719</v>
      </c>
    </row>
    <row r="36" spans="1:7" x14ac:dyDescent="0.3">
      <c r="A36" s="120">
        <v>11280</v>
      </c>
      <c r="B36" s="120" t="s">
        <v>720</v>
      </c>
      <c r="C36" s="120" t="s">
        <v>721</v>
      </c>
      <c r="D36" s="120">
        <v>15</v>
      </c>
      <c r="E36" s="120">
        <v>30000</v>
      </c>
      <c r="F36" s="117">
        <f t="shared" ref="F36:F53" si="1">IF(D36&gt;20, E36*0.2, 0)</f>
        <v>0</v>
      </c>
      <c r="G36" s="120">
        <f>D36*E36-F36</f>
        <v>450000</v>
      </c>
    </row>
    <row r="37" spans="1:7" x14ac:dyDescent="0.3">
      <c r="A37" s="120">
        <v>11281</v>
      </c>
      <c r="B37" s="120" t="s">
        <v>722</v>
      </c>
      <c r="C37" s="120" t="s">
        <v>723</v>
      </c>
      <c r="D37" s="120">
        <v>10</v>
      </c>
      <c r="E37" s="120">
        <v>25000</v>
      </c>
      <c r="F37" s="118">
        <f t="shared" si="1"/>
        <v>0</v>
      </c>
      <c r="G37" s="120">
        <f t="shared" ref="G37:G53" si="2">D37*E37-F37</f>
        <v>250000</v>
      </c>
    </row>
    <row r="38" spans="1:7" x14ac:dyDescent="0.3">
      <c r="A38" s="120">
        <v>11282</v>
      </c>
      <c r="B38" s="120" t="s">
        <v>724</v>
      </c>
      <c r="C38" s="120" t="s">
        <v>725</v>
      </c>
      <c r="D38" s="120">
        <v>150</v>
      </c>
      <c r="E38" s="120">
        <v>28000</v>
      </c>
      <c r="F38" s="117">
        <f t="shared" si="1"/>
        <v>5600</v>
      </c>
      <c r="G38" s="120">
        <f t="shared" si="2"/>
        <v>4194400</v>
      </c>
    </row>
    <row r="39" spans="1:7" x14ac:dyDescent="0.3">
      <c r="A39" s="120">
        <v>11283</v>
      </c>
      <c r="B39" s="120" t="s">
        <v>726</v>
      </c>
      <c r="C39" s="120" t="s">
        <v>727</v>
      </c>
      <c r="D39" s="120">
        <v>12</v>
      </c>
      <c r="E39" s="120">
        <v>30000</v>
      </c>
      <c r="F39" s="118">
        <f t="shared" si="1"/>
        <v>0</v>
      </c>
      <c r="G39" s="120">
        <f t="shared" si="2"/>
        <v>360000</v>
      </c>
    </row>
    <row r="40" spans="1:7" x14ac:dyDescent="0.3">
      <c r="A40" s="120">
        <v>11284</v>
      </c>
      <c r="B40" s="120" t="s">
        <v>728</v>
      </c>
      <c r="C40" s="120" t="s">
        <v>729</v>
      </c>
      <c r="D40" s="120">
        <v>20</v>
      </c>
      <c r="E40" s="120">
        <v>30000</v>
      </c>
      <c r="F40" s="117">
        <f t="shared" si="1"/>
        <v>0</v>
      </c>
      <c r="G40" s="120">
        <f t="shared" si="2"/>
        <v>600000</v>
      </c>
    </row>
    <row r="41" spans="1:7" x14ac:dyDescent="0.3">
      <c r="A41" s="120">
        <v>11285</v>
      </c>
      <c r="B41" s="120" t="s">
        <v>730</v>
      </c>
      <c r="C41" s="120" t="s">
        <v>731</v>
      </c>
      <c r="D41" s="120">
        <v>20</v>
      </c>
      <c r="E41" s="120">
        <v>26000</v>
      </c>
      <c r="F41" s="118">
        <f t="shared" si="1"/>
        <v>0</v>
      </c>
      <c r="G41" s="120">
        <f t="shared" si="2"/>
        <v>520000</v>
      </c>
    </row>
    <row r="42" spans="1:7" x14ac:dyDescent="0.3">
      <c r="A42" s="120">
        <v>11286</v>
      </c>
      <c r="B42" s="120" t="s">
        <v>732</v>
      </c>
      <c r="C42" s="120" t="s">
        <v>733</v>
      </c>
      <c r="D42" s="120">
        <v>2</v>
      </c>
      <c r="E42" s="120">
        <v>30000</v>
      </c>
      <c r="F42" s="117">
        <f t="shared" si="1"/>
        <v>0</v>
      </c>
      <c r="G42" s="120">
        <f t="shared" si="2"/>
        <v>60000</v>
      </c>
    </row>
    <row r="43" spans="1:7" x14ac:dyDescent="0.3">
      <c r="A43" s="120">
        <v>11287</v>
      </c>
      <c r="B43" s="120" t="s">
        <v>734</v>
      </c>
      <c r="C43" s="120" t="s">
        <v>735</v>
      </c>
      <c r="D43" s="120">
        <v>5</v>
      </c>
      <c r="E43" s="120">
        <v>35000</v>
      </c>
      <c r="F43" s="118">
        <f t="shared" si="1"/>
        <v>0</v>
      </c>
      <c r="G43" s="120">
        <f t="shared" si="2"/>
        <v>175000</v>
      </c>
    </row>
    <row r="44" spans="1:7" x14ac:dyDescent="0.3">
      <c r="A44" s="120">
        <v>11288</v>
      </c>
      <c r="B44" s="120" t="s">
        <v>736</v>
      </c>
      <c r="C44" s="120" t="s">
        <v>737</v>
      </c>
      <c r="D44" s="120">
        <v>80</v>
      </c>
      <c r="E44" s="120">
        <v>30000</v>
      </c>
      <c r="F44" s="117">
        <f t="shared" si="1"/>
        <v>6000</v>
      </c>
      <c r="G44" s="120">
        <f t="shared" si="2"/>
        <v>2394000</v>
      </c>
    </row>
    <row r="45" spans="1:7" x14ac:dyDescent="0.3">
      <c r="A45" s="120">
        <v>11289</v>
      </c>
      <c r="B45" s="120" t="s">
        <v>738</v>
      </c>
      <c r="C45" s="120" t="s">
        <v>739</v>
      </c>
      <c r="D45" s="120">
        <v>100</v>
      </c>
      <c r="E45" s="120">
        <v>26000</v>
      </c>
      <c r="F45" s="118">
        <f t="shared" si="1"/>
        <v>5200</v>
      </c>
      <c r="G45" s="120">
        <f t="shared" si="2"/>
        <v>2594800</v>
      </c>
    </row>
    <row r="46" spans="1:7" x14ac:dyDescent="0.3">
      <c r="A46" s="120">
        <v>11290</v>
      </c>
      <c r="B46" s="120" t="s">
        <v>740</v>
      </c>
      <c r="C46" s="120" t="s">
        <v>741</v>
      </c>
      <c r="D46" s="120">
        <v>20</v>
      </c>
      <c r="E46" s="120">
        <v>35000</v>
      </c>
      <c r="F46" s="117">
        <f t="shared" si="1"/>
        <v>0</v>
      </c>
      <c r="G46" s="120">
        <f t="shared" si="2"/>
        <v>700000</v>
      </c>
    </row>
    <row r="47" spans="1:7" x14ac:dyDescent="0.3">
      <c r="A47" s="120">
        <v>11291</v>
      </c>
      <c r="B47" s="120" t="s">
        <v>742</v>
      </c>
      <c r="C47" s="120" t="s">
        <v>743</v>
      </c>
      <c r="D47" s="120">
        <v>25</v>
      </c>
      <c r="E47" s="120">
        <v>40000</v>
      </c>
      <c r="F47" s="118">
        <f t="shared" si="1"/>
        <v>8000</v>
      </c>
      <c r="G47" s="120">
        <f t="shared" si="2"/>
        <v>992000</v>
      </c>
    </row>
    <row r="48" spans="1:7" x14ac:dyDescent="0.3">
      <c r="A48" s="120">
        <v>11292</v>
      </c>
      <c r="B48" s="120" t="s">
        <v>744</v>
      </c>
      <c r="C48" s="120" t="s">
        <v>725</v>
      </c>
      <c r="D48" s="120">
        <v>10</v>
      </c>
      <c r="E48" s="120">
        <v>28000</v>
      </c>
      <c r="F48" s="117">
        <f t="shared" si="1"/>
        <v>0</v>
      </c>
      <c r="G48" s="120">
        <f t="shared" si="2"/>
        <v>280000</v>
      </c>
    </row>
    <row r="49" spans="1:7" x14ac:dyDescent="0.3">
      <c r="A49" s="120">
        <v>11293</v>
      </c>
      <c r="B49" s="120" t="s">
        <v>745</v>
      </c>
      <c r="C49" s="120" t="s">
        <v>727</v>
      </c>
      <c r="D49" s="120">
        <v>10</v>
      </c>
      <c r="E49" s="120">
        <v>30000</v>
      </c>
      <c r="F49" s="118">
        <f t="shared" si="1"/>
        <v>0</v>
      </c>
      <c r="G49" s="120">
        <f t="shared" si="2"/>
        <v>300000</v>
      </c>
    </row>
    <row r="50" spans="1:7" x14ac:dyDescent="0.3">
      <c r="A50" s="120">
        <v>11294</v>
      </c>
      <c r="B50" s="120" t="s">
        <v>746</v>
      </c>
      <c r="C50" s="120" t="s">
        <v>729</v>
      </c>
      <c r="D50" s="120">
        <v>5</v>
      </c>
      <c r="E50" s="120">
        <v>30000</v>
      </c>
      <c r="F50" s="117">
        <f t="shared" si="1"/>
        <v>0</v>
      </c>
      <c r="G50" s="120">
        <f t="shared" si="2"/>
        <v>150000</v>
      </c>
    </row>
    <row r="51" spans="1:7" x14ac:dyDescent="0.3">
      <c r="A51" s="120">
        <v>11295</v>
      </c>
      <c r="B51" s="120" t="s">
        <v>747</v>
      </c>
      <c r="C51" s="120" t="s">
        <v>731</v>
      </c>
      <c r="D51" s="120">
        <v>180</v>
      </c>
      <c r="E51" s="120">
        <v>26000</v>
      </c>
      <c r="F51" s="118">
        <f t="shared" si="1"/>
        <v>5200</v>
      </c>
      <c r="G51" s="120">
        <f t="shared" si="2"/>
        <v>4674800</v>
      </c>
    </row>
    <row r="52" spans="1:7" x14ac:dyDescent="0.3">
      <c r="A52" s="120">
        <v>11296</v>
      </c>
      <c r="B52" s="120" t="s">
        <v>748</v>
      </c>
      <c r="C52" s="120" t="s">
        <v>733</v>
      </c>
      <c r="D52" s="120">
        <v>5</v>
      </c>
      <c r="E52" s="120">
        <v>30000</v>
      </c>
      <c r="F52" s="117">
        <f t="shared" si="1"/>
        <v>0</v>
      </c>
      <c r="G52" s="120">
        <f t="shared" si="2"/>
        <v>150000</v>
      </c>
    </row>
    <row r="53" spans="1:7" ht="15" thickBot="1" x14ac:dyDescent="0.35">
      <c r="A53" s="120">
        <v>11297</v>
      </c>
      <c r="B53" s="120" t="s">
        <v>749</v>
      </c>
      <c r="C53" s="120" t="s">
        <v>735</v>
      </c>
      <c r="D53" s="120">
        <v>250</v>
      </c>
      <c r="E53" s="120">
        <v>35000</v>
      </c>
      <c r="F53" s="115">
        <f t="shared" si="1"/>
        <v>7000</v>
      </c>
      <c r="G53" s="120">
        <f t="shared" si="2"/>
        <v>8743000</v>
      </c>
    </row>
  </sheetData>
  <conditionalFormatting sqref="G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D27">
    <cfRule type="cellIs" dxfId="2" priority="1" operator="equal">
      <formula>75000</formula>
    </cfRule>
    <cfRule type="cellIs" dxfId="1" priority="2" operator="greaterThan">
      <formula>75000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DAVE</dc:creator>
  <cp:lastModifiedBy>RADHIKA DAVE</cp:lastModifiedBy>
  <dcterms:created xsi:type="dcterms:W3CDTF">2025-11-30T15:42:16Z</dcterms:created>
  <dcterms:modified xsi:type="dcterms:W3CDTF">2025-12-11T06:35:55Z</dcterms:modified>
</cp:coreProperties>
</file>
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AYSIS\EXCEL\PROJECT\"/>
    </mc:Choice>
  </mc:AlternateContent>
  <xr:revisionPtr revIDLastSave="0" documentId="13_ncr:1_{F58B90F6-0AA6-4046-B374-25E7153A3D9E}" xr6:coauthVersionLast="47" xr6:coauthVersionMax="47" xr10:uidLastSave="{00000000-0000-0000-0000-000000000000}"/>
  <bookViews>
    <workbookView xWindow="-108" yWindow="-108" windowWidth="23256" windowHeight="12456" xr2:uid="{192CDCF9-33F0-416F-A156-AA73FD2A3326}"/>
  </bookViews>
  <sheets>
    <sheet name="DATA" sheetId="1" r:id="rId1"/>
    <sheet name="PIVOT TABLE" sheetId="3" r:id="rId2"/>
    <sheet name="CHARTS" sheetId="4" r:id="rId3"/>
  </sheets>
  <calcPr calcId="19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13" i="1" l="1"/>
  <c r="D1212" i="1"/>
  <c r="D1211" i="1"/>
  <c r="J2" i="1" a="1"/>
  <c r="J2" i="1" s="1"/>
  <c r="J3" i="1" a="1"/>
  <c r="J3" i="1"/>
  <c r="J4" i="1" a="1"/>
  <c r="J4" i="1"/>
  <c r="J5" i="1" a="1"/>
  <c r="J5" i="1"/>
  <c r="J6" i="1" a="1"/>
  <c r="J6" i="1" s="1"/>
  <c r="J7" i="1" a="1"/>
  <c r="J7" i="1"/>
  <c r="J8" i="1" a="1"/>
  <c r="J8" i="1"/>
  <c r="J9" i="1" a="1"/>
  <c r="J9" i="1"/>
  <c r="J10" i="1" a="1"/>
  <c r="J10" i="1" s="1"/>
  <c r="J11" i="1" a="1"/>
  <c r="J11" i="1" s="1"/>
  <c r="J12" i="1" a="1"/>
  <c r="J12" i="1" s="1"/>
  <c r="J13" i="1" a="1"/>
  <c r="J13" i="1"/>
  <c r="J14" i="1" a="1"/>
  <c r="J14" i="1" s="1"/>
  <c r="J15" i="1" a="1"/>
  <c r="J15" i="1"/>
  <c r="J16" i="1" a="1"/>
  <c r="J16" i="1"/>
  <c r="J17" i="1" a="1"/>
  <c r="J17" i="1"/>
  <c r="J18" i="1" a="1"/>
  <c r="J18" i="1" s="1"/>
  <c r="J19" i="1" a="1"/>
  <c r="J19" i="1"/>
  <c r="J20" i="1" a="1"/>
  <c r="J20" i="1" s="1"/>
  <c r="J21" i="1" a="1"/>
  <c r="J21" i="1" s="1"/>
  <c r="J22" i="1" a="1"/>
  <c r="J22" i="1" s="1"/>
  <c r="J23" i="1" a="1"/>
  <c r="J23" i="1"/>
  <c r="J24" i="1" a="1"/>
  <c r="J24" i="1"/>
  <c r="J25" i="1" a="1"/>
  <c r="J25" i="1"/>
  <c r="J26" i="1" a="1"/>
  <c r="J26" i="1" s="1"/>
  <c r="J27" i="1" a="1"/>
  <c r="J27" i="1"/>
  <c r="J28" i="1" a="1"/>
  <c r="J28" i="1"/>
  <c r="J29" i="1" a="1"/>
  <c r="J29" i="1" s="1"/>
  <c r="J30" i="1" a="1"/>
  <c r="J30" i="1" s="1"/>
  <c r="J31" i="1" a="1"/>
  <c r="J31" i="1" s="1"/>
  <c r="J32" i="1" a="1"/>
  <c r="J32" i="1"/>
  <c r="J33" i="1" a="1"/>
  <c r="J33" i="1"/>
  <c r="J34" i="1" a="1"/>
  <c r="J34" i="1" s="1"/>
  <c r="J35" i="1" a="1"/>
  <c r="J35" i="1"/>
  <c r="J36" i="1" a="1"/>
  <c r="J36" i="1"/>
  <c r="J37" i="1" a="1"/>
  <c r="J37" i="1"/>
  <c r="J38" i="1" a="1"/>
  <c r="J38" i="1" s="1"/>
  <c r="J39" i="1" a="1"/>
  <c r="J39" i="1"/>
  <c r="J40" i="1" a="1"/>
  <c r="J40" i="1" s="1"/>
  <c r="J41" i="1" a="1"/>
  <c r="J41" i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/>
  <c r="J48" i="1" a="1"/>
  <c r="J48" i="1"/>
  <c r="J49" i="1" a="1"/>
  <c r="J49" i="1" s="1"/>
  <c r="J50" i="1" a="1"/>
  <c r="J50" i="1" s="1"/>
  <c r="J51" i="1" a="1"/>
  <c r="J51" i="1"/>
  <c r="J52" i="1" a="1"/>
  <c r="J52" i="1" s="1"/>
  <c r="J53" i="1" a="1"/>
  <c r="J53" i="1" s="1"/>
  <c r="J54" i="1" a="1"/>
  <c r="J54" i="1" s="1"/>
  <c r="J55" i="1" a="1"/>
  <c r="J55" i="1" s="1"/>
  <c r="J56" i="1" a="1"/>
  <c r="J56" i="1"/>
  <c r="J57" i="1" a="1"/>
  <c r="J57" i="1"/>
  <c r="J58" i="1" a="1"/>
  <c r="J58" i="1" s="1"/>
  <c r="J59" i="1" a="1"/>
  <c r="J59" i="1"/>
  <c r="J60" i="1" a="1"/>
  <c r="J60" i="1"/>
  <c r="J61" i="1" a="1"/>
  <c r="J61" i="1" s="1"/>
  <c r="J62" i="1" a="1"/>
  <c r="J62" i="1" s="1"/>
  <c r="J63" i="1" a="1"/>
  <c r="J63" i="1"/>
  <c r="J64" i="1" a="1"/>
  <c r="J64" i="1"/>
  <c r="J65" i="1" a="1"/>
  <c r="J65" i="1"/>
  <c r="J66" i="1" a="1"/>
  <c r="J66" i="1" s="1"/>
  <c r="J67" i="1" a="1"/>
  <c r="J67" i="1"/>
  <c r="J68" i="1" a="1"/>
  <c r="J68" i="1" s="1"/>
  <c r="J69" i="1" a="1"/>
  <c r="J69" i="1" s="1"/>
  <c r="J70" i="1" a="1"/>
  <c r="J70" i="1" s="1"/>
  <c r="J71" i="1" a="1"/>
  <c r="J71" i="1"/>
  <c r="J72" i="1" a="1"/>
  <c r="J72" i="1"/>
  <c r="J73" i="1" a="1"/>
  <c r="J73" i="1" s="1"/>
  <c r="J74" i="1" a="1"/>
  <c r="J74" i="1" s="1"/>
  <c r="J75" i="1" a="1"/>
  <c r="J75" i="1" s="1"/>
  <c r="J76" i="1" a="1"/>
  <c r="J76" i="1"/>
  <c r="J77" i="1" a="1"/>
  <c r="J77" i="1"/>
  <c r="J78" i="1" a="1"/>
  <c r="J78" i="1" s="1"/>
  <c r="J79" i="1" a="1"/>
  <c r="J79" i="1" s="1"/>
  <c r="J80" i="1" a="1"/>
  <c r="J80" i="1"/>
  <c r="J81" i="1" a="1"/>
  <c r="J81" i="1"/>
  <c r="J82" i="1" a="1"/>
  <c r="J82" i="1" s="1"/>
  <c r="J83" i="1" a="1"/>
  <c r="J83" i="1"/>
  <c r="J84" i="1" a="1"/>
  <c r="J84" i="1" s="1"/>
  <c r="J85" i="1" a="1"/>
  <c r="J85" i="1"/>
  <c r="J86" i="1" a="1"/>
  <c r="J86" i="1" s="1"/>
  <c r="J87" i="1" a="1"/>
  <c r="J87" i="1"/>
  <c r="J88" i="1" a="1"/>
  <c r="J88" i="1"/>
  <c r="J89" i="1" a="1"/>
  <c r="J89" i="1"/>
  <c r="J90" i="1" a="1"/>
  <c r="J90" i="1" s="1"/>
  <c r="J91" i="1" a="1"/>
  <c r="J91" i="1"/>
  <c r="J92" i="1" a="1"/>
  <c r="J92" i="1"/>
  <c r="J93" i="1" a="1"/>
  <c r="J93" i="1" s="1"/>
  <c r="J94" i="1" a="1"/>
  <c r="J94" i="1" s="1"/>
  <c r="J95" i="1" a="1"/>
  <c r="J95" i="1"/>
  <c r="J96" i="1" a="1"/>
  <c r="J96" i="1"/>
  <c r="J97" i="1" a="1"/>
  <c r="J97" i="1"/>
  <c r="J98" i="1" a="1"/>
  <c r="J98" i="1" s="1"/>
  <c r="J99" i="1" a="1"/>
  <c r="J99" i="1"/>
  <c r="J100" i="1" a="1"/>
  <c r="J100" i="1"/>
  <c r="J101" i="1" a="1"/>
  <c r="J101" i="1"/>
  <c r="J102" i="1" a="1"/>
  <c r="J102" i="1" s="1"/>
  <c r="J103" i="1" a="1"/>
  <c r="J103" i="1"/>
  <c r="J104" i="1" a="1"/>
  <c r="J104" i="1"/>
  <c r="J105" i="1" a="1"/>
  <c r="J105" i="1"/>
  <c r="J106" i="1" a="1"/>
  <c r="J106" i="1" s="1"/>
  <c r="J107" i="1" a="1"/>
  <c r="J107" i="1" s="1"/>
  <c r="J108" i="1" a="1"/>
  <c r="J108" i="1" s="1"/>
  <c r="J109" i="1" a="1"/>
  <c r="J109" i="1"/>
  <c r="J110" i="1" a="1"/>
  <c r="J110" i="1" s="1"/>
  <c r="J111" i="1" a="1"/>
  <c r="J111" i="1"/>
  <c r="J112" i="1" a="1"/>
  <c r="J112" i="1"/>
  <c r="J113" i="1" a="1"/>
  <c r="J113" i="1"/>
  <c r="J114" i="1" a="1"/>
  <c r="J114" i="1" s="1"/>
  <c r="J115" i="1" a="1"/>
  <c r="J115" i="1"/>
  <c r="J116" i="1" a="1"/>
  <c r="J116" i="1" s="1"/>
  <c r="J117" i="1" a="1"/>
  <c r="J117" i="1"/>
  <c r="J118" i="1" a="1"/>
  <c r="J118" i="1" s="1"/>
  <c r="J119" i="1" a="1"/>
  <c r="J119" i="1"/>
  <c r="J120" i="1" a="1"/>
  <c r="J120" i="1"/>
  <c r="J121" i="1" a="1"/>
  <c r="J121" i="1"/>
  <c r="J122" i="1" a="1"/>
  <c r="J122" i="1" s="1"/>
  <c r="J123" i="1" a="1"/>
  <c r="J123" i="1" s="1"/>
  <c r="J124" i="1" a="1"/>
  <c r="J124" i="1"/>
  <c r="J125" i="1" a="1"/>
  <c r="J125" i="1" s="1"/>
  <c r="J126" i="1" a="1"/>
  <c r="J126" i="1" s="1"/>
  <c r="J127" i="1" a="1"/>
  <c r="J127" i="1"/>
  <c r="J128" i="1" a="1"/>
  <c r="J128" i="1" s="1"/>
  <c r="J129" i="1" a="1"/>
  <c r="J129" i="1"/>
  <c r="J130" i="1" a="1"/>
  <c r="J130" i="1" s="1"/>
  <c r="J131" i="1" a="1"/>
  <c r="J131" i="1" s="1"/>
  <c r="J132" i="1" a="1"/>
  <c r="J132" i="1" s="1"/>
  <c r="J133" i="1" a="1"/>
  <c r="J133" i="1"/>
  <c r="J134" i="1" a="1"/>
  <c r="J134" i="1" s="1"/>
  <c r="J135" i="1" a="1"/>
  <c r="J135" i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/>
  <c r="J144" i="1" a="1"/>
  <c r="J144" i="1"/>
  <c r="J145" i="1" a="1"/>
  <c r="J145" i="1"/>
  <c r="J146" i="1" a="1"/>
  <c r="J146" i="1" s="1"/>
  <c r="J147" i="1" a="1"/>
  <c r="J147" i="1" s="1"/>
  <c r="J148" i="1" a="1"/>
  <c r="J148" i="1" s="1"/>
  <c r="J149" i="1" a="1"/>
  <c r="J149" i="1"/>
  <c r="J150" i="1" a="1"/>
  <c r="J150" i="1" s="1"/>
  <c r="J151" i="1" a="1"/>
  <c r="J151" i="1"/>
  <c r="J152" i="1" a="1"/>
  <c r="J152" i="1" s="1"/>
  <c r="J153" i="1" a="1"/>
  <c r="J153" i="1"/>
  <c r="J154" i="1" a="1"/>
  <c r="J154" i="1" s="1"/>
  <c r="J155" i="1" a="1"/>
  <c r="J155" i="1"/>
  <c r="J156" i="1" a="1"/>
  <c r="J156" i="1" s="1"/>
  <c r="J157" i="1" a="1"/>
  <c r="J157" i="1" s="1"/>
  <c r="J158" i="1" a="1"/>
  <c r="J158" i="1" s="1"/>
  <c r="J159" i="1" a="1"/>
  <c r="J159" i="1"/>
  <c r="J160" i="1" a="1"/>
  <c r="J160" i="1"/>
  <c r="J161" i="1" a="1"/>
  <c r="J161" i="1" s="1"/>
  <c r="J162" i="1" a="1"/>
  <c r="J162" i="1" s="1"/>
  <c r="J163" i="1" a="1"/>
  <c r="J163" i="1"/>
  <c r="J164" i="1" a="1"/>
  <c r="J164" i="1"/>
  <c r="J165" i="1" a="1"/>
  <c r="J165" i="1"/>
  <c r="J166" i="1" a="1"/>
  <c r="J166" i="1" s="1"/>
  <c r="J167" i="1" a="1"/>
  <c r="J167" i="1"/>
  <c r="J168" i="1" a="1"/>
  <c r="J168" i="1"/>
  <c r="J169" i="1" a="1"/>
  <c r="J169" i="1"/>
  <c r="J170" i="1" a="1"/>
  <c r="J170" i="1" s="1"/>
  <c r="J171" i="1" a="1"/>
  <c r="J171" i="1" s="1"/>
  <c r="J172" i="1" a="1"/>
  <c r="J172" i="1"/>
  <c r="J173" i="1" a="1"/>
  <c r="J173" i="1"/>
  <c r="J174" i="1" a="1"/>
  <c r="J174" i="1" s="1"/>
  <c r="J175" i="1" a="1"/>
  <c r="J175" i="1"/>
  <c r="J176" i="1" a="1"/>
  <c r="J176" i="1"/>
  <c r="J177" i="1" a="1"/>
  <c r="J177" i="1"/>
  <c r="J178" i="1" a="1"/>
  <c r="J178" i="1" s="1"/>
  <c r="J179" i="1" a="1"/>
  <c r="J179" i="1"/>
  <c r="J180" i="1" a="1"/>
  <c r="J180" i="1" s="1"/>
  <c r="J181" i="1" a="1"/>
  <c r="J181" i="1" s="1"/>
  <c r="J182" i="1" a="1"/>
  <c r="J182" i="1" s="1"/>
  <c r="J183" i="1" a="1"/>
  <c r="J183" i="1"/>
  <c r="J184" i="1" a="1"/>
  <c r="J184" i="1"/>
  <c r="J185" i="1" a="1"/>
  <c r="J185" i="1"/>
  <c r="J186" i="1" a="1"/>
  <c r="J186" i="1" s="1"/>
  <c r="J187" i="1" a="1"/>
  <c r="J187" i="1"/>
  <c r="J188" i="1" a="1"/>
  <c r="J188" i="1"/>
  <c r="J189" i="1" a="1"/>
  <c r="J189" i="1" s="1"/>
  <c r="J190" i="1" a="1"/>
  <c r="J190" i="1" s="1"/>
  <c r="J191" i="1" a="1"/>
  <c r="J191" i="1" s="1"/>
  <c r="J192" i="1" a="1"/>
  <c r="J192" i="1"/>
  <c r="J193" i="1" a="1"/>
  <c r="J193" i="1" s="1"/>
  <c r="J194" i="1" a="1"/>
  <c r="J194" i="1" s="1"/>
  <c r="J195" i="1" a="1"/>
  <c r="J195" i="1" s="1"/>
  <c r="J196" i="1" a="1"/>
  <c r="J196" i="1"/>
  <c r="J197" i="1" a="1"/>
  <c r="J197" i="1"/>
  <c r="J198" i="1" a="1"/>
  <c r="J198" i="1" s="1"/>
  <c r="J199" i="1" a="1"/>
  <c r="J199" i="1"/>
  <c r="J200" i="1" a="1"/>
  <c r="J200" i="1" s="1"/>
  <c r="J201" i="1" a="1"/>
  <c r="J201" i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/>
  <c r="J208" i="1" a="1"/>
  <c r="J208" i="1"/>
  <c r="J209" i="1" a="1"/>
  <c r="J209" i="1" s="1"/>
  <c r="J210" i="1" a="1"/>
  <c r="J210" i="1" s="1"/>
  <c r="J211" i="1" a="1"/>
  <c r="J211" i="1"/>
  <c r="J212" i="1" a="1"/>
  <c r="J212" i="1" s="1"/>
  <c r="J213" i="1" a="1"/>
  <c r="J213" i="1"/>
  <c r="J214" i="1" a="1"/>
  <c r="J214" i="1" s="1"/>
  <c r="J215" i="1" a="1"/>
  <c r="J215" i="1" s="1"/>
  <c r="J216" i="1" a="1"/>
  <c r="J216" i="1"/>
  <c r="J217" i="1" a="1"/>
  <c r="J217" i="1"/>
  <c r="J218" i="1" a="1"/>
  <c r="J218" i="1" s="1"/>
  <c r="J219" i="1" a="1"/>
  <c r="J219" i="1" s="1"/>
  <c r="J220" i="1" a="1"/>
  <c r="J220" i="1"/>
  <c r="J221" i="1" a="1"/>
  <c r="J221" i="1" s="1"/>
  <c r="J222" i="1" a="1"/>
  <c r="J222" i="1" s="1"/>
  <c r="J223" i="1" a="1"/>
  <c r="J223" i="1"/>
  <c r="J224" i="1" a="1"/>
  <c r="J224" i="1" s="1"/>
  <c r="J225" i="1" a="1"/>
  <c r="J225" i="1"/>
  <c r="J226" i="1" a="1"/>
  <c r="J226" i="1" s="1"/>
  <c r="J227" i="1" a="1"/>
  <c r="J227" i="1" s="1"/>
  <c r="J228" i="1" a="1"/>
  <c r="J228" i="1"/>
  <c r="J229" i="1" a="1"/>
  <c r="J229" i="1" s="1"/>
  <c r="J230" i="1" a="1"/>
  <c r="J230" i="1" s="1"/>
  <c r="J231" i="1" a="1"/>
  <c r="J231" i="1"/>
  <c r="J232" i="1" a="1"/>
  <c r="J232" i="1" s="1"/>
  <c r="J233" i="1" a="1"/>
  <c r="J233" i="1" s="1"/>
  <c r="J234" i="1" a="1"/>
  <c r="J234" i="1" s="1"/>
  <c r="J235" i="1" a="1"/>
  <c r="J235" i="1" s="1"/>
  <c r="J236" i="1" a="1"/>
  <c r="J236" i="1"/>
  <c r="J237" i="1" a="1"/>
  <c r="J237" i="1" s="1"/>
  <c r="J238" i="1" a="1"/>
  <c r="J238" i="1" s="1"/>
  <c r="J239" i="1" a="1"/>
  <c r="J239" i="1" s="1"/>
  <c r="J240" i="1" a="1"/>
  <c r="J240" i="1"/>
  <c r="J241" i="1" a="1"/>
  <c r="J241" i="1" s="1"/>
  <c r="J242" i="1" a="1"/>
  <c r="J242" i="1" s="1"/>
  <c r="J243" i="1" a="1"/>
  <c r="J243" i="1" s="1"/>
  <c r="J244" i="1" a="1"/>
  <c r="J244" i="1" s="1"/>
  <c r="J245" i="1" a="1"/>
  <c r="J245" i="1"/>
  <c r="J246" i="1" a="1"/>
  <c r="J246" i="1" s="1"/>
  <c r="J247" i="1" a="1"/>
  <c r="J247" i="1" s="1"/>
  <c r="J248" i="1" a="1"/>
  <c r="J248" i="1" s="1"/>
  <c r="J249" i="1" a="1"/>
  <c r="J249" i="1"/>
  <c r="J250" i="1" a="1"/>
  <c r="J250" i="1" s="1"/>
  <c r="J251" i="1" a="1"/>
  <c r="J251" i="1"/>
  <c r="J252" i="1" a="1"/>
  <c r="J252" i="1" s="1"/>
  <c r="J253" i="1" a="1"/>
  <c r="J253" i="1" s="1"/>
  <c r="J254" i="1" a="1"/>
  <c r="J254" i="1" s="1"/>
  <c r="J255" i="1" a="1"/>
  <c r="J255" i="1"/>
  <c r="J256" i="1" a="1"/>
  <c r="J256" i="1"/>
  <c r="J257" i="1" a="1"/>
  <c r="J257" i="1" s="1"/>
  <c r="J258" i="1" a="1"/>
  <c r="J258" i="1" s="1"/>
  <c r="J259" i="1" a="1"/>
  <c r="J259" i="1"/>
  <c r="J260" i="1" a="1"/>
  <c r="J260" i="1"/>
  <c r="J261" i="1" a="1"/>
  <c r="J261" i="1"/>
  <c r="J262" i="1" a="1"/>
  <c r="J262" i="1" s="1"/>
  <c r="J263" i="1" a="1"/>
  <c r="J263" i="1"/>
  <c r="J264" i="1" a="1"/>
  <c r="J264" i="1"/>
  <c r="J265" i="1" a="1"/>
  <c r="J265" i="1"/>
  <c r="J266" i="1" a="1"/>
  <c r="J266" i="1" s="1"/>
  <c r="J267" i="1" a="1"/>
  <c r="J267" i="1" s="1"/>
  <c r="J268" i="1" a="1"/>
  <c r="J268" i="1" s="1"/>
  <c r="J269" i="1" a="1"/>
  <c r="J269" i="1"/>
  <c r="J270" i="1" a="1"/>
  <c r="J270" i="1" s="1"/>
  <c r="J271" i="1" a="1"/>
  <c r="J271" i="1"/>
  <c r="J272" i="1" a="1"/>
  <c r="J272" i="1"/>
  <c r="J273" i="1" a="1"/>
  <c r="J273" i="1"/>
  <c r="J274" i="1" a="1"/>
  <c r="J274" i="1" s="1"/>
  <c r="J275" i="1" a="1"/>
  <c r="J275" i="1"/>
  <c r="J276" i="1" a="1"/>
  <c r="J276" i="1" s="1"/>
  <c r="J277" i="1" a="1"/>
  <c r="J277" i="1" s="1"/>
  <c r="J278" i="1" a="1"/>
  <c r="J278" i="1" s="1"/>
  <c r="J279" i="1" a="1"/>
  <c r="J279" i="1"/>
  <c r="J280" i="1" a="1"/>
  <c r="J280" i="1"/>
  <c r="J281" i="1" a="1"/>
  <c r="J281" i="1"/>
  <c r="J282" i="1" a="1"/>
  <c r="J282" i="1" s="1"/>
  <c r="J283" i="1" a="1"/>
  <c r="J283" i="1"/>
  <c r="J284" i="1" a="1"/>
  <c r="J284" i="1"/>
  <c r="J285" i="1" a="1"/>
  <c r="J285" i="1" s="1"/>
  <c r="J286" i="1" a="1"/>
  <c r="J286" i="1" s="1"/>
  <c r="J287" i="1" a="1"/>
  <c r="J287" i="1" s="1"/>
  <c r="J288" i="1" a="1"/>
  <c r="J288" i="1"/>
  <c r="J289" i="1" a="1"/>
  <c r="J289" i="1"/>
  <c r="J290" i="1" a="1"/>
  <c r="J290" i="1" s="1"/>
  <c r="J291" i="1" a="1"/>
  <c r="J291" i="1"/>
  <c r="J292" i="1" a="1"/>
  <c r="J292" i="1" s="1"/>
  <c r="J293" i="1" a="1"/>
  <c r="J293" i="1"/>
  <c r="J294" i="1" a="1"/>
  <c r="J294" i="1" s="1"/>
  <c r="J295" i="1" a="1"/>
  <c r="J295" i="1"/>
  <c r="J296" i="1" a="1"/>
  <c r="J296" i="1" s="1"/>
  <c r="J297" i="1" a="1"/>
  <c r="J297" i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/>
  <c r="J304" i="1" a="1"/>
  <c r="J304" i="1"/>
  <c r="J305" i="1" a="1"/>
  <c r="J305" i="1" s="1"/>
  <c r="J306" i="1" a="1"/>
  <c r="J306" i="1" s="1"/>
  <c r="J307" i="1" a="1"/>
  <c r="J307" i="1"/>
  <c r="J308" i="1" a="1"/>
  <c r="J308" i="1" s="1"/>
  <c r="J309" i="1" a="1"/>
  <c r="J309" i="1" s="1"/>
  <c r="J310" i="1" a="1"/>
  <c r="J310" i="1" s="1"/>
  <c r="J311" i="1" a="1"/>
  <c r="J311" i="1" s="1"/>
  <c r="J312" i="1" a="1"/>
  <c r="J312" i="1"/>
  <c r="J313" i="1" a="1"/>
  <c r="J313" i="1"/>
  <c r="J314" i="1" a="1"/>
  <c r="J314" i="1" s="1"/>
  <c r="J315" i="1" a="1"/>
  <c r="J315" i="1"/>
  <c r="J316" i="1" a="1"/>
  <c r="J316" i="1"/>
  <c r="J317" i="1" a="1"/>
  <c r="J317" i="1" s="1"/>
  <c r="J318" i="1" a="1"/>
  <c r="J318" i="1" s="1"/>
  <c r="J319" i="1" a="1"/>
  <c r="J319" i="1"/>
  <c r="J320" i="1" a="1"/>
  <c r="J320" i="1"/>
  <c r="J321" i="1" a="1"/>
  <c r="J321" i="1"/>
  <c r="J322" i="1" a="1"/>
  <c r="J322" i="1" s="1"/>
  <c r="J323" i="1" a="1"/>
  <c r="J323" i="1"/>
  <c r="J324" i="1" a="1"/>
  <c r="J324" i="1" s="1"/>
  <c r="J325" i="1" a="1"/>
  <c r="J325" i="1" s="1"/>
  <c r="J326" i="1" a="1"/>
  <c r="J326" i="1" s="1"/>
  <c r="J327" i="1" a="1"/>
  <c r="J327" i="1"/>
  <c r="J328" i="1" a="1"/>
  <c r="J328" i="1"/>
  <c r="J329" i="1" a="1"/>
  <c r="J329" i="1" s="1"/>
  <c r="J330" i="1" a="1"/>
  <c r="J330" i="1" s="1"/>
  <c r="J331" i="1" a="1"/>
  <c r="J331" i="1" s="1"/>
  <c r="J332" i="1" a="1"/>
  <c r="J332" i="1" s="1"/>
  <c r="J333" i="1" a="1"/>
  <c r="J333" i="1"/>
  <c r="J334" i="1" a="1"/>
  <c r="J334" i="1" s="1"/>
  <c r="J335" i="1" a="1"/>
  <c r="J335" i="1" s="1"/>
  <c r="J336" i="1" a="1"/>
  <c r="J336" i="1"/>
  <c r="J337" i="1" a="1"/>
  <c r="J337" i="1"/>
  <c r="J338" i="1" a="1"/>
  <c r="J338" i="1" s="1"/>
  <c r="J339" i="1" a="1"/>
  <c r="J339" i="1"/>
  <c r="J340" i="1" a="1"/>
  <c r="J340" i="1" s="1"/>
  <c r="J341" i="1" a="1"/>
  <c r="J341" i="1"/>
  <c r="J342" i="1" a="1"/>
  <c r="J342" i="1"/>
  <c r="J343" i="1" a="1"/>
  <c r="J343" i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/>
  <c r="J351" i="1" a="1"/>
  <c r="J351" i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/>
  <c r="J360" i="1" a="1"/>
  <c r="J360" i="1" s="1"/>
  <c r="J361" i="1" a="1"/>
  <c r="J361" i="1"/>
  <c r="J362" i="1" a="1"/>
  <c r="J362" i="1" s="1"/>
  <c r="J363" i="1" a="1"/>
  <c r="J363" i="1" s="1"/>
  <c r="J364" i="1" a="1"/>
  <c r="J364" i="1" s="1"/>
  <c r="J365" i="1" a="1"/>
  <c r="J365" i="1"/>
  <c r="J366" i="1" a="1"/>
  <c r="J366" i="1"/>
  <c r="J367" i="1" a="1"/>
  <c r="J367" i="1" s="1"/>
  <c r="J368" i="1" a="1"/>
  <c r="J368" i="1" s="1"/>
  <c r="J369" i="1" a="1"/>
  <c r="J369" i="1" s="1"/>
  <c r="J370" i="1" a="1"/>
  <c r="J370" i="1" s="1"/>
  <c r="J371" i="1" a="1"/>
  <c r="J371" i="1"/>
  <c r="J372" i="1" a="1"/>
  <c r="J372" i="1" s="1"/>
  <c r="J373" i="1" a="1"/>
  <c r="J373" i="1"/>
  <c r="J374" i="1" a="1"/>
  <c r="J374" i="1"/>
  <c r="J375" i="1" a="1"/>
  <c r="J375" i="1"/>
  <c r="J376" i="1" a="1"/>
  <c r="J376" i="1" s="1"/>
  <c r="J377" i="1" a="1"/>
  <c r="J377" i="1" s="1"/>
  <c r="J378" i="1" a="1"/>
  <c r="J378" i="1" s="1"/>
  <c r="J379" i="1" a="1"/>
  <c r="J379" i="1"/>
  <c r="J380" i="1" a="1"/>
  <c r="J380" i="1" s="1"/>
  <c r="J381" i="1" a="1"/>
  <c r="J381" i="1" s="1"/>
  <c r="J382" i="1" a="1"/>
  <c r="J382" i="1"/>
  <c r="J383" i="1" a="1"/>
  <c r="J383" i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/>
  <c r="J390" i="1" a="1"/>
  <c r="J390" i="1" s="1"/>
  <c r="J391" i="1" a="1"/>
  <c r="J391" i="1"/>
  <c r="J392" i="1" a="1"/>
  <c r="J392" i="1" s="1"/>
  <c r="J393" i="1" a="1"/>
  <c r="J393" i="1"/>
  <c r="J394" i="1" a="1"/>
  <c r="J394" i="1"/>
  <c r="J395" i="1" a="1"/>
  <c r="J395" i="1" s="1"/>
  <c r="J396" i="1" a="1"/>
  <c r="J396" i="1" s="1"/>
  <c r="J397" i="1" a="1"/>
  <c r="J397" i="1"/>
  <c r="J398" i="1" a="1"/>
  <c r="J398" i="1"/>
  <c r="J399" i="1" a="1"/>
  <c r="J399" i="1" s="1"/>
  <c r="J400" i="1" a="1"/>
  <c r="J400" i="1" s="1"/>
  <c r="J401" i="1" a="1"/>
  <c r="J401" i="1" s="1"/>
  <c r="J402" i="1" a="1"/>
  <c r="J402" i="1" s="1"/>
  <c r="J403" i="1" a="1"/>
  <c r="J403" i="1"/>
  <c r="J404" i="1" a="1"/>
  <c r="J404" i="1" s="1"/>
  <c r="J405" i="1" a="1"/>
  <c r="J405" i="1"/>
  <c r="J406" i="1" a="1"/>
  <c r="J406" i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/>
  <c r="J415" i="1" a="1"/>
  <c r="J415" i="1"/>
  <c r="J416" i="1" a="1"/>
  <c r="J416" i="1" s="1"/>
  <c r="J417" i="1" a="1"/>
  <c r="J417" i="1"/>
  <c r="J418" i="1" a="1"/>
  <c r="J418" i="1" s="1"/>
  <c r="J419" i="1" a="1"/>
  <c r="J419" i="1" s="1"/>
  <c r="J420" i="1" a="1"/>
  <c r="J420" i="1" s="1"/>
  <c r="J421" i="1" a="1"/>
  <c r="J421" i="1"/>
  <c r="J422" i="1" a="1"/>
  <c r="J422" i="1" s="1"/>
  <c r="J423" i="1" a="1"/>
  <c r="J423" i="1"/>
  <c r="J424" i="1" a="1"/>
  <c r="J424" i="1" s="1"/>
  <c r="J425" i="1" a="1"/>
  <c r="J425" i="1"/>
  <c r="J426" i="1" a="1"/>
  <c r="J426" i="1"/>
  <c r="J427" i="1" a="1"/>
  <c r="J427" i="1" s="1"/>
  <c r="J428" i="1" a="1"/>
  <c r="J428" i="1" s="1"/>
  <c r="J429" i="1" a="1"/>
  <c r="J429" i="1"/>
  <c r="J430" i="1" a="1"/>
  <c r="J430" i="1"/>
  <c r="J431" i="1" a="1"/>
  <c r="J431" i="1" s="1"/>
  <c r="J432" i="1" a="1"/>
  <c r="J432" i="1" s="1"/>
  <c r="J433" i="1" a="1"/>
  <c r="J433" i="1" s="1"/>
  <c r="J434" i="1" a="1"/>
  <c r="J434" i="1"/>
  <c r="J435" i="1" a="1"/>
  <c r="J435" i="1"/>
  <c r="J436" i="1" a="1"/>
  <c r="J436" i="1" s="1"/>
  <c r="J437" i="1" a="1"/>
  <c r="J437" i="1"/>
  <c r="J438" i="1" a="1"/>
  <c r="J438" i="1"/>
  <c r="J439" i="1" a="1"/>
  <c r="J439" i="1" s="1"/>
  <c r="J440" i="1" a="1"/>
  <c r="J440" i="1" s="1"/>
  <c r="J441" i="1" a="1"/>
  <c r="J441" i="1" s="1"/>
  <c r="J442" i="1" a="1"/>
  <c r="J442" i="1" s="1"/>
  <c r="J443" i="1" a="1"/>
  <c r="J443" i="1"/>
  <c r="J444" i="1" a="1"/>
  <c r="J444" i="1" s="1"/>
  <c r="J445" i="1" a="1"/>
  <c r="J445" i="1" s="1"/>
  <c r="J446" i="1" a="1"/>
  <c r="J446" i="1"/>
  <c r="J447" i="1" a="1"/>
  <c r="J447" i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/>
  <c r="J454" i="1" a="1"/>
  <c r="J454" i="1" s="1"/>
  <c r="J455" i="1" a="1"/>
  <c r="J455" i="1"/>
  <c r="J456" i="1" a="1"/>
  <c r="J456" i="1" s="1"/>
  <c r="J457" i="1" a="1"/>
  <c r="J457" i="1" s="1"/>
  <c r="J458" i="1" a="1"/>
  <c r="J458" i="1"/>
  <c r="J459" i="1" a="1"/>
  <c r="J459" i="1" s="1"/>
  <c r="J460" i="1" a="1"/>
  <c r="J460" i="1" s="1"/>
  <c r="J461" i="1" a="1"/>
  <c r="J461" i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/>
  <c r="J470" i="1" a="1"/>
  <c r="J470" i="1"/>
  <c r="J471" i="1" a="1"/>
  <c r="J471" i="1"/>
  <c r="J472" i="1" a="1"/>
  <c r="J472" i="1" s="1"/>
  <c r="J473" i="1" a="1"/>
  <c r="J473" i="1" s="1"/>
  <c r="J474" i="1" a="1"/>
  <c r="J474" i="1" s="1"/>
  <c r="J475" i="1" a="1"/>
  <c r="J475" i="1"/>
  <c r="J476" i="1" a="1"/>
  <c r="J476" i="1" s="1"/>
  <c r="J477" i="1" a="1"/>
  <c r="J477" i="1" s="1"/>
  <c r="J478" i="1" a="1"/>
  <c r="J478" i="1"/>
  <c r="J479" i="1" a="1"/>
  <c r="J479" i="1"/>
  <c r="J480" i="1" a="1"/>
  <c r="J480" i="1" s="1"/>
  <c r="J481" i="1" a="1"/>
  <c r="J481" i="1"/>
  <c r="J482" i="1" a="1"/>
  <c r="J482" i="1" s="1"/>
  <c r="J483" i="1" a="1"/>
  <c r="J483" i="1" s="1"/>
  <c r="J484" i="1" a="1"/>
  <c r="J484" i="1" s="1"/>
  <c r="J485" i="1" a="1"/>
  <c r="J485" i="1"/>
  <c r="J486" i="1" a="1"/>
  <c r="J486" i="1" s="1"/>
  <c r="J487" i="1" a="1"/>
  <c r="J487" i="1"/>
  <c r="J488" i="1" a="1"/>
  <c r="J488" i="1" s="1"/>
  <c r="J489" i="1" a="1"/>
  <c r="J489" i="1" s="1"/>
  <c r="J490" i="1" a="1"/>
  <c r="J490" i="1"/>
  <c r="J491" i="1" a="1"/>
  <c r="J491" i="1" s="1"/>
  <c r="J492" i="1" a="1"/>
  <c r="J492" i="1" s="1"/>
  <c r="J493" i="1" a="1"/>
  <c r="J493" i="1"/>
  <c r="J494" i="1" a="1"/>
  <c r="J494" i="1" s="1"/>
  <c r="J495" i="1" a="1"/>
  <c r="J495" i="1" s="1"/>
  <c r="J496" i="1" a="1"/>
  <c r="J496" i="1" s="1"/>
  <c r="J497" i="1" a="1"/>
  <c r="J497" i="1" s="1"/>
  <c r="J498" i="1" a="1"/>
  <c r="J498" i="1"/>
  <c r="J499" i="1" a="1"/>
  <c r="J499" i="1"/>
  <c r="J500" i="1" a="1"/>
  <c r="J500" i="1" s="1"/>
  <c r="J501" i="1" a="1"/>
  <c r="J501" i="1"/>
  <c r="J502" i="1" a="1"/>
  <c r="J502" i="1"/>
  <c r="J503" i="1" a="1"/>
  <c r="J503" i="1" s="1"/>
  <c r="J504" i="1" a="1"/>
  <c r="J504" i="1" s="1"/>
  <c r="J505" i="1" a="1"/>
  <c r="J505" i="1" s="1"/>
  <c r="J506" i="1" a="1"/>
  <c r="J506" i="1" s="1"/>
  <c r="J507" i="1" a="1"/>
  <c r="J507" i="1"/>
  <c r="J508" i="1" a="1"/>
  <c r="J508" i="1" s="1"/>
  <c r="J509" i="1" a="1"/>
  <c r="J509" i="1" s="1"/>
  <c r="J510" i="1" a="1"/>
  <c r="J510" i="1"/>
  <c r="J511" i="1" a="1"/>
  <c r="J511" i="1"/>
  <c r="J512" i="1" a="1"/>
  <c r="J512" i="1" s="1"/>
  <c r="J513" i="1" a="1"/>
  <c r="J513" i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/>
  <c r="J520" i="1" a="1"/>
  <c r="J520" i="1" s="1"/>
  <c r="J521" i="1" a="1"/>
  <c r="J521" i="1"/>
  <c r="J522" i="1" a="1"/>
  <c r="J522" i="1" s="1"/>
  <c r="J523" i="1" a="1"/>
  <c r="J523" i="1" s="1"/>
  <c r="J524" i="1" a="1"/>
  <c r="J524" i="1" s="1"/>
  <c r="J525" i="1" a="1"/>
  <c r="J525" i="1"/>
  <c r="J526" i="1" a="1"/>
  <c r="J526" i="1"/>
  <c r="J527" i="1" a="1"/>
  <c r="J527" i="1" s="1"/>
  <c r="J528" i="1" a="1"/>
  <c r="J528" i="1" s="1"/>
  <c r="J529" i="1" a="1"/>
  <c r="J529" i="1" s="1"/>
  <c r="J530" i="1" a="1"/>
  <c r="J530" i="1"/>
  <c r="J531" i="1" a="1"/>
  <c r="J531" i="1" s="1"/>
  <c r="J532" i="1" a="1"/>
  <c r="J532" i="1" s="1"/>
  <c r="J533" i="1" a="1"/>
  <c r="J533" i="1"/>
  <c r="J534" i="1" a="1"/>
  <c r="J534" i="1"/>
  <c r="J535" i="1" a="1"/>
  <c r="J535" i="1"/>
  <c r="J536" i="1" a="1"/>
  <c r="J536" i="1" s="1"/>
  <c r="J537" i="1" a="1"/>
  <c r="J537" i="1" s="1"/>
  <c r="J538" i="1" a="1"/>
  <c r="J538" i="1" s="1"/>
  <c r="J539" i="1" a="1"/>
  <c r="J539" i="1"/>
  <c r="J540" i="1" a="1"/>
  <c r="J540" i="1" s="1"/>
  <c r="J541" i="1" a="1"/>
  <c r="J541" i="1" s="1"/>
  <c r="J542" i="1" a="1"/>
  <c r="J542" i="1"/>
  <c r="J543" i="1" a="1"/>
  <c r="J543" i="1"/>
  <c r="J544" i="1" a="1"/>
  <c r="J544" i="1" s="1"/>
  <c r="J545" i="1" a="1"/>
  <c r="J545" i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/>
  <c r="J558" i="1" a="1"/>
  <c r="J558" i="1" s="1"/>
  <c r="J559" i="1" a="1"/>
  <c r="J559" i="1" s="1"/>
  <c r="J560" i="1" a="1"/>
  <c r="J560" i="1" s="1"/>
  <c r="J561" i="1" a="1"/>
  <c r="J561" i="1"/>
  <c r="J562" i="1" a="1"/>
  <c r="J562" i="1"/>
  <c r="J563" i="1" a="1"/>
  <c r="J563" i="1" s="1"/>
  <c r="J564" i="1" a="1"/>
  <c r="J564" i="1" s="1"/>
  <c r="J565" i="1" a="1"/>
  <c r="J565" i="1" s="1"/>
  <c r="J566" i="1" a="1"/>
  <c r="J566" i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/>
  <c r="J574" i="1" a="1"/>
  <c r="J574" i="1" s="1"/>
  <c r="J575" i="1" a="1"/>
  <c r="J575" i="1" s="1"/>
  <c r="J576" i="1" a="1"/>
  <c r="J576" i="1" s="1"/>
  <c r="J577" i="1" a="1"/>
  <c r="J577" i="1"/>
  <c r="J578" i="1" a="1"/>
  <c r="J578" i="1"/>
  <c r="J579" i="1" a="1"/>
  <c r="J579" i="1" s="1"/>
  <c r="J580" i="1" a="1"/>
  <c r="J580" i="1" s="1"/>
  <c r="J581" i="1" a="1"/>
  <c r="J581" i="1" s="1"/>
  <c r="J582" i="1" a="1"/>
  <c r="J582" i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/>
  <c r="J590" i="1" a="1"/>
  <c r="J590" i="1" s="1"/>
  <c r="J591" i="1" a="1"/>
  <c r="J591" i="1" s="1"/>
  <c r="J592" i="1" a="1"/>
  <c r="J592" i="1" s="1"/>
  <c r="J593" i="1" a="1"/>
  <c r="J593" i="1"/>
  <c r="J594" i="1" a="1"/>
  <c r="J594" i="1"/>
  <c r="J595" i="1" a="1"/>
  <c r="J595" i="1" s="1"/>
  <c r="J596" i="1" a="1"/>
  <c r="J596" i="1" s="1"/>
  <c r="J597" i="1" a="1"/>
  <c r="J597" i="1" s="1"/>
  <c r="J598" i="1" a="1"/>
  <c r="J598" i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/>
  <c r="J606" i="1" a="1"/>
  <c r="J606" i="1" s="1"/>
  <c r="J607" i="1" a="1"/>
  <c r="J607" i="1" s="1"/>
  <c r="J608" i="1" a="1"/>
  <c r="J608" i="1" s="1"/>
  <c r="J609" i="1" a="1"/>
  <c r="J609" i="1"/>
  <c r="J610" i="1" a="1"/>
  <c r="J610" i="1"/>
  <c r="J611" i="1" a="1"/>
  <c r="J611" i="1" s="1"/>
  <c r="J612" i="1" a="1"/>
  <c r="J612" i="1" s="1"/>
  <c r="J613" i="1" a="1"/>
  <c r="J613" i="1" s="1"/>
  <c r="J614" i="1" a="1"/>
  <c r="J614" i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/>
  <c r="J622" i="1" a="1"/>
  <c r="J622" i="1" s="1"/>
  <c r="J623" i="1" a="1"/>
  <c r="J623" i="1" s="1"/>
  <c r="J624" i="1" a="1"/>
  <c r="J624" i="1" s="1"/>
  <c r="J625" i="1" a="1"/>
  <c r="J625" i="1"/>
  <c r="J626" i="1" a="1"/>
  <c r="J626" i="1"/>
  <c r="J627" i="1" a="1"/>
  <c r="J627" i="1" s="1"/>
  <c r="J628" i="1" a="1"/>
  <c r="J628" i="1" s="1"/>
  <c r="J629" i="1" a="1"/>
  <c r="J629" i="1" s="1"/>
  <c r="J630" i="1" a="1"/>
  <c r="J630" i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/>
  <c r="J638" i="1" a="1"/>
  <c r="J638" i="1" s="1"/>
  <c r="J639" i="1" a="1"/>
  <c r="J639" i="1" s="1"/>
  <c r="J640" i="1" a="1"/>
  <c r="J640" i="1" s="1"/>
  <c r="J641" i="1" a="1"/>
  <c r="J641" i="1"/>
  <c r="J642" i="1" a="1"/>
  <c r="J642" i="1"/>
  <c r="J643" i="1" a="1"/>
  <c r="J643" i="1" s="1"/>
  <c r="J644" i="1" a="1"/>
  <c r="J644" i="1" s="1"/>
  <c r="J645" i="1" a="1"/>
  <c r="J645" i="1" s="1"/>
  <c r="J646" i="1" a="1"/>
  <c r="J646" i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/>
  <c r="J654" i="1" a="1"/>
  <c r="J654" i="1" s="1"/>
  <c r="J655" i="1" a="1"/>
  <c r="J655" i="1" s="1"/>
  <c r="J656" i="1" a="1"/>
  <c r="J656" i="1" s="1"/>
  <c r="J657" i="1" a="1"/>
  <c r="J657" i="1"/>
  <c r="J658" i="1" a="1"/>
  <c r="J658" i="1"/>
  <c r="J659" i="1" a="1"/>
  <c r="J659" i="1" s="1"/>
  <c r="J660" i="1" a="1"/>
  <c r="J660" i="1" s="1"/>
  <c r="J661" i="1" a="1"/>
  <c r="J661" i="1" s="1"/>
  <c r="J662" i="1" a="1"/>
  <c r="J662" i="1"/>
  <c r="J663" i="1" a="1"/>
  <c r="J663" i="1"/>
  <c r="J664" i="1" a="1"/>
  <c r="J664" i="1" s="1"/>
  <c r="J665" i="1" a="1"/>
  <c r="J665" i="1"/>
  <c r="J666" i="1" a="1"/>
  <c r="J666" i="1"/>
  <c r="J667" i="1" a="1"/>
  <c r="J667" i="1"/>
  <c r="J668" i="1" a="1"/>
  <c r="J668" i="1" s="1"/>
  <c r="J669" i="1" a="1"/>
  <c r="J669" i="1" s="1"/>
  <c r="J670" i="1" a="1"/>
  <c r="J670" i="1" s="1"/>
  <c r="J671" i="1" a="1"/>
  <c r="J671" i="1"/>
  <c r="J672" i="1" a="1"/>
  <c r="J672" i="1" s="1"/>
  <c r="J673" i="1" a="1"/>
  <c r="J673" i="1"/>
  <c r="J674" i="1" a="1"/>
  <c r="J674" i="1"/>
  <c r="J675" i="1" a="1"/>
  <c r="J675" i="1"/>
  <c r="J676" i="1" a="1"/>
  <c r="J676" i="1" s="1"/>
  <c r="J677" i="1" a="1"/>
  <c r="J677" i="1"/>
  <c r="J678" i="1" a="1"/>
  <c r="J678" i="1" s="1"/>
  <c r="J679" i="1" a="1"/>
  <c r="J679" i="1"/>
  <c r="J680" i="1" a="1"/>
  <c r="J680" i="1" s="1"/>
  <c r="J681" i="1" a="1"/>
  <c r="J681" i="1"/>
  <c r="J682" i="1" a="1"/>
  <c r="J682" i="1"/>
  <c r="J683" i="1" a="1"/>
  <c r="J683" i="1"/>
  <c r="J684" i="1" a="1"/>
  <c r="J684" i="1" s="1"/>
  <c r="J685" i="1" a="1"/>
  <c r="J685" i="1"/>
  <c r="J686" i="1" a="1"/>
  <c r="J686" i="1"/>
  <c r="J687" i="1" a="1"/>
  <c r="J687" i="1"/>
  <c r="J688" i="1" a="1"/>
  <c r="J688" i="1" s="1"/>
  <c r="J689" i="1" a="1"/>
  <c r="J689" i="1" s="1"/>
  <c r="J690" i="1" a="1"/>
  <c r="J690" i="1"/>
  <c r="J691" i="1" a="1"/>
  <c r="J691" i="1"/>
  <c r="J692" i="1" a="1"/>
  <c r="J692" i="1" s="1"/>
  <c r="J693" i="1" a="1"/>
  <c r="J693" i="1" s="1"/>
  <c r="J694" i="1" a="1"/>
  <c r="J694" i="1"/>
  <c r="J695" i="1" a="1"/>
  <c r="J695" i="1"/>
  <c r="J696" i="1" a="1"/>
  <c r="J696" i="1" s="1"/>
  <c r="J697" i="1" a="1"/>
  <c r="J697" i="1"/>
  <c r="J698" i="1" a="1"/>
  <c r="J698" i="1" s="1"/>
  <c r="J699" i="1" a="1"/>
  <c r="J699" i="1"/>
  <c r="J700" i="1" a="1"/>
  <c r="J700" i="1" s="1"/>
  <c r="J701" i="1" a="1"/>
  <c r="J701" i="1" s="1"/>
  <c r="J702" i="1" a="1"/>
  <c r="J702" i="1" s="1"/>
  <c r="J703" i="1" a="1"/>
  <c r="J703" i="1"/>
  <c r="J704" i="1" a="1"/>
  <c r="J704" i="1" s="1"/>
  <c r="J705" i="1" a="1"/>
  <c r="J705" i="1"/>
  <c r="J706" i="1" a="1"/>
  <c r="J706" i="1"/>
  <c r="J707" i="1" a="1"/>
  <c r="J707" i="1"/>
  <c r="J708" i="1" a="1"/>
  <c r="J708" i="1" s="1"/>
  <c r="J709" i="1" a="1"/>
  <c r="J709" i="1"/>
  <c r="J710" i="1" a="1"/>
  <c r="J710" i="1" s="1"/>
  <c r="J711" i="1" a="1"/>
  <c r="J711" i="1"/>
  <c r="J712" i="1" a="1"/>
  <c r="J712" i="1" s="1"/>
  <c r="J713" i="1" a="1"/>
  <c r="J713" i="1"/>
  <c r="J714" i="1" a="1"/>
  <c r="J714" i="1"/>
  <c r="J715" i="1" a="1"/>
  <c r="J715" i="1"/>
  <c r="J716" i="1" a="1"/>
  <c r="J716" i="1" s="1"/>
  <c r="J717" i="1" a="1"/>
  <c r="J717" i="1"/>
  <c r="J718" i="1" a="1"/>
  <c r="J718" i="1"/>
  <c r="J719" i="1" a="1"/>
  <c r="J719" i="1"/>
  <c r="J720" i="1" a="1"/>
  <c r="J720" i="1" s="1"/>
  <c r="J721" i="1" a="1"/>
  <c r="J721" i="1" s="1"/>
  <c r="J722" i="1" a="1"/>
  <c r="J722" i="1"/>
  <c r="J723" i="1" a="1"/>
  <c r="J723" i="1"/>
  <c r="J724" i="1" a="1"/>
  <c r="J724" i="1" s="1"/>
  <c r="J725" i="1" a="1"/>
  <c r="J725" i="1" s="1"/>
  <c r="J726" i="1" a="1"/>
  <c r="J726" i="1"/>
  <c r="J727" i="1" a="1"/>
  <c r="J727" i="1"/>
  <c r="J728" i="1" a="1"/>
  <c r="J728" i="1" s="1"/>
  <c r="J729" i="1" a="1"/>
  <c r="J729" i="1"/>
  <c r="J730" i="1" a="1"/>
  <c r="J730" i="1" s="1"/>
  <c r="J731" i="1" a="1"/>
  <c r="J731" i="1"/>
  <c r="J732" i="1" a="1"/>
  <c r="J732" i="1" s="1"/>
  <c r="J733" i="1" a="1"/>
  <c r="J733" i="1" s="1"/>
  <c r="J734" i="1" a="1"/>
  <c r="J734" i="1" s="1"/>
  <c r="J735" i="1" a="1"/>
  <c r="J735" i="1"/>
  <c r="J736" i="1" a="1"/>
  <c r="J736" i="1" s="1"/>
  <c r="J737" i="1" a="1"/>
  <c r="J737" i="1"/>
  <c r="J738" i="1" a="1"/>
  <c r="J738" i="1"/>
  <c r="J739" i="1" a="1"/>
  <c r="J739" i="1"/>
  <c r="J740" i="1" a="1"/>
  <c r="J740" i="1" s="1"/>
  <c r="J741" i="1" a="1"/>
  <c r="J741" i="1"/>
  <c r="J742" i="1" a="1"/>
  <c r="J742" i="1" s="1"/>
  <c r="J743" i="1" a="1"/>
  <c r="J743" i="1"/>
  <c r="J744" i="1" a="1"/>
  <c r="J744" i="1" s="1"/>
  <c r="J745" i="1" a="1"/>
  <c r="J745" i="1"/>
  <c r="J746" i="1" a="1"/>
  <c r="J746" i="1"/>
  <c r="J747" i="1" a="1"/>
  <c r="J747" i="1"/>
  <c r="J748" i="1" a="1"/>
  <c r="J748" i="1" s="1"/>
  <c r="J749" i="1" a="1"/>
  <c r="J749" i="1"/>
  <c r="J750" i="1" a="1"/>
  <c r="J750" i="1"/>
  <c r="J751" i="1" a="1"/>
  <c r="J751" i="1"/>
  <c r="J752" i="1" a="1"/>
  <c r="J752" i="1" s="1"/>
  <c r="J753" i="1" a="1"/>
  <c r="J753" i="1" s="1"/>
  <c r="J754" i="1" a="1"/>
  <c r="J754" i="1"/>
  <c r="J755" i="1" a="1"/>
  <c r="J755" i="1"/>
  <c r="J756" i="1" a="1"/>
  <c r="J756" i="1" s="1"/>
  <c r="J757" i="1" a="1"/>
  <c r="J757" i="1" s="1"/>
  <c r="J758" i="1" a="1"/>
  <c r="J758" i="1"/>
  <c r="J759" i="1" a="1"/>
  <c r="J759" i="1"/>
  <c r="J760" i="1" a="1"/>
  <c r="J760" i="1" s="1"/>
  <c r="J761" i="1" a="1"/>
  <c r="J761" i="1"/>
  <c r="J762" i="1" a="1"/>
  <c r="J762" i="1" s="1"/>
  <c r="J763" i="1" a="1"/>
  <c r="J763" i="1"/>
  <c r="J764" i="1" a="1"/>
  <c r="J764" i="1" s="1"/>
  <c r="J765" i="1" a="1"/>
  <c r="J765" i="1" s="1"/>
  <c r="J766" i="1" a="1"/>
  <c r="J766" i="1" s="1"/>
  <c r="J767" i="1" a="1"/>
  <c r="J767" i="1"/>
  <c r="J768" i="1" a="1"/>
  <c r="J768" i="1" s="1"/>
  <c r="J769" i="1" a="1"/>
  <c r="J769" i="1"/>
  <c r="J770" i="1" a="1"/>
  <c r="J770" i="1"/>
  <c r="J771" i="1" a="1"/>
  <c r="J771" i="1"/>
  <c r="J772" i="1" a="1"/>
  <c r="J772" i="1" s="1"/>
  <c r="J773" i="1" a="1"/>
  <c r="J773" i="1"/>
  <c r="J774" i="1" a="1"/>
  <c r="J774" i="1" s="1"/>
  <c r="J775" i="1" a="1"/>
  <c r="J775" i="1"/>
  <c r="J776" i="1" a="1"/>
  <c r="J776" i="1" s="1"/>
  <c r="J777" i="1" a="1"/>
  <c r="J777" i="1"/>
  <c r="J778" i="1" a="1"/>
  <c r="J778" i="1"/>
  <c r="J779" i="1" a="1"/>
  <c r="J779" i="1"/>
  <c r="J780" i="1" a="1"/>
  <c r="J780" i="1" s="1"/>
  <c r="J781" i="1" a="1"/>
  <c r="J781" i="1"/>
  <c r="J782" i="1" a="1"/>
  <c r="J782" i="1"/>
  <c r="J783" i="1" a="1"/>
  <c r="J783" i="1"/>
  <c r="J784" i="1" a="1"/>
  <c r="J784" i="1" s="1"/>
  <c r="J785" i="1" a="1"/>
  <c r="J785" i="1" s="1"/>
  <c r="J786" i="1" a="1"/>
  <c r="J786" i="1"/>
  <c r="J787" i="1" a="1"/>
  <c r="J787" i="1"/>
  <c r="J788" i="1" a="1"/>
  <c r="J788" i="1" s="1"/>
  <c r="J789" i="1" a="1"/>
  <c r="J789" i="1" s="1"/>
  <c r="J790" i="1" a="1"/>
  <c r="J790" i="1"/>
  <c r="J791" i="1" a="1"/>
  <c r="J791" i="1"/>
  <c r="J792" i="1" a="1"/>
  <c r="J792" i="1" s="1"/>
  <c r="J793" i="1" a="1"/>
  <c r="J793" i="1"/>
  <c r="J794" i="1" a="1"/>
  <c r="J794" i="1" s="1"/>
  <c r="J795" i="1" a="1"/>
  <c r="J795" i="1"/>
  <c r="J796" i="1" a="1"/>
  <c r="J796" i="1" s="1"/>
  <c r="J797" i="1" a="1"/>
  <c r="J797" i="1" s="1"/>
  <c r="J798" i="1" a="1"/>
  <c r="J798" i="1" s="1"/>
  <c r="J799" i="1" a="1"/>
  <c r="J799" i="1"/>
  <c r="J800" i="1" a="1"/>
  <c r="J800" i="1" s="1"/>
  <c r="J801" i="1" a="1"/>
  <c r="J801" i="1"/>
  <c r="J802" i="1" a="1"/>
  <c r="J802" i="1"/>
  <c r="J803" i="1" a="1"/>
  <c r="J803" i="1"/>
  <c r="J804" i="1" a="1"/>
  <c r="J804" i="1" s="1"/>
  <c r="J805" i="1" a="1"/>
  <c r="J805" i="1"/>
  <c r="J806" i="1" a="1"/>
  <c r="J806" i="1" s="1"/>
  <c r="J807" i="1" a="1"/>
  <c r="J807" i="1"/>
  <c r="J808" i="1" a="1"/>
  <c r="J808" i="1" s="1"/>
  <c r="J809" i="1" a="1"/>
  <c r="J809" i="1"/>
  <c r="J810" i="1" a="1"/>
  <c r="J810" i="1"/>
  <c r="J811" i="1" a="1"/>
  <c r="J811" i="1"/>
  <c r="J812" i="1" a="1"/>
  <c r="J812" i="1" s="1"/>
  <c r="J813" i="1" a="1"/>
  <c r="J813" i="1"/>
  <c r="J814" i="1" a="1"/>
  <c r="J814" i="1"/>
  <c r="J815" i="1" a="1"/>
  <c r="J815" i="1"/>
  <c r="J816" i="1" a="1"/>
  <c r="J816" i="1" s="1"/>
  <c r="J817" i="1" a="1"/>
  <c r="J817" i="1"/>
  <c r="J818" i="1" a="1"/>
  <c r="J818" i="1"/>
  <c r="J819" i="1" a="1"/>
  <c r="J819" i="1"/>
  <c r="J820" i="1" a="1"/>
  <c r="J820" i="1" s="1"/>
  <c r="J821" i="1" a="1"/>
  <c r="J821" i="1"/>
  <c r="J822" i="1" a="1"/>
  <c r="J822" i="1"/>
  <c r="J823" i="1" a="1"/>
  <c r="J823" i="1"/>
  <c r="J824" i="1" a="1"/>
  <c r="J824" i="1" s="1"/>
  <c r="J825" i="1" a="1"/>
  <c r="J825" i="1"/>
  <c r="J826" i="1" a="1"/>
  <c r="J826" i="1"/>
  <c r="J827" i="1" a="1"/>
  <c r="J827" i="1"/>
  <c r="J828" i="1" a="1"/>
  <c r="J828" i="1" s="1"/>
  <c r="J829" i="1" a="1"/>
  <c r="J829" i="1"/>
  <c r="J830" i="1" a="1"/>
  <c r="J830" i="1"/>
  <c r="J831" i="1" a="1"/>
  <c r="J831" i="1"/>
  <c r="J832" i="1" a="1"/>
  <c r="J832" i="1" s="1"/>
  <c r="J833" i="1" a="1"/>
  <c r="J833" i="1"/>
  <c r="J834" i="1" a="1"/>
  <c r="J834" i="1"/>
  <c r="J835" i="1" a="1"/>
  <c r="J835" i="1"/>
  <c r="J836" i="1" a="1"/>
  <c r="J836" i="1" s="1"/>
  <c r="J837" i="1" a="1"/>
  <c r="J837" i="1"/>
  <c r="J838" i="1" a="1"/>
  <c r="J838" i="1"/>
  <c r="J839" i="1" a="1"/>
  <c r="J839" i="1"/>
  <c r="J840" i="1" a="1"/>
  <c r="J840" i="1" s="1"/>
  <c r="J841" i="1" a="1"/>
  <c r="J841" i="1"/>
  <c r="J842" i="1" a="1"/>
  <c r="J842" i="1"/>
  <c r="J843" i="1" a="1"/>
  <c r="J843" i="1"/>
  <c r="J844" i="1" a="1"/>
  <c r="J844" i="1" s="1"/>
  <c r="J845" i="1" a="1"/>
  <c r="J845" i="1"/>
  <c r="J846" i="1" a="1"/>
  <c r="J846" i="1"/>
  <c r="J847" i="1" a="1"/>
  <c r="J847" i="1"/>
  <c r="J848" i="1" a="1"/>
  <c r="J848" i="1" s="1"/>
  <c r="J849" i="1" a="1"/>
  <c r="J849" i="1"/>
  <c r="J850" i="1" a="1"/>
  <c r="J850" i="1"/>
  <c r="J851" i="1" a="1"/>
  <c r="J851" i="1"/>
  <c r="J852" i="1" a="1"/>
  <c r="J852" i="1" s="1"/>
  <c r="J853" i="1" a="1"/>
  <c r="J853" i="1"/>
  <c r="J854" i="1" a="1"/>
  <c r="J854" i="1"/>
  <c r="J855" i="1" a="1"/>
  <c r="J855" i="1"/>
  <c r="J856" i="1" a="1"/>
  <c r="J856" i="1" s="1"/>
  <c r="J857" i="1" a="1"/>
  <c r="J857" i="1"/>
  <c r="J858" i="1" a="1"/>
  <c r="J858" i="1"/>
  <c r="J859" i="1" a="1"/>
  <c r="J859" i="1"/>
  <c r="J860" i="1" a="1"/>
  <c r="J860" i="1" s="1"/>
  <c r="J861" i="1" a="1"/>
  <c r="J861" i="1"/>
  <c r="J862" i="1" a="1"/>
  <c r="J862" i="1"/>
  <c r="J863" i="1" a="1"/>
  <c r="J863" i="1"/>
  <c r="J864" i="1" a="1"/>
  <c r="J864" i="1" s="1"/>
  <c r="J865" i="1" a="1"/>
  <c r="J865" i="1"/>
  <c r="J866" i="1" a="1"/>
  <c r="J866" i="1"/>
  <c r="J867" i="1" a="1"/>
  <c r="J867" i="1"/>
  <c r="J868" i="1" a="1"/>
  <c r="J868" i="1" s="1"/>
  <c r="J869" i="1" a="1"/>
  <c r="J869" i="1"/>
  <c r="J870" i="1" a="1"/>
  <c r="J870" i="1"/>
  <c r="J871" i="1" a="1"/>
  <c r="J871" i="1"/>
  <c r="J872" i="1" a="1"/>
  <c r="J872" i="1" s="1"/>
  <c r="J873" i="1" a="1"/>
  <c r="J873" i="1"/>
  <c r="J874" i="1" a="1"/>
  <c r="J874" i="1"/>
  <c r="J875" i="1" a="1"/>
  <c r="J875" i="1"/>
  <c r="J876" i="1" a="1"/>
  <c r="J876" i="1" s="1"/>
  <c r="J877" i="1" a="1"/>
  <c r="J877" i="1"/>
  <c r="J878" i="1" a="1"/>
  <c r="J878" i="1"/>
  <c r="J879" i="1" a="1"/>
  <c r="J879" i="1"/>
  <c r="J880" i="1" a="1"/>
  <c r="J880" i="1" s="1"/>
  <c r="J881" i="1" a="1"/>
  <c r="J881" i="1"/>
  <c r="J882" i="1" a="1"/>
  <c r="J882" i="1"/>
  <c r="J883" i="1" a="1"/>
  <c r="J883" i="1"/>
  <c r="J884" i="1" a="1"/>
  <c r="J884" i="1" s="1"/>
  <c r="J885" i="1" a="1"/>
  <c r="J885" i="1"/>
  <c r="J886" i="1" a="1"/>
  <c r="J886" i="1"/>
  <c r="J887" i="1" a="1"/>
  <c r="J887" i="1"/>
  <c r="J888" i="1" a="1"/>
  <c r="J888" i="1" s="1"/>
  <c r="J889" i="1" a="1"/>
  <c r="J889" i="1"/>
  <c r="J890" i="1" a="1"/>
  <c r="J890" i="1"/>
  <c r="J891" i="1" a="1"/>
  <c r="J891" i="1"/>
  <c r="J892" i="1" a="1"/>
  <c r="J892" i="1" s="1"/>
  <c r="J893" i="1" a="1"/>
  <c r="J893" i="1"/>
  <c r="J894" i="1" a="1"/>
  <c r="J894" i="1"/>
  <c r="J895" i="1" a="1"/>
  <c r="J895" i="1"/>
  <c r="J896" i="1" a="1"/>
  <c r="J896" i="1" s="1"/>
  <c r="J897" i="1" a="1"/>
  <c r="J897" i="1"/>
  <c r="J898" i="1" a="1"/>
  <c r="J898" i="1"/>
  <c r="J899" i="1" a="1"/>
  <c r="J899" i="1"/>
  <c r="J900" i="1" a="1"/>
  <c r="J900" i="1" s="1"/>
  <c r="J901" i="1" a="1"/>
  <c r="J901" i="1"/>
  <c r="J902" i="1" a="1"/>
  <c r="J902" i="1"/>
  <c r="J903" i="1" a="1"/>
  <c r="J903" i="1"/>
  <c r="J904" i="1" a="1"/>
  <c r="J904" i="1" s="1"/>
  <c r="J905" i="1" a="1"/>
  <c r="J905" i="1"/>
  <c r="J906" i="1" a="1"/>
  <c r="J906" i="1"/>
  <c r="J907" i="1" a="1"/>
  <c r="J907" i="1"/>
  <c r="J908" i="1" a="1"/>
  <c r="J908" i="1" s="1"/>
  <c r="J909" i="1" a="1"/>
  <c r="J909" i="1"/>
  <c r="J910" i="1" a="1"/>
  <c r="J910" i="1"/>
  <c r="J911" i="1" a="1"/>
  <c r="J911" i="1"/>
  <c r="J912" i="1" a="1"/>
  <c r="J912" i="1" s="1"/>
  <c r="J913" i="1" a="1"/>
  <c r="J913" i="1"/>
  <c r="J914" i="1" a="1"/>
  <c r="J914" i="1"/>
  <c r="J915" i="1" a="1"/>
  <c r="J915" i="1"/>
  <c r="J916" i="1" a="1"/>
  <c r="J916" i="1" s="1"/>
  <c r="J917" i="1" a="1"/>
  <c r="J917" i="1"/>
  <c r="J918" i="1" a="1"/>
  <c r="J918" i="1"/>
  <c r="J919" i="1" a="1"/>
  <c r="J919" i="1"/>
  <c r="J920" i="1" a="1"/>
  <c r="J920" i="1" s="1"/>
  <c r="J921" i="1" a="1"/>
  <c r="J921" i="1"/>
  <c r="J922" i="1" a="1"/>
  <c r="J922" i="1"/>
  <c r="J923" i="1" a="1"/>
  <c r="J923" i="1"/>
  <c r="J924" i="1" a="1"/>
  <c r="J924" i="1" s="1"/>
  <c r="J925" i="1" a="1"/>
  <c r="J925" i="1"/>
  <c r="J926" i="1" a="1"/>
  <c r="J926" i="1"/>
  <c r="J927" i="1" a="1"/>
  <c r="J927" i="1"/>
  <c r="J928" i="1" a="1"/>
  <c r="J928" i="1" s="1"/>
  <c r="J929" i="1" a="1"/>
  <c r="J929" i="1"/>
  <c r="J930" i="1" a="1"/>
  <c r="J930" i="1"/>
  <c r="J931" i="1" a="1"/>
  <c r="J931" i="1"/>
  <c r="J932" i="1" a="1"/>
  <c r="J932" i="1" s="1"/>
  <c r="J933" i="1" a="1"/>
  <c r="J933" i="1"/>
  <c r="J934" i="1" a="1"/>
  <c r="J934" i="1"/>
  <c r="J935" i="1" a="1"/>
  <c r="J935" i="1"/>
  <c r="J936" i="1" a="1"/>
  <c r="J936" i="1" s="1"/>
  <c r="J937" i="1" a="1"/>
  <c r="J937" i="1"/>
  <c r="J938" i="1" a="1"/>
  <c r="J938" i="1"/>
  <c r="J939" i="1" a="1"/>
  <c r="J939" i="1"/>
  <c r="J940" i="1" a="1"/>
  <c r="J940" i="1" s="1"/>
  <c r="J941" i="1" a="1"/>
  <c r="J941" i="1"/>
  <c r="J942" i="1" a="1"/>
  <c r="J942" i="1"/>
  <c r="J943" i="1" a="1"/>
  <c r="J943" i="1"/>
  <c r="J944" i="1" a="1"/>
  <c r="J944" i="1" s="1"/>
  <c r="J945" i="1" a="1"/>
  <c r="J945" i="1"/>
  <c r="J946" i="1" a="1"/>
  <c r="J946" i="1"/>
  <c r="J947" i="1" a="1"/>
  <c r="J947" i="1"/>
  <c r="J948" i="1" a="1"/>
  <c r="J948" i="1" s="1"/>
  <c r="J949" i="1" a="1"/>
  <c r="J949" i="1"/>
  <c r="J950" i="1" a="1"/>
  <c r="J950" i="1"/>
  <c r="J951" i="1" a="1"/>
  <c r="J951" i="1"/>
  <c r="J952" i="1" a="1"/>
  <c r="J952" i="1" s="1"/>
  <c r="J953" i="1" a="1"/>
  <c r="J953" i="1"/>
  <c r="J954" i="1" a="1"/>
  <c r="J954" i="1"/>
  <c r="J955" i="1" a="1"/>
  <c r="J955" i="1"/>
  <c r="J956" i="1" a="1"/>
  <c r="J956" i="1" s="1"/>
  <c r="J957" i="1" a="1"/>
  <c r="J957" i="1"/>
  <c r="J958" i="1" a="1"/>
  <c r="J958" i="1"/>
  <c r="J959" i="1" a="1"/>
  <c r="J959" i="1"/>
  <c r="J960" i="1" a="1"/>
  <c r="J960" i="1" s="1"/>
  <c r="J961" i="1" a="1"/>
  <c r="J961" i="1"/>
  <c r="J962" i="1" a="1"/>
  <c r="J962" i="1"/>
  <c r="J963" i="1" a="1"/>
  <c r="J963" i="1"/>
  <c r="J964" i="1" a="1"/>
  <c r="J964" i="1" s="1"/>
  <c r="J965" i="1" a="1"/>
  <c r="J965" i="1"/>
  <c r="J966" i="1" a="1"/>
  <c r="J966" i="1"/>
  <c r="J967" i="1" a="1"/>
  <c r="J967" i="1"/>
  <c r="J968" i="1" a="1"/>
  <c r="J968" i="1" s="1"/>
  <c r="J969" i="1" a="1"/>
  <c r="J969" i="1"/>
  <c r="J970" i="1" a="1"/>
  <c r="J970" i="1"/>
  <c r="J971" i="1" a="1"/>
  <c r="J971" i="1"/>
  <c r="J972" i="1" a="1"/>
  <c r="J972" i="1" s="1"/>
  <c r="J973" i="1" a="1"/>
  <c r="J973" i="1"/>
  <c r="J974" i="1" a="1"/>
  <c r="J974" i="1"/>
  <c r="J975" i="1" a="1"/>
  <c r="J975" i="1"/>
  <c r="J976" i="1" a="1"/>
  <c r="J976" i="1" s="1"/>
  <c r="J977" i="1" a="1"/>
  <c r="J977" i="1"/>
  <c r="J978" i="1" a="1"/>
  <c r="J978" i="1"/>
  <c r="J979" i="1" a="1"/>
  <c r="J979" i="1"/>
  <c r="J980" i="1" a="1"/>
  <c r="J980" i="1" s="1"/>
  <c r="J981" i="1" a="1"/>
  <c r="J981" i="1"/>
  <c r="J982" i="1" a="1"/>
  <c r="J982" i="1"/>
  <c r="J983" i="1" a="1"/>
  <c r="J983" i="1"/>
  <c r="J984" i="1" a="1"/>
  <c r="J984" i="1" s="1"/>
  <c r="J985" i="1" a="1"/>
  <c r="J985" i="1"/>
  <c r="J986" i="1" a="1"/>
  <c r="J986" i="1"/>
  <c r="J987" i="1" a="1"/>
  <c r="J987" i="1"/>
  <c r="J988" i="1" a="1"/>
  <c r="J988" i="1" s="1"/>
  <c r="J989" i="1" a="1"/>
  <c r="J989" i="1"/>
  <c r="J990" i="1" a="1"/>
  <c r="J990" i="1"/>
  <c r="J991" i="1" a="1"/>
  <c r="J991" i="1"/>
  <c r="J992" i="1" a="1"/>
  <c r="J992" i="1" s="1"/>
  <c r="J993" i="1" a="1"/>
  <c r="J993" i="1"/>
  <c r="J994" i="1" a="1"/>
  <c r="J994" i="1"/>
  <c r="J995" i="1" a="1"/>
  <c r="J995" i="1"/>
  <c r="J996" i="1" a="1"/>
  <c r="J996" i="1" s="1"/>
  <c r="J997" i="1" a="1"/>
  <c r="J997" i="1"/>
  <c r="J998" i="1" a="1"/>
  <c r="J998" i="1"/>
  <c r="J999" i="1" a="1"/>
  <c r="J999" i="1"/>
  <c r="J1000" i="1" a="1"/>
  <c r="J1000" i="1" s="1"/>
  <c r="J1001" i="1" a="1"/>
  <c r="J1001" i="1"/>
  <c r="J1002" i="1" a="1"/>
  <c r="J1002" i="1"/>
  <c r="J1003" i="1" a="1"/>
  <c r="J1003" i="1"/>
  <c r="J1004" i="1" a="1"/>
  <c r="J1004" i="1" s="1"/>
  <c r="J1005" i="1" a="1"/>
  <c r="J1005" i="1"/>
  <c r="J1006" i="1" a="1"/>
  <c r="J1006" i="1"/>
  <c r="J1007" i="1" a="1"/>
  <c r="J1007" i="1"/>
  <c r="J1008" i="1" a="1"/>
  <c r="J1008" i="1" s="1"/>
  <c r="J1009" i="1" a="1"/>
  <c r="J1009" i="1"/>
  <c r="J1010" i="1" a="1"/>
  <c r="J1010" i="1"/>
  <c r="J1011" i="1" a="1"/>
  <c r="J1011" i="1"/>
  <c r="J1012" i="1" a="1"/>
  <c r="J1012" i="1" s="1"/>
  <c r="J1013" i="1" a="1"/>
  <c r="J1013" i="1"/>
  <c r="J1014" i="1" a="1"/>
  <c r="J1014" i="1"/>
  <c r="J1015" i="1" a="1"/>
  <c r="J1015" i="1"/>
  <c r="J1016" i="1" a="1"/>
  <c r="J1016" i="1" s="1"/>
  <c r="J1017" i="1" a="1"/>
  <c r="J1017" i="1"/>
  <c r="J1018" i="1" a="1"/>
  <c r="J1018" i="1"/>
  <c r="J1019" i="1" a="1"/>
  <c r="J1019" i="1"/>
  <c r="J1020" i="1" a="1"/>
  <c r="J1020" i="1" s="1"/>
  <c r="J1021" i="1" a="1"/>
  <c r="J1021" i="1"/>
  <c r="J1022" i="1" a="1"/>
  <c r="J1022" i="1"/>
  <c r="J1023" i="1" a="1"/>
  <c r="J1023" i="1"/>
  <c r="J1024" i="1" a="1"/>
  <c r="J1024" i="1" s="1"/>
  <c r="J1025" i="1" a="1"/>
  <c r="J1025" i="1"/>
  <c r="J1026" i="1" a="1"/>
  <c r="J1026" i="1"/>
  <c r="J1027" i="1" a="1"/>
  <c r="J1027" i="1"/>
  <c r="J1028" i="1" a="1"/>
  <c r="J1028" i="1" s="1"/>
  <c r="J1029" i="1" a="1"/>
  <c r="J1029" i="1"/>
  <c r="J1030" i="1" a="1"/>
  <c r="J1030" i="1"/>
  <c r="J1031" i="1" a="1"/>
  <c r="J1031" i="1"/>
  <c r="J1032" i="1" a="1"/>
  <c r="J1032" i="1" s="1"/>
  <c r="J1033" i="1" a="1"/>
  <c r="J1033" i="1"/>
  <c r="J1034" i="1" a="1"/>
  <c r="J1034" i="1"/>
  <c r="J1035" i="1" a="1"/>
  <c r="J1035" i="1"/>
  <c r="J1036" i="1" a="1"/>
  <c r="J1036" i="1" s="1"/>
  <c r="J1037" i="1" a="1"/>
  <c r="J1037" i="1"/>
  <c r="J1038" i="1" a="1"/>
  <c r="J1038" i="1"/>
  <c r="J1039" i="1" a="1"/>
  <c r="J1039" i="1"/>
  <c r="J1040" i="1" a="1"/>
  <c r="J1040" i="1" s="1"/>
  <c r="J1041" i="1" a="1"/>
  <c r="J1041" i="1"/>
  <c r="J1042" i="1" a="1"/>
  <c r="J1042" i="1"/>
  <c r="J1043" i="1" a="1"/>
  <c r="J1043" i="1"/>
  <c r="J1044" i="1" a="1"/>
  <c r="J1044" i="1" s="1"/>
  <c r="J1045" i="1" a="1"/>
  <c r="J1045" i="1"/>
  <c r="J1046" i="1" a="1"/>
  <c r="J1046" i="1"/>
  <c r="J1047" i="1" a="1"/>
  <c r="J1047" i="1"/>
  <c r="J1048" i="1" a="1"/>
  <c r="J1048" i="1" s="1"/>
  <c r="J1049" i="1" a="1"/>
  <c r="J1049" i="1"/>
  <c r="J1050" i="1" a="1"/>
  <c r="J1050" i="1"/>
  <c r="J1051" i="1" a="1"/>
  <c r="J1051" i="1"/>
  <c r="J1052" i="1" a="1"/>
  <c r="J1052" i="1" s="1"/>
  <c r="J1053" i="1" a="1"/>
  <c r="J1053" i="1"/>
  <c r="J1054" i="1" a="1"/>
  <c r="J1054" i="1"/>
  <c r="J1055" i="1" a="1"/>
  <c r="J1055" i="1"/>
  <c r="J1056" i="1" a="1"/>
  <c r="J1056" i="1" s="1"/>
  <c r="J1057" i="1" a="1"/>
  <c r="J1057" i="1"/>
  <c r="J1058" i="1" a="1"/>
  <c r="J1058" i="1"/>
  <c r="J1059" i="1" a="1"/>
  <c r="J1059" i="1"/>
  <c r="J1060" i="1" a="1"/>
  <c r="J1060" i="1" s="1"/>
  <c r="J1061" i="1" a="1"/>
  <c r="J1061" i="1"/>
  <c r="J1062" i="1" a="1"/>
  <c r="J1062" i="1"/>
  <c r="J1063" i="1" a="1"/>
  <c r="J1063" i="1"/>
  <c r="J1064" i="1" a="1"/>
  <c r="J1064" i="1" s="1"/>
  <c r="J1065" i="1" a="1"/>
  <c r="J1065" i="1"/>
  <c r="J1066" i="1" a="1"/>
  <c r="J1066" i="1"/>
  <c r="J1067" i="1" a="1"/>
  <c r="J1067" i="1"/>
  <c r="J1068" i="1" a="1"/>
  <c r="J1068" i="1" s="1"/>
  <c r="J1069" i="1" a="1"/>
  <c r="J1069" i="1"/>
  <c r="J1070" i="1" a="1"/>
  <c r="J1070" i="1"/>
  <c r="J1071" i="1" a="1"/>
  <c r="J1071" i="1"/>
  <c r="J1072" i="1" a="1"/>
  <c r="J1072" i="1" s="1"/>
  <c r="J1073" i="1" a="1"/>
  <c r="J1073" i="1"/>
  <c r="J1074" i="1" a="1"/>
  <c r="J1074" i="1"/>
  <c r="J1075" i="1" a="1"/>
  <c r="J1075" i="1"/>
  <c r="J1076" i="1" a="1"/>
  <c r="J1076" i="1" s="1"/>
  <c r="J1077" i="1" a="1"/>
  <c r="J1077" i="1"/>
  <c r="J1078" i="1" a="1"/>
  <c r="J1078" i="1"/>
  <c r="J1079" i="1" a="1"/>
  <c r="J1079" i="1"/>
  <c r="J1080" i="1" a="1"/>
  <c r="J1080" i="1" s="1"/>
  <c r="J1081" i="1" a="1"/>
  <c r="J1081" i="1"/>
  <c r="J1082" i="1" a="1"/>
  <c r="J1082" i="1"/>
  <c r="J1083" i="1" a="1"/>
  <c r="J1083" i="1"/>
  <c r="J1084" i="1" a="1"/>
  <c r="J1084" i="1" s="1"/>
  <c r="J1085" i="1" a="1"/>
  <c r="J1085" i="1"/>
  <c r="J1086" i="1" a="1"/>
  <c r="J1086" i="1"/>
  <c r="J1087" i="1" a="1"/>
  <c r="J1087" i="1"/>
  <c r="J1088" i="1" a="1"/>
  <c r="J1088" i="1" s="1"/>
  <c r="J1089" i="1" a="1"/>
  <c r="J1089" i="1"/>
  <c r="J1090" i="1" a="1"/>
  <c r="J1090" i="1"/>
  <c r="J1091" i="1" a="1"/>
  <c r="J1091" i="1"/>
  <c r="J1092" i="1" a="1"/>
  <c r="J1092" i="1" s="1"/>
  <c r="J1093" i="1" a="1"/>
  <c r="J1093" i="1"/>
  <c r="J1094" i="1" a="1"/>
  <c r="J1094" i="1"/>
  <c r="J1095" i="1" a="1"/>
  <c r="J1095" i="1"/>
  <c r="J1096" i="1" a="1"/>
  <c r="J1096" i="1" s="1"/>
  <c r="J1097" i="1" a="1"/>
  <c r="J1097" i="1"/>
  <c r="J1098" i="1" a="1"/>
  <c r="J1098" i="1"/>
  <c r="J1099" i="1" a="1"/>
  <c r="J1099" i="1"/>
  <c r="J1100" i="1" a="1"/>
  <c r="J1100" i="1" s="1"/>
  <c r="J1101" i="1" a="1"/>
  <c r="J1101" i="1"/>
  <c r="J1102" i="1" a="1"/>
  <c r="J1102" i="1"/>
  <c r="J1103" i="1" a="1"/>
  <c r="J1103" i="1"/>
  <c r="J1104" i="1" a="1"/>
  <c r="J1104" i="1" s="1"/>
  <c r="J1105" i="1" a="1"/>
  <c r="J1105" i="1"/>
  <c r="J1106" i="1" a="1"/>
  <c r="J1106" i="1"/>
  <c r="J1107" i="1" a="1"/>
  <c r="J1107" i="1"/>
  <c r="J1108" i="1" a="1"/>
  <c r="J1108" i="1" s="1"/>
  <c r="J1109" i="1" a="1"/>
  <c r="J1109" i="1"/>
  <c r="J1110" i="1" a="1"/>
  <c r="J1110" i="1"/>
  <c r="J1111" i="1" a="1"/>
  <c r="J1111" i="1"/>
  <c r="J1112" i="1" a="1"/>
  <c r="J1112" i="1" s="1"/>
  <c r="J1113" i="1" a="1"/>
  <c r="J1113" i="1"/>
  <c r="J1114" i="1" a="1"/>
  <c r="J1114" i="1"/>
  <c r="J1115" i="1" a="1"/>
  <c r="J1115" i="1"/>
  <c r="J1116" i="1" a="1"/>
  <c r="J1116" i="1" s="1"/>
  <c r="J1117" i="1" a="1"/>
  <c r="J1117" i="1"/>
  <c r="J1118" i="1" a="1"/>
  <c r="J1118" i="1"/>
  <c r="J1119" i="1" a="1"/>
  <c r="J1119" i="1"/>
  <c r="J1120" i="1" a="1"/>
  <c r="J1120" i="1" s="1"/>
  <c r="J1121" i="1" a="1"/>
  <c r="J1121" i="1"/>
  <c r="J1122" i="1" a="1"/>
  <c r="J1122" i="1"/>
  <c r="J1123" i="1" a="1"/>
  <c r="J1123" i="1"/>
  <c r="J1124" i="1" a="1"/>
  <c r="J1124" i="1" s="1"/>
  <c r="J1125" i="1" a="1"/>
  <c r="J1125" i="1"/>
  <c r="J1126" i="1" a="1"/>
  <c r="J1126" i="1"/>
  <c r="J1127" i="1" a="1"/>
  <c r="J1127" i="1"/>
  <c r="J1128" i="1" a="1"/>
  <c r="J1128" i="1" s="1"/>
  <c r="J1129" i="1" a="1"/>
  <c r="J1129" i="1"/>
  <c r="J1130" i="1" a="1"/>
  <c r="J1130" i="1"/>
  <c r="J1131" i="1" a="1"/>
  <c r="J1131" i="1"/>
  <c r="J1132" i="1" a="1"/>
  <c r="J1132" i="1" s="1"/>
  <c r="J1133" i="1" a="1"/>
  <c r="J1133" i="1"/>
  <c r="J1134" i="1" a="1"/>
  <c r="J1134" i="1"/>
  <c r="J1135" i="1" a="1"/>
  <c r="J1135" i="1"/>
  <c r="J1136" i="1" a="1"/>
  <c r="J1136" i="1" s="1"/>
  <c r="J1137" i="1" a="1"/>
  <c r="J1137" i="1"/>
  <c r="J1138" i="1" a="1"/>
  <c r="J1138" i="1"/>
  <c r="J1139" i="1" a="1"/>
  <c r="J1139" i="1"/>
  <c r="J1140" i="1" a="1"/>
  <c r="J1140" i="1" s="1"/>
  <c r="J1141" i="1" a="1"/>
  <c r="J1141" i="1"/>
  <c r="J1142" i="1" a="1"/>
  <c r="J1142" i="1" s="1"/>
  <c r="J1143" i="1" a="1"/>
  <c r="J1143" i="1"/>
  <c r="J1144" i="1" a="1"/>
  <c r="J1144" i="1" s="1"/>
  <c r="J1145" i="1" a="1"/>
  <c r="J1145" i="1"/>
  <c r="J1146" i="1" a="1"/>
  <c r="J1146" i="1"/>
  <c r="J1147" i="1" a="1"/>
  <c r="J1147" i="1"/>
  <c r="J1148" i="1" a="1"/>
  <c r="J1148" i="1" s="1"/>
  <c r="J1149" i="1" a="1"/>
  <c r="J1149" i="1"/>
  <c r="J1150" i="1" a="1"/>
  <c r="J1150" i="1"/>
  <c r="J1151" i="1" a="1"/>
  <c r="J1151" i="1"/>
  <c r="J1152" i="1" a="1"/>
  <c r="J1152" i="1" s="1"/>
  <c r="J1153" i="1" a="1"/>
  <c r="J1153" i="1"/>
  <c r="J1154" i="1" a="1"/>
  <c r="J1154" i="1"/>
  <c r="J1155" i="1" a="1"/>
  <c r="J1155" i="1"/>
  <c r="J1156" i="1" a="1"/>
  <c r="J1156" i="1" s="1"/>
  <c r="J1157" i="1" a="1"/>
  <c r="J1157" i="1"/>
  <c r="J1158" i="1" a="1"/>
  <c r="J1158" i="1"/>
  <c r="J1159" i="1" a="1"/>
  <c r="J1159" i="1"/>
  <c r="J1160" i="1" a="1"/>
  <c r="J1160" i="1" s="1"/>
  <c r="J1161" i="1" a="1"/>
  <c r="J1161" i="1"/>
  <c r="J1162" i="1" a="1"/>
  <c r="J1162" i="1"/>
  <c r="J1163" i="1" a="1"/>
  <c r="J1163" i="1"/>
  <c r="J1164" i="1" a="1"/>
  <c r="J1164" i="1" s="1"/>
  <c r="J1165" i="1" a="1"/>
  <c r="J1165" i="1"/>
  <c r="J1166" i="1" a="1"/>
  <c r="J1166" i="1"/>
  <c r="J1167" i="1" a="1"/>
  <c r="J1167" i="1"/>
  <c r="J1168" i="1" a="1"/>
  <c r="J1168" i="1" s="1"/>
  <c r="J1169" i="1" a="1"/>
  <c r="J1169" i="1"/>
  <c r="J1170" i="1" a="1"/>
  <c r="J1170" i="1"/>
  <c r="J1171" i="1" a="1"/>
  <c r="J1171" i="1"/>
  <c r="J1172" i="1" a="1"/>
  <c r="J1172" i="1" s="1"/>
  <c r="J1173" i="1" a="1"/>
  <c r="J1173" i="1"/>
  <c r="J1174" i="1" a="1"/>
  <c r="J1174" i="1"/>
  <c r="J1175" i="1" a="1"/>
  <c r="J1175" i="1"/>
  <c r="J1176" i="1" a="1"/>
  <c r="J1176" i="1" s="1"/>
  <c r="J1177" i="1" a="1"/>
  <c r="J1177" i="1"/>
  <c r="J1178" i="1" a="1"/>
  <c r="J1178" i="1"/>
  <c r="J1179" i="1" a="1"/>
  <c r="J1179" i="1"/>
  <c r="J1180" i="1" a="1"/>
  <c r="J1180" i="1" s="1"/>
  <c r="J1181" i="1" a="1"/>
  <c r="J1181" i="1"/>
  <c r="J1182" i="1" a="1"/>
  <c r="J1182" i="1"/>
  <c r="J1183" i="1" a="1"/>
  <c r="J1183" i="1"/>
  <c r="J1184" i="1" a="1"/>
  <c r="J1184" i="1" s="1"/>
  <c r="J1185" i="1" a="1"/>
  <c r="J1185" i="1"/>
  <c r="J1186" i="1" a="1"/>
  <c r="J1186" i="1"/>
  <c r="J1187" i="1" a="1"/>
  <c r="J1187" i="1"/>
  <c r="J1188" i="1" a="1"/>
  <c r="J1188" i="1" s="1"/>
  <c r="J1189" i="1" a="1"/>
  <c r="J1189" i="1"/>
  <c r="J1190" i="1" a="1"/>
  <c r="J1190" i="1"/>
  <c r="J1191" i="1" a="1"/>
  <c r="J1191" i="1"/>
  <c r="J1192" i="1" a="1"/>
  <c r="J1192" i="1" s="1"/>
  <c r="J1193" i="1" a="1"/>
  <c r="J1193" i="1"/>
  <c r="J1194" i="1" a="1"/>
  <c r="J1194" i="1"/>
  <c r="J1195" i="1" a="1"/>
  <c r="J1195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D1209" i="1"/>
  <c r="B1209" i="1"/>
  <c r="B1208" i="1"/>
  <c r="D1207" i="1"/>
  <c r="B1207" i="1"/>
  <c r="D1206" i="1"/>
  <c r="B1206" i="1"/>
  <c r="B1204" i="1"/>
  <c r="B1205" i="1" s="1"/>
  <c r="B1203" i="1"/>
  <c r="D1202" i="1"/>
  <c r="B1202" i="1"/>
  <c r="D1201" i="1"/>
  <c r="D1200" i="1"/>
  <c r="D1199" i="1"/>
  <c r="D1198" i="1"/>
  <c r="B1201" i="1"/>
  <c r="B1200" i="1"/>
  <c r="B1199" i="1"/>
  <c r="B119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<sst xmlns="http://schemas.openxmlformats.org/spreadsheetml/2006/main" count="7325" uniqueCount="905">
  <si>
    <t>Order Date</t>
  </si>
  <si>
    <t>CustomerName</t>
  </si>
  <si>
    <t>David Padilla</t>
  </si>
  <si>
    <t>Connor Morgan</t>
  </si>
  <si>
    <t>Robert Stone</t>
  </si>
  <si>
    <t>John Fields</t>
  </si>
  <si>
    <t>Clayton Smith</t>
  </si>
  <si>
    <t>Richard Kelley</t>
  </si>
  <si>
    <t>Jacqueline Hubbard</t>
  </si>
  <si>
    <t>Jessica Anderson</t>
  </si>
  <si>
    <t>Mary Taylor</t>
  </si>
  <si>
    <t>Walter Crawford</t>
  </si>
  <si>
    <t>Lawrence Robinson</t>
  </si>
  <si>
    <t>Douglas Pennington</t>
  </si>
  <si>
    <t>Ricardo Andrews</t>
  </si>
  <si>
    <t>Paul Raymond</t>
  </si>
  <si>
    <t>Karen Johnson</t>
  </si>
  <si>
    <t>Juan Erickson</t>
  </si>
  <si>
    <t>Alexander Reed</t>
  </si>
  <si>
    <t>Jacqueline Harris</t>
  </si>
  <si>
    <t>Tyler Park</t>
  </si>
  <si>
    <t>Richard Wolfe</t>
  </si>
  <si>
    <t>Sierra Rios</t>
  </si>
  <si>
    <t>Jessica Richardson</t>
  </si>
  <si>
    <t>Kimberly Warren</t>
  </si>
  <si>
    <t>Casey Garcia</t>
  </si>
  <si>
    <t>Denise Hampton</t>
  </si>
  <si>
    <t>Justin Rodriguez</t>
  </si>
  <si>
    <t>Ms. Emily Baxter</t>
  </si>
  <si>
    <t>Austin White</t>
  </si>
  <si>
    <t>Morgan Montes</t>
  </si>
  <si>
    <t>Christine Mosley</t>
  </si>
  <si>
    <t>Ashley Rodriguez</t>
  </si>
  <si>
    <t>Elizabeth King</t>
  </si>
  <si>
    <t>Connie Holmes</t>
  </si>
  <si>
    <t>Melissa Peck</t>
  </si>
  <si>
    <t>David Smith</t>
  </si>
  <si>
    <t>Heather Jenkins</t>
  </si>
  <si>
    <t>Kelsey Castaneda</t>
  </si>
  <si>
    <t>Katherine Harris</t>
  </si>
  <si>
    <t>Paul Rogers</t>
  </si>
  <si>
    <t>Jon Banks</t>
  </si>
  <si>
    <t>Michelle Williams</t>
  </si>
  <si>
    <t>Andrew Allen</t>
  </si>
  <si>
    <t>Vanessa Bauer</t>
  </si>
  <si>
    <t>Sean Smith</t>
  </si>
  <si>
    <t>Shelly Sweeney</t>
  </si>
  <si>
    <t>Emily Gill</t>
  </si>
  <si>
    <t>Brian Patrick</t>
  </si>
  <si>
    <t>Dr. Sarah Booth</t>
  </si>
  <si>
    <t>Douglas Mcfarland</t>
  </si>
  <si>
    <t>Kayla Ross</t>
  </si>
  <si>
    <t>Marc Strickland</t>
  </si>
  <si>
    <t>Charlene Brown</t>
  </si>
  <si>
    <t>Charles Smith</t>
  </si>
  <si>
    <t>Karen Townsend</t>
  </si>
  <si>
    <t>Steven Cox</t>
  </si>
  <si>
    <t>Cynthia Rodriguez</t>
  </si>
  <si>
    <t>Jessica Baker</t>
  </si>
  <si>
    <t>Mark Blackburn</t>
  </si>
  <si>
    <t>Zachary Perez</t>
  </si>
  <si>
    <t>Brian Green</t>
  </si>
  <si>
    <t>Becky Leach</t>
  </si>
  <si>
    <t>Bryan Russell</t>
  </si>
  <si>
    <t>Tony Maddox</t>
  </si>
  <si>
    <t>Jason Randolph</t>
  </si>
  <si>
    <t>Laura Andrews</t>
  </si>
  <si>
    <t>Mrs. Stephanie Hooper</t>
  </si>
  <si>
    <t>Anthony Evans</t>
  </si>
  <si>
    <t>Patrick Williams</t>
  </si>
  <si>
    <t>Susan Burke</t>
  </si>
  <si>
    <t>Brent Hernandez</t>
  </si>
  <si>
    <t>Sean Elliott</t>
  </si>
  <si>
    <t>Wanda West</t>
  </si>
  <si>
    <t>Renee Solomon</t>
  </si>
  <si>
    <t>Daryl Miles</t>
  </si>
  <si>
    <t>Michael Hunt</t>
  </si>
  <si>
    <t>Adam Clark</t>
  </si>
  <si>
    <t>Amy Olsen</t>
  </si>
  <si>
    <t>Stacey Miller</t>
  </si>
  <si>
    <t>Daniel Mosley</t>
  </si>
  <si>
    <t>Monica Gibson</t>
  </si>
  <si>
    <t>Christopher Jordan</t>
  </si>
  <si>
    <t>Christina Davis</t>
  </si>
  <si>
    <t>Claudia Curry</t>
  </si>
  <si>
    <t>Brandon Anderson</t>
  </si>
  <si>
    <t>George Foster</t>
  </si>
  <si>
    <t>Nicholas Anderson</t>
  </si>
  <si>
    <t>Emily Ellison</t>
  </si>
  <si>
    <t>Darren Perez</t>
  </si>
  <si>
    <t>Michelle Hunter</t>
  </si>
  <si>
    <t>Janet Guerrero</t>
  </si>
  <si>
    <t>Jeffrey Kline</t>
  </si>
  <si>
    <t>Ryan Bullock</t>
  </si>
  <si>
    <t>Tom Lawson</t>
  </si>
  <si>
    <t>Rebecca Smith</t>
  </si>
  <si>
    <t>William Welch</t>
  </si>
  <si>
    <t>Mr. Curtis Bailey</t>
  </si>
  <si>
    <t>Janet Carlson</t>
  </si>
  <si>
    <t>Spencer Spears</t>
  </si>
  <si>
    <t>Jeffrey Middleton</t>
  </si>
  <si>
    <t>Veronica Kelley</t>
  </si>
  <si>
    <t>Leslie Bean</t>
  </si>
  <si>
    <t>Amy Wilson</t>
  </si>
  <si>
    <t>Susan Ramirez</t>
  </si>
  <si>
    <t>Jacob Meyer</t>
  </si>
  <si>
    <t>Scott Lewis</t>
  </si>
  <si>
    <t>Eric Griffith</t>
  </si>
  <si>
    <t>Anna Ferguson</t>
  </si>
  <si>
    <t>David Figueroa</t>
  </si>
  <si>
    <t>Theresa Medina</t>
  </si>
  <si>
    <t>Mary Smith</t>
  </si>
  <si>
    <t>Lance Cain</t>
  </si>
  <si>
    <t>Alexandra Moran</t>
  </si>
  <si>
    <t>Sara Castro</t>
  </si>
  <si>
    <t>Shawn Leach</t>
  </si>
  <si>
    <t>Mark Boyle</t>
  </si>
  <si>
    <t>John Stevens</t>
  </si>
  <si>
    <t>Lisa Graham</t>
  </si>
  <si>
    <t>Nancy Jones</t>
  </si>
  <si>
    <t>Darryl Robbins</t>
  </si>
  <si>
    <t>Kimberly Smith</t>
  </si>
  <si>
    <t>Maria Thomas</t>
  </si>
  <si>
    <t>Nicholas Johnson</t>
  </si>
  <si>
    <t>Dawn Howard</t>
  </si>
  <si>
    <t>Jennifer Marshall</t>
  </si>
  <si>
    <t>Frank Garcia</t>
  </si>
  <si>
    <t>Terri Madden</t>
  </si>
  <si>
    <t>James Gutierrez</t>
  </si>
  <si>
    <t>Morgan Sellers</t>
  </si>
  <si>
    <t>Caitlin Thomas</t>
  </si>
  <si>
    <t>Kimberly Greene</t>
  </si>
  <si>
    <t>Tammy Anthony</t>
  </si>
  <si>
    <t>Jennifer Chase</t>
  </si>
  <si>
    <t>Cassandra Farley</t>
  </si>
  <si>
    <t>Justin Vasquez</t>
  </si>
  <si>
    <t>Melissa Morales</t>
  </si>
  <si>
    <t>Tyler Thompson</t>
  </si>
  <si>
    <t>Heidi Davis</t>
  </si>
  <si>
    <t>Charles Lane</t>
  </si>
  <si>
    <t>Joyce Good MD</t>
  </si>
  <si>
    <t>Maria Miller</t>
  </si>
  <si>
    <t>Terry Mcdaniel</t>
  </si>
  <si>
    <t>Lisa Jacobs</t>
  </si>
  <si>
    <t>Jeff Duncan</t>
  </si>
  <si>
    <t>Pamela Jones</t>
  </si>
  <si>
    <t>Renee Robinson</t>
  </si>
  <si>
    <t>Jessica Kidd</t>
  </si>
  <si>
    <t>Nicholas Martin</t>
  </si>
  <si>
    <t>David Brown</t>
  </si>
  <si>
    <t>Amber Moore</t>
  </si>
  <si>
    <t>James Williams</t>
  </si>
  <si>
    <t>Karina Barr</t>
  </si>
  <si>
    <t>Meghan Rush</t>
  </si>
  <si>
    <t>Bianca Brown</t>
  </si>
  <si>
    <t>Timothy Jensen</t>
  </si>
  <si>
    <t>Melinda Montoya</t>
  </si>
  <si>
    <t>Tammy Bell</t>
  </si>
  <si>
    <t>Connie Richards</t>
  </si>
  <si>
    <t>Peter Ward</t>
  </si>
  <si>
    <t>Jonathan Alvarez</t>
  </si>
  <si>
    <t>Becky Hodges</t>
  </si>
  <si>
    <t>Larry Hill</t>
  </si>
  <si>
    <t>Amber Moon</t>
  </si>
  <si>
    <t>Cynthia Wilcox</t>
  </si>
  <si>
    <t>Rebecca Wright</t>
  </si>
  <si>
    <t>Sarah Flores</t>
  </si>
  <si>
    <t>Carol Norman</t>
  </si>
  <si>
    <t>Stephanie Gardner</t>
  </si>
  <si>
    <t>Philip Baker</t>
  </si>
  <si>
    <t>Randall Dennis</t>
  </si>
  <si>
    <t>Suzanne Cross</t>
  </si>
  <si>
    <t>Jasmine Delgado</t>
  </si>
  <si>
    <t>Kristen Harper</t>
  </si>
  <si>
    <t>Kaitlyn Graham MD</t>
  </si>
  <si>
    <t>Dean Avila</t>
  </si>
  <si>
    <t>Megan Mack</t>
  </si>
  <si>
    <t>Heather Johnson</t>
  </si>
  <si>
    <t>Tina Davies</t>
  </si>
  <si>
    <t>Matthew Harris</t>
  </si>
  <si>
    <t>Christopher Kirk</t>
  </si>
  <si>
    <t>Eric Stevens</t>
  </si>
  <si>
    <t>James Dickerson</t>
  </si>
  <si>
    <t>James Jones</t>
  </si>
  <si>
    <t>Hannah Hendricks</t>
  </si>
  <si>
    <t>Brett Mullins</t>
  </si>
  <si>
    <t>Ms. Kim Jordan</t>
  </si>
  <si>
    <t>Marcus Santiago</t>
  </si>
  <si>
    <t>Jill Perez</t>
  </si>
  <si>
    <t>Courtney Williams</t>
  </si>
  <si>
    <t>Jordan Hahn</t>
  </si>
  <si>
    <t>William Cook</t>
  </si>
  <si>
    <t>Stephanie Hayes</t>
  </si>
  <si>
    <t>Melissa Wise</t>
  </si>
  <si>
    <t>Elizabeth Gonzalez</t>
  </si>
  <si>
    <t>Mr. Eric Lopez</t>
  </si>
  <si>
    <t>Benjamin Higgins</t>
  </si>
  <si>
    <t>Brett Sutton</t>
  </si>
  <si>
    <t>Anna Blackburn</t>
  </si>
  <si>
    <t>Michelle Bailey</t>
  </si>
  <si>
    <t>Sara Peterson</t>
  </si>
  <si>
    <t>Katherine Williams</t>
  </si>
  <si>
    <t>Cory Evans</t>
  </si>
  <si>
    <t>Michael Rodriguez</t>
  </si>
  <si>
    <t>John Munoz</t>
  </si>
  <si>
    <t>David Clark</t>
  </si>
  <si>
    <t>April Welch</t>
  </si>
  <si>
    <t>Alan Livingston</t>
  </si>
  <si>
    <t>Angela Jackson</t>
  </si>
  <si>
    <t>Amy Williams</t>
  </si>
  <si>
    <t>Laura Jordan</t>
  </si>
  <si>
    <t>Richard Maynard</t>
  </si>
  <si>
    <t>Lawrence Oliver</t>
  </si>
  <si>
    <t>Anthony Williams</t>
  </si>
  <si>
    <t>Lynn Matthews</t>
  </si>
  <si>
    <t>Andrew Griffin</t>
  </si>
  <si>
    <t>Megan Williams</t>
  </si>
  <si>
    <t>Alison Martin</t>
  </si>
  <si>
    <t>Samuel Wallace</t>
  </si>
  <si>
    <t>Manuel Stark</t>
  </si>
  <si>
    <t>William Villarreal</t>
  </si>
  <si>
    <t>Brandon Kirk</t>
  </si>
  <si>
    <t>Abigail Brown</t>
  </si>
  <si>
    <t>Kristine Carter</t>
  </si>
  <si>
    <t>Wesley Deleon</t>
  </si>
  <si>
    <t>Laura Cole</t>
  </si>
  <si>
    <t>Lauren Harris</t>
  </si>
  <si>
    <t>Cameron Miller</t>
  </si>
  <si>
    <t>Jacob Carpenter</t>
  </si>
  <si>
    <t>Pamela Callahan DVM</t>
  </si>
  <si>
    <t>William Ruiz</t>
  </si>
  <si>
    <t>Paula Marshall</t>
  </si>
  <si>
    <t>Natalie Cox</t>
  </si>
  <si>
    <t>Andrew Fernandez</t>
  </si>
  <si>
    <t>Alisha Saunders</t>
  </si>
  <si>
    <t>Travis Chandler DDS</t>
  </si>
  <si>
    <t>Russell Austin</t>
  </si>
  <si>
    <t>Collin Cameron</t>
  </si>
  <si>
    <t>Elizabeth Hernandez</t>
  </si>
  <si>
    <t>William Russell</t>
  </si>
  <si>
    <t>Sheri Berg</t>
  </si>
  <si>
    <t>Anthony Barnett</t>
  </si>
  <si>
    <t>Kaitlyn Flores</t>
  </si>
  <si>
    <t>Rebecca Owen</t>
  </si>
  <si>
    <t>Michael Bell</t>
  </si>
  <si>
    <t>Willie Huynh</t>
  </si>
  <si>
    <t>Samuel Hayes</t>
  </si>
  <si>
    <t>Sherry Tran</t>
  </si>
  <si>
    <t>Heather Gray</t>
  </si>
  <si>
    <t>Benjamin Meadows</t>
  </si>
  <si>
    <t>Micheal Graham</t>
  </si>
  <si>
    <t>Jean Jackson</t>
  </si>
  <si>
    <t>Timothy Murphy</t>
  </si>
  <si>
    <t>Mrs. Jennifer Lewis</t>
  </si>
  <si>
    <t>Bryan Brown</t>
  </si>
  <si>
    <t>Christopher Johnson</t>
  </si>
  <si>
    <t>Christina Conner</t>
  </si>
  <si>
    <t>Luis Luna</t>
  </si>
  <si>
    <t>Julie Chavez</t>
  </si>
  <si>
    <t>Richard Blair</t>
  </si>
  <si>
    <t>Mitchell Lester</t>
  </si>
  <si>
    <t>Mr. John Tyler PhD</t>
  </si>
  <si>
    <t>Juan Kelly</t>
  </si>
  <si>
    <t>Morgan Mccarthy</t>
  </si>
  <si>
    <t>Morgan Sullivan</t>
  </si>
  <si>
    <t>Eric Clark</t>
  </si>
  <si>
    <t>Mark Padilla</t>
  </si>
  <si>
    <t>Anthony Lane</t>
  </si>
  <si>
    <t>Jeffrey Henderson</t>
  </si>
  <si>
    <t>Michelle Hardy</t>
  </si>
  <si>
    <t>Ms. Barbara Cervantes</t>
  </si>
  <si>
    <t>Steven Proctor</t>
  </si>
  <si>
    <t>Shannon Patterson</t>
  </si>
  <si>
    <t>William Valdez</t>
  </si>
  <si>
    <t>Laura Yu</t>
  </si>
  <si>
    <t>Jonathan Mcmillan</t>
  </si>
  <si>
    <t>Austin Davis</t>
  </si>
  <si>
    <t>Mark Roy</t>
  </si>
  <si>
    <t>Jillian Williams</t>
  </si>
  <si>
    <t>Rebekah Carter</t>
  </si>
  <si>
    <t>Jonathan Reed</t>
  </si>
  <si>
    <t>Roger Harris</t>
  </si>
  <si>
    <t>Louis Jimenez</t>
  </si>
  <si>
    <t>Jessica Jones</t>
  </si>
  <si>
    <t>Renee Gomez</t>
  </si>
  <si>
    <t>Connie Olson</t>
  </si>
  <si>
    <t>Christian Jones</t>
  </si>
  <si>
    <t>Matthew Kelley</t>
  </si>
  <si>
    <t>Candace Martinez</t>
  </si>
  <si>
    <t>Jacob Mann</t>
  </si>
  <si>
    <t>Keith Reese</t>
  </si>
  <si>
    <t>Aaron Jones</t>
  </si>
  <si>
    <t>Christopher Brooks</t>
  </si>
  <si>
    <t>Charles Moore</t>
  </si>
  <si>
    <t>Manuel Walls</t>
  </si>
  <si>
    <t>Darren Moore</t>
  </si>
  <si>
    <t>Stephanie Thomas</t>
  </si>
  <si>
    <t>Kristy Hernandez</t>
  </si>
  <si>
    <t>Randy Johnson</t>
  </si>
  <si>
    <t>James Benitez</t>
  </si>
  <si>
    <t>Donald York</t>
  </si>
  <si>
    <t>Tiffany Parker</t>
  </si>
  <si>
    <t>Melissa Mcknight</t>
  </si>
  <si>
    <t>Mr. Jack Mercado</t>
  </si>
  <si>
    <t>Rachel Fisher</t>
  </si>
  <si>
    <t>Donald Moore</t>
  </si>
  <si>
    <t>William Wu</t>
  </si>
  <si>
    <t>Jesus Zuniga</t>
  </si>
  <si>
    <t>Michael Gallegos</t>
  </si>
  <si>
    <t>Robert Daniels</t>
  </si>
  <si>
    <t>Jill Jones</t>
  </si>
  <si>
    <t>Elizabeth Miller</t>
  </si>
  <si>
    <t>Sabrina Clark</t>
  </si>
  <si>
    <t>Larry Casey</t>
  </si>
  <si>
    <t>Daniel Burns</t>
  </si>
  <si>
    <t>James Tanner</t>
  </si>
  <si>
    <t>Leonard Gonzalez</t>
  </si>
  <si>
    <t>Richard Lee</t>
  </si>
  <si>
    <t>Matthew Schroeder</t>
  </si>
  <si>
    <t>Marcus Flores</t>
  </si>
  <si>
    <t>Tonya Long</t>
  </si>
  <si>
    <t>Michael Chambers</t>
  </si>
  <si>
    <t>Kaylee Glover</t>
  </si>
  <si>
    <t>Pamela Patterson</t>
  </si>
  <si>
    <t>Ronald Mckinney</t>
  </si>
  <si>
    <t>James Hart</t>
  </si>
  <si>
    <t>Rhonda Harris</t>
  </si>
  <si>
    <t>Randy Fisher</t>
  </si>
  <si>
    <t>James Hernandez</t>
  </si>
  <si>
    <t>Brenda Murphy</t>
  </si>
  <si>
    <t>Andrew Kirby</t>
  </si>
  <si>
    <t>Justin Thomas</t>
  </si>
  <si>
    <t>Jillian Johnson MD</t>
  </si>
  <si>
    <t>William Martin</t>
  </si>
  <si>
    <t>Mark Dixon</t>
  </si>
  <si>
    <t>Alicia Allen</t>
  </si>
  <si>
    <t>Cynthia Meyer</t>
  </si>
  <si>
    <t>Brandon Norton</t>
  </si>
  <si>
    <t>Christina Scott</t>
  </si>
  <si>
    <t>Andrew Macias</t>
  </si>
  <si>
    <t>Alejandro Williams</t>
  </si>
  <si>
    <t>Mark Rodriguez</t>
  </si>
  <si>
    <t>Sarah Montgomery</t>
  </si>
  <si>
    <t>Marisa Prince</t>
  </si>
  <si>
    <t>James Bonilla</t>
  </si>
  <si>
    <t>Robin Myers</t>
  </si>
  <si>
    <t>Nancy Sanchez</t>
  </si>
  <si>
    <t>Sydney Walls</t>
  </si>
  <si>
    <t>Deborah Hoffman</t>
  </si>
  <si>
    <t>Shane Clark</t>
  </si>
  <si>
    <t>Steven Haynes</t>
  </si>
  <si>
    <t>Kimberly Fuller</t>
  </si>
  <si>
    <t>Angela Lyons</t>
  </si>
  <si>
    <t>Betty Tucker</t>
  </si>
  <si>
    <t>Brianna Hunt</t>
  </si>
  <si>
    <t>Cathy Clark</t>
  </si>
  <si>
    <t>Nicole Warren</t>
  </si>
  <si>
    <t>Richard Castaneda</t>
  </si>
  <si>
    <t>Sarah Torres</t>
  </si>
  <si>
    <t>Vanessa Deleon</t>
  </si>
  <si>
    <t>Richard Lyons</t>
  </si>
  <si>
    <t>Eric Adams</t>
  </si>
  <si>
    <t>Chad Brown</t>
  </si>
  <si>
    <t>Kayla Becker</t>
  </si>
  <si>
    <t>Ashley Freeman</t>
  </si>
  <si>
    <t>Scott Harris</t>
  </si>
  <si>
    <t>John James</t>
  </si>
  <si>
    <t>Jesse Bond</t>
  </si>
  <si>
    <t>Brandon Hughes</t>
  </si>
  <si>
    <t>Lynn Reynolds</t>
  </si>
  <si>
    <t>Ronald Good</t>
  </si>
  <si>
    <t>Kyle Baker</t>
  </si>
  <si>
    <t>Michael Rivera</t>
  </si>
  <si>
    <t>Lori Adkins</t>
  </si>
  <si>
    <t>Luis Warner</t>
  </si>
  <si>
    <t>Donald Perry</t>
  </si>
  <si>
    <t>Adam Stevens</t>
  </si>
  <si>
    <t>Kimberly Johnson</t>
  </si>
  <si>
    <t>Kelly Jones</t>
  </si>
  <si>
    <t>Ashley Petty</t>
  </si>
  <si>
    <t>Crystal Ross</t>
  </si>
  <si>
    <t>Alexis Duffy</t>
  </si>
  <si>
    <t>Stephanie Sanchez</t>
  </si>
  <si>
    <t>Reginald Espinoza</t>
  </si>
  <si>
    <t>Sandra Hicks</t>
  </si>
  <si>
    <t>Olivia Orozco</t>
  </si>
  <si>
    <t>Larry Moore</t>
  </si>
  <si>
    <t>Mrs. Rachel Cannon DDS</t>
  </si>
  <si>
    <t>Daniel Flowers</t>
  </si>
  <si>
    <t>Randy Acosta</t>
  </si>
  <si>
    <t>Deborah Williams</t>
  </si>
  <si>
    <t>Robert Michael</t>
  </si>
  <si>
    <t>Danny Ramirez</t>
  </si>
  <si>
    <t>Stephen Baker</t>
  </si>
  <si>
    <t>Jeffrey Wilcox</t>
  </si>
  <si>
    <t>James Clarke</t>
  </si>
  <si>
    <t>Julia Gallagher</t>
  </si>
  <si>
    <t>Ronald Frey Jr.</t>
  </si>
  <si>
    <t>Megan Charles</t>
  </si>
  <si>
    <t>Amy Duran MD</t>
  </si>
  <si>
    <t>Christopher Thomas</t>
  </si>
  <si>
    <t>Peter Castro</t>
  </si>
  <si>
    <t>Steven Acosta</t>
  </si>
  <si>
    <t>Lindsay Jackson</t>
  </si>
  <si>
    <t>Kelly Smith</t>
  </si>
  <si>
    <t>Sabrina Hartman</t>
  </si>
  <si>
    <t>Cynthia Smith</t>
  </si>
  <si>
    <t>Olivia Dickerson</t>
  </si>
  <si>
    <t>Whitney Stout</t>
  </si>
  <si>
    <t>Stephanie Flores</t>
  </si>
  <si>
    <t>Gregory English</t>
  </si>
  <si>
    <t>Natalie Maxwell</t>
  </si>
  <si>
    <t>Tina Blake</t>
  </si>
  <si>
    <t>Clarence Cooke</t>
  </si>
  <si>
    <t>Tamara Guzman</t>
  </si>
  <si>
    <t>Marissa Hartman</t>
  </si>
  <si>
    <t>Sara Garcia</t>
  </si>
  <si>
    <t>Kathryn Rogers</t>
  </si>
  <si>
    <t>Kyle Dickson</t>
  </si>
  <si>
    <t>Jacob Decker</t>
  </si>
  <si>
    <t>Aaron Johnson</t>
  </si>
  <si>
    <t>William Morse</t>
  </si>
  <si>
    <t>Carrie Smith</t>
  </si>
  <si>
    <t>Vincent Roth</t>
  </si>
  <si>
    <t>Andrew Benson</t>
  </si>
  <si>
    <t>Jason Wilson</t>
  </si>
  <si>
    <t>Colin Patterson</t>
  </si>
  <si>
    <t>Eric Bates</t>
  </si>
  <si>
    <t>Steven Keith</t>
  </si>
  <si>
    <t>Seth Rodriguez</t>
  </si>
  <si>
    <t>Lauren Jones</t>
  </si>
  <si>
    <t>Thomas Wallace</t>
  </si>
  <si>
    <t>Mr. Daniel Wilson</t>
  </si>
  <si>
    <t>Julie Smith MD</t>
  </si>
  <si>
    <t>Carol Mitchell</t>
  </si>
  <si>
    <t>John Thompson</t>
  </si>
  <si>
    <t>Debra Rodriguez</t>
  </si>
  <si>
    <t>Erin Vasquez</t>
  </si>
  <si>
    <t>Clayton Lara</t>
  </si>
  <si>
    <t>Tony Ray</t>
  </si>
  <si>
    <t>Steven Frey</t>
  </si>
  <si>
    <t>Stephanie Leonard</t>
  </si>
  <si>
    <t>Crystal Chambers</t>
  </si>
  <si>
    <t>Robert White</t>
  </si>
  <si>
    <t>Sylvia Barron</t>
  </si>
  <si>
    <t>Marcus Brown</t>
  </si>
  <si>
    <t>Annette Pierce</t>
  </si>
  <si>
    <t>Donald Hernandez</t>
  </si>
  <si>
    <t>Megan Davis</t>
  </si>
  <si>
    <t>Robert Brooks</t>
  </si>
  <si>
    <t>Miguel Alvarez</t>
  </si>
  <si>
    <t>Jennifer Arnold</t>
  </si>
  <si>
    <t>Jessica Blankenship</t>
  </si>
  <si>
    <t>Peggy Campos</t>
  </si>
  <si>
    <t>Craig Ortega</t>
  </si>
  <si>
    <t>Johnny Simon</t>
  </si>
  <si>
    <t>Keith Brooks</t>
  </si>
  <si>
    <t>Jason Martinez</t>
  </si>
  <si>
    <t>Steven Herrera</t>
  </si>
  <si>
    <t>Beverly Lamb</t>
  </si>
  <si>
    <t>Michael Williams</t>
  </si>
  <si>
    <t>Zachary Carpenter</t>
  </si>
  <si>
    <t>Timothy Baker</t>
  </si>
  <si>
    <t>Adam James</t>
  </si>
  <si>
    <t>Katrina Wood</t>
  </si>
  <si>
    <t>James Murray</t>
  </si>
  <si>
    <t>Mr. Nathaniel Reeves</t>
  </si>
  <si>
    <t>Jodi Wood</t>
  </si>
  <si>
    <t>Dr. Thomas Peterson</t>
  </si>
  <si>
    <t>Mario Hall</t>
  </si>
  <si>
    <t>Justin Rosales</t>
  </si>
  <si>
    <t>Autumn Lee</t>
  </si>
  <si>
    <t>Victoria Duran</t>
  </si>
  <si>
    <t>Barry Garcia</t>
  </si>
  <si>
    <t>Dawn Webb</t>
  </si>
  <si>
    <t>Patricia Sanford</t>
  </si>
  <si>
    <t>William Walters</t>
  </si>
  <si>
    <t>Emma Scott</t>
  </si>
  <si>
    <t>Sabrina Buckley</t>
  </si>
  <si>
    <t>Robert Rojas</t>
  </si>
  <si>
    <t>Eric Johnson</t>
  </si>
  <si>
    <t>Heather Parker</t>
  </si>
  <si>
    <t>Thomas Matthews</t>
  </si>
  <si>
    <t>Kimberly Beard</t>
  </si>
  <si>
    <t>Lydia Donovan</t>
  </si>
  <si>
    <t>Edward Johnson</t>
  </si>
  <si>
    <t>Ricky Smith</t>
  </si>
  <si>
    <t>Mr. Ralph Garcia Jr.</t>
  </si>
  <si>
    <t>Malik Walker</t>
  </si>
  <si>
    <t>Tanya Walker</t>
  </si>
  <si>
    <t>Sherri Ferguson DVM</t>
  </si>
  <si>
    <t>Kristin Hart</t>
  </si>
  <si>
    <t>Jim Johnson</t>
  </si>
  <si>
    <t>David Hamilton</t>
  </si>
  <si>
    <t>Michael Jimenez</t>
  </si>
  <si>
    <t>Angela Norman</t>
  </si>
  <si>
    <t>Denise Mcdaniel</t>
  </si>
  <si>
    <t>Matthew Huff</t>
  </si>
  <si>
    <t>Linda Little</t>
  </si>
  <si>
    <t>Kerri Andrews</t>
  </si>
  <si>
    <t>Jeffrey Johnson III</t>
  </si>
  <si>
    <t>Daniel Dixon</t>
  </si>
  <si>
    <t>Tiffany Robinson</t>
  </si>
  <si>
    <t>Mr. Gregg Sawyer</t>
  </si>
  <si>
    <t>John Silva</t>
  </si>
  <si>
    <t>Nathan Moss</t>
  </si>
  <si>
    <t>Donald Medina</t>
  </si>
  <si>
    <t>Charles Henderson</t>
  </si>
  <si>
    <t>Brenda Davis</t>
  </si>
  <si>
    <t>Leah Calderon</t>
  </si>
  <si>
    <t>Brandi Vasquez</t>
  </si>
  <si>
    <t>Debra Richards</t>
  </si>
  <si>
    <t>Tammy Day</t>
  </si>
  <si>
    <t>Sheila Clay</t>
  </si>
  <si>
    <t>Nicholas Flores</t>
  </si>
  <si>
    <t>Jasmin Jones</t>
  </si>
  <si>
    <t>Matthew Gardner</t>
  </si>
  <si>
    <t>Joseph Perkins</t>
  </si>
  <si>
    <t>Ashley Adams MD</t>
  </si>
  <si>
    <t>Cheryl Stevens</t>
  </si>
  <si>
    <t>Jorge George</t>
  </si>
  <si>
    <t>Ann Mooney</t>
  </si>
  <si>
    <t>James Mendoza</t>
  </si>
  <si>
    <t>Kaitlin Garrison</t>
  </si>
  <si>
    <t>Jeremy Jackson</t>
  </si>
  <si>
    <t>Dale Craig</t>
  </si>
  <si>
    <t>Joseph Hooper</t>
  </si>
  <si>
    <t>Alexander Adams</t>
  </si>
  <si>
    <t>Ashlee Mills</t>
  </si>
  <si>
    <t>Brittany Jenkins</t>
  </si>
  <si>
    <t>Eddie Gonzales</t>
  </si>
  <si>
    <t>Edward Valencia</t>
  </si>
  <si>
    <t>Emma Bruce</t>
  </si>
  <si>
    <t>Carl Wade DDS</t>
  </si>
  <si>
    <t>Brandon Alvarado</t>
  </si>
  <si>
    <t>Jennifer Clark</t>
  </si>
  <si>
    <t>David Johnson</t>
  </si>
  <si>
    <t>April Marquez</t>
  </si>
  <si>
    <t>Joseph Guerrero</t>
  </si>
  <si>
    <t>Michael Hanson</t>
  </si>
  <si>
    <t>William Hill</t>
  </si>
  <si>
    <t>Kelsey Huber</t>
  </si>
  <si>
    <t>Hailey Chandler</t>
  </si>
  <si>
    <t>Cheyenne Rose</t>
  </si>
  <si>
    <t>Richard Petersen</t>
  </si>
  <si>
    <t>Kathryn Gray</t>
  </si>
  <si>
    <t>Victor Collins</t>
  </si>
  <si>
    <t>Jason Hernandez</t>
  </si>
  <si>
    <t>Jacob Torres</t>
  </si>
  <si>
    <t>Erin Hernandez</t>
  </si>
  <si>
    <t>Jacob Guzman</t>
  </si>
  <si>
    <t>Mike Armstrong</t>
  </si>
  <si>
    <t>Cindy Rowland</t>
  </si>
  <si>
    <t>Kenneth Matthews</t>
  </si>
  <si>
    <t>Susan Valdez</t>
  </si>
  <si>
    <t>Stephanie Manning</t>
  </si>
  <si>
    <t>Logan Galloway</t>
  </si>
  <si>
    <t>Christopher Stone</t>
  </si>
  <si>
    <t>Megan Pitts</t>
  </si>
  <si>
    <t>Richard Gardner</t>
  </si>
  <si>
    <t>Samuel Moore</t>
  </si>
  <si>
    <t>Robert Stokes</t>
  </si>
  <si>
    <t>Danielle Ramirez</t>
  </si>
  <si>
    <t>Taylor White</t>
  </si>
  <si>
    <t>Jordan Krause</t>
  </si>
  <si>
    <t>Kimberly King</t>
  </si>
  <si>
    <t>Sharon Russell</t>
  </si>
  <si>
    <t>Kevin Cooper</t>
  </si>
  <si>
    <t>Darrell Ramos</t>
  </si>
  <si>
    <t>Dr. Terry Alvarado</t>
  </si>
  <si>
    <t>Kathy Wilson</t>
  </si>
  <si>
    <t>Brandon Le</t>
  </si>
  <si>
    <t>Mary Wright</t>
  </si>
  <si>
    <t>Douglas Reynolds</t>
  </si>
  <si>
    <t>Leroy Harris</t>
  </si>
  <si>
    <t>Ricardo Dixon</t>
  </si>
  <si>
    <t>Debra Smith</t>
  </si>
  <si>
    <t>Jasmine James</t>
  </si>
  <si>
    <t>Felicia Morton</t>
  </si>
  <si>
    <t>Sylvia Jenkins</t>
  </si>
  <si>
    <t>Elizabeth White</t>
  </si>
  <si>
    <t>Steven Steele</t>
  </si>
  <si>
    <t>Amanda Ramirez</t>
  </si>
  <si>
    <t>Kyle Jackson</t>
  </si>
  <si>
    <t>Sharon Wilkins</t>
  </si>
  <si>
    <t>Austin Hammond</t>
  </si>
  <si>
    <t>Jessica Barajas</t>
  </si>
  <si>
    <t>Jamie Jimenez</t>
  </si>
  <si>
    <t>James Carter</t>
  </si>
  <si>
    <t>John Williams</t>
  </si>
  <si>
    <t>Alicia Oneill</t>
  </si>
  <si>
    <t>Rebecca Huff</t>
  </si>
  <si>
    <t>Diana Scott</t>
  </si>
  <si>
    <t>Brian Young</t>
  </si>
  <si>
    <t>Susan Wright</t>
  </si>
  <si>
    <t>Kayla Banks</t>
  </si>
  <si>
    <t>Zachary Pierce</t>
  </si>
  <si>
    <t>Nicolas Owen</t>
  </si>
  <si>
    <t>Martha Carney</t>
  </si>
  <si>
    <t>Francisco Hicks</t>
  </si>
  <si>
    <t>Matthew Parker</t>
  </si>
  <si>
    <t>Paul Bryant</t>
  </si>
  <si>
    <t>Bruce Dennis</t>
  </si>
  <si>
    <t>Joseph Bates</t>
  </si>
  <si>
    <t>Kelly Pacheco</t>
  </si>
  <si>
    <t>Jeffrey Weber</t>
  </si>
  <si>
    <t>Andrew Krueger</t>
  </si>
  <si>
    <t>Kathleen Cox</t>
  </si>
  <si>
    <t>Jamie Bradley</t>
  </si>
  <si>
    <t>Robert Martinez</t>
  </si>
  <si>
    <t>Christopher Rogers</t>
  </si>
  <si>
    <t>Roberto Parrish</t>
  </si>
  <si>
    <t>Amber Kennedy</t>
  </si>
  <si>
    <t>Maria Davis</t>
  </si>
  <si>
    <t>Terry Gilbert</t>
  </si>
  <si>
    <t>Devon Schmitt</t>
  </si>
  <si>
    <t>Robert Mosley</t>
  </si>
  <si>
    <t>Paul Scott</t>
  </si>
  <si>
    <t>Kristin Alvarez</t>
  </si>
  <si>
    <t>Kevin Jackson</t>
  </si>
  <si>
    <t>Mrs. Lauren Potter DDS</t>
  </si>
  <si>
    <t>Jason Brown</t>
  </si>
  <si>
    <t>Jamie Santos</t>
  </si>
  <si>
    <t>James Taylor</t>
  </si>
  <si>
    <t>Alicia Vincent</t>
  </si>
  <si>
    <t>Kenneth Adams</t>
  </si>
  <si>
    <t>Shelby Browning</t>
  </si>
  <si>
    <t>Johnny Hill</t>
  </si>
  <si>
    <t>Nicholas Tucker</t>
  </si>
  <si>
    <t>Theresa Cline</t>
  </si>
  <si>
    <t>Christine Wheeler</t>
  </si>
  <si>
    <t>Carlos Wells</t>
  </si>
  <si>
    <t>Randall Bell</t>
  </si>
  <si>
    <t>Kendra Mckinney</t>
  </si>
  <si>
    <t>Amanda Kim</t>
  </si>
  <si>
    <t>Megan Morgan</t>
  </si>
  <si>
    <t>Vincent Kramer</t>
  </si>
  <si>
    <t>Raymond Bean</t>
  </si>
  <si>
    <t>Reginald Hebert</t>
  </si>
  <si>
    <t>Jeremy Vazquez</t>
  </si>
  <si>
    <t>Michael Stewart</t>
  </si>
  <si>
    <t>Kevin Johnson</t>
  </si>
  <si>
    <t>Tara Hughes</t>
  </si>
  <si>
    <t>Sandra Perkins</t>
  </si>
  <si>
    <t>Heather Bell</t>
  </si>
  <si>
    <t>Nancy Boyd</t>
  </si>
  <si>
    <t>Raymond Reyes</t>
  </si>
  <si>
    <t>Cassandra Jordan</t>
  </si>
  <si>
    <t>Evelyn Harris</t>
  </si>
  <si>
    <t>Shannon Maynard</t>
  </si>
  <si>
    <t>Marie James</t>
  </si>
  <si>
    <t>Maria Carroll</t>
  </si>
  <si>
    <t>Jessica Sloan</t>
  </si>
  <si>
    <t>Scott Craig</t>
  </si>
  <si>
    <t>Kaitlin Brown</t>
  </si>
  <si>
    <t>William Beck</t>
  </si>
  <si>
    <t>Eric Mason</t>
  </si>
  <si>
    <t>Lisa Lowe</t>
  </si>
  <si>
    <t>Roy Miller</t>
  </si>
  <si>
    <t>Christopher Espinoza</t>
  </si>
  <si>
    <t>Claire Cole</t>
  </si>
  <si>
    <t>Eric Nunez</t>
  </si>
  <si>
    <t>David Bell</t>
  </si>
  <si>
    <t>Patrick Hensley MD</t>
  </si>
  <si>
    <t>John Cox</t>
  </si>
  <si>
    <t>Michelle Sullivan</t>
  </si>
  <si>
    <t>Angela Todd</t>
  </si>
  <si>
    <t>Luke Saunders</t>
  </si>
  <si>
    <t>Dr. Jennifer Benton DVM</t>
  </si>
  <si>
    <t>Keith Smith</t>
  </si>
  <si>
    <t>Danielle Mitchell</t>
  </si>
  <si>
    <t>Jesus Hernandez</t>
  </si>
  <si>
    <t>Jason Norman</t>
  </si>
  <si>
    <t>Laura Poole</t>
  </si>
  <si>
    <t>Sarah Wagner</t>
  </si>
  <si>
    <t>Bryan Baird</t>
  </si>
  <si>
    <t>Amy Thompson</t>
  </si>
  <si>
    <t>Ashley Wright</t>
  </si>
  <si>
    <t>Michelle Lynch</t>
  </si>
  <si>
    <t>Ryan Hale</t>
  </si>
  <si>
    <t>Marie Jefferson</t>
  </si>
  <si>
    <t>Vanessa Smith</t>
  </si>
  <si>
    <t>Ryan Foster</t>
  </si>
  <si>
    <t>David Lara</t>
  </si>
  <si>
    <t>Jonathan Young</t>
  </si>
  <si>
    <t>Debra Townsend</t>
  </si>
  <si>
    <t>John Thomas</t>
  </si>
  <si>
    <t>Bryan Anderson</t>
  </si>
  <si>
    <t>Sarah Miller</t>
  </si>
  <si>
    <t>Robert Hill</t>
  </si>
  <si>
    <t>Joshua Rojas</t>
  </si>
  <si>
    <t>Angelica Lewis</t>
  </si>
  <si>
    <t>Jessica Russell</t>
  </si>
  <si>
    <t>Mary Johnson</t>
  </si>
  <si>
    <t>Joseph Knight</t>
  </si>
  <si>
    <t>Jessica Greene</t>
  </si>
  <si>
    <t>Vincent Perez</t>
  </si>
  <si>
    <t>Dennis Rivera</t>
  </si>
  <si>
    <t>Nancy Keller</t>
  </si>
  <si>
    <t>Michelle Anderson</t>
  </si>
  <si>
    <t>Anthony May</t>
  </si>
  <si>
    <t>Michelle Guerra</t>
  </si>
  <si>
    <t>Meghan Ballard</t>
  </si>
  <si>
    <t>Brian Wheeler</t>
  </si>
  <si>
    <t>William Rosario</t>
  </si>
  <si>
    <t>Jessica Hunt</t>
  </si>
  <si>
    <t>Tony Chavez</t>
  </si>
  <si>
    <t>Mary Crawford</t>
  </si>
  <si>
    <t>Roger Morrison</t>
  </si>
  <si>
    <t>Bethany Harrison</t>
  </si>
  <si>
    <t>Lisa Mcintyre</t>
  </si>
  <si>
    <t>Carolyn Gonzalez</t>
  </si>
  <si>
    <t>Christina Oconnell</t>
  </si>
  <si>
    <t>James Garcia</t>
  </si>
  <si>
    <t>Emily Frederick</t>
  </si>
  <si>
    <t>Shawn Wise</t>
  </si>
  <si>
    <t>Carrie Alvarez</t>
  </si>
  <si>
    <t>Matthew James</t>
  </si>
  <si>
    <t>Jerry Alvarado</t>
  </si>
  <si>
    <t>Paul Zimmerman</t>
  </si>
  <si>
    <t>Carl Ryan</t>
  </si>
  <si>
    <t>Kelly Roberts</t>
  </si>
  <si>
    <t>Jack Woods</t>
  </si>
  <si>
    <t>Albert Alexander Jr.</t>
  </si>
  <si>
    <t>Teresa Perez</t>
  </si>
  <si>
    <t>Amanda Williams</t>
  </si>
  <si>
    <t>Kristen Lawson</t>
  </si>
  <si>
    <t>Jacob Stewart</t>
  </si>
  <si>
    <t>Daniel Brooks</t>
  </si>
  <si>
    <t>Aaron Dunn</t>
  </si>
  <si>
    <t>Jacob Martinez</t>
  </si>
  <si>
    <t>Raymond Burgess</t>
  </si>
  <si>
    <t>Jennifer Cooke</t>
  </si>
  <si>
    <t>Tyrone White</t>
  </si>
  <si>
    <t>Charles Williams</t>
  </si>
  <si>
    <t>Amy Page</t>
  </si>
  <si>
    <t>Scott Gibbs</t>
  </si>
  <si>
    <t>Angela Roberts</t>
  </si>
  <si>
    <t>Kyle Hernandez</t>
  </si>
  <si>
    <t>Cynthia Ferguson</t>
  </si>
  <si>
    <t>Brandi Garcia</t>
  </si>
  <si>
    <t>Matthew Blake</t>
  </si>
  <si>
    <t>Lauren Howell</t>
  </si>
  <si>
    <t>Joseph Wilson</t>
  </si>
  <si>
    <t>Tanner Vance</t>
  </si>
  <si>
    <t>Michael Nash</t>
  </si>
  <si>
    <t>Brent Thomas</t>
  </si>
  <si>
    <t>Harold Mitchell</t>
  </si>
  <si>
    <t>Ashley Palmer</t>
  </si>
  <si>
    <t>Stephen Hogan</t>
  </si>
  <si>
    <t>George Ashley</t>
  </si>
  <si>
    <t>Sara Bailey</t>
  </si>
  <si>
    <t>Tanya Thomas MD</t>
  </si>
  <si>
    <t>Maria Galvan</t>
  </si>
  <si>
    <t>Duane Kelly</t>
  </si>
  <si>
    <t>Frank Reynolds</t>
  </si>
  <si>
    <t>Aaron Kim</t>
  </si>
  <si>
    <t>David Allen</t>
  </si>
  <si>
    <t>Monica Lee</t>
  </si>
  <si>
    <t>Erica Scott</t>
  </si>
  <si>
    <t>Melissa Mitchell</t>
  </si>
  <si>
    <t>Joshua Murray</t>
  </si>
  <si>
    <t>John Jones</t>
  </si>
  <si>
    <t>Cheryl Johnson</t>
  </si>
  <si>
    <t>Lisa Farmer</t>
  </si>
  <si>
    <t>Christopher Walker</t>
  </si>
  <si>
    <t>Elizabeth Coffey</t>
  </si>
  <si>
    <t>Joseph Clark</t>
  </si>
  <si>
    <t>Jamie Brewer</t>
  </si>
  <si>
    <t>Lauren Boyer</t>
  </si>
  <si>
    <t>Howard Esparza</t>
  </si>
  <si>
    <t>James Hickman</t>
  </si>
  <si>
    <t>Jennifer Hernandez</t>
  </si>
  <si>
    <t>Shannon Warren</t>
  </si>
  <si>
    <t>Ashley Aguilar</t>
  </si>
  <si>
    <t>Daniel Price</t>
  </si>
  <si>
    <t>James Perez</t>
  </si>
  <si>
    <t>Jerry Smith</t>
  </si>
  <si>
    <t>Andre Fernandez</t>
  </si>
  <si>
    <t>Anthony West</t>
  </si>
  <si>
    <t>Amber Flowers</t>
  </si>
  <si>
    <t>Patricia Davis</t>
  </si>
  <si>
    <t>Jasmine Gibbs</t>
  </si>
  <si>
    <t>Nicole Dudley</t>
  </si>
  <si>
    <t>Lori Colon</t>
  </si>
  <si>
    <t>William Carr</t>
  </si>
  <si>
    <t>Jeffrey Dixon</t>
  </si>
  <si>
    <t>Robert Sexton</t>
  </si>
  <si>
    <t>Brooke Gonzalez</t>
  </si>
  <si>
    <t>Victoria Bryant MD</t>
  </si>
  <si>
    <t>Nancy Kennedy</t>
  </si>
  <si>
    <t>Andrew Barry</t>
  </si>
  <si>
    <t>Carlos Wheeler</t>
  </si>
  <si>
    <t>Isabella Roach</t>
  </si>
  <si>
    <t>Samantha Williams</t>
  </si>
  <si>
    <t>Samuel Little MD</t>
  </si>
  <si>
    <t>Paul Taylor</t>
  </si>
  <si>
    <t>Susan Baker</t>
  </si>
  <si>
    <t>Mark Fry</t>
  </si>
  <si>
    <t>Megan Mclean</t>
  </si>
  <si>
    <t>Caitlin Hunt</t>
  </si>
  <si>
    <t>Jenna Holland</t>
  </si>
  <si>
    <t>Stephanie Oconnell</t>
  </si>
  <si>
    <t>Andrea Hill</t>
  </si>
  <si>
    <t>Category</t>
  </si>
  <si>
    <t>Electronics</t>
  </si>
  <si>
    <t>Office Supplies</t>
  </si>
  <si>
    <t>Furniture</t>
  </si>
  <si>
    <t>Sub-Category</t>
  </si>
  <si>
    <t>Electronic Games</t>
  </si>
  <si>
    <t>Printers</t>
  </si>
  <si>
    <t>Pens</t>
  </si>
  <si>
    <t>Laptops</t>
  </si>
  <si>
    <t>Tables</t>
  </si>
  <si>
    <t>Chairs</t>
  </si>
  <si>
    <t>Markers</t>
  </si>
  <si>
    <t>Sofas</t>
  </si>
  <si>
    <t>Paper</t>
  </si>
  <si>
    <t>Binders</t>
  </si>
  <si>
    <t>Phones</t>
  </si>
  <si>
    <t>Bookcases</t>
  </si>
  <si>
    <t>Quantity</t>
  </si>
  <si>
    <t>City</t>
  </si>
  <si>
    <t>Miami</t>
  </si>
  <si>
    <t>Chicago</t>
  </si>
  <si>
    <t>Buffalo</t>
  </si>
  <si>
    <t>Orlando</t>
  </si>
  <si>
    <t>Los Angeles</t>
  </si>
  <si>
    <t>New York City</t>
  </si>
  <si>
    <t>Springfield</t>
  </si>
  <si>
    <t>Rochester</t>
  </si>
  <si>
    <t>Dallas</t>
  </si>
  <si>
    <t>San Diego</t>
  </si>
  <si>
    <t>Austin</t>
  </si>
  <si>
    <t>San Francisco</t>
  </si>
  <si>
    <t>Columbus</t>
  </si>
  <si>
    <t>Cincinnati</t>
  </si>
  <si>
    <t>Cleveland</t>
  </si>
  <si>
    <t>Houston</t>
  </si>
  <si>
    <t>Tampa</t>
  </si>
  <si>
    <t>Peoria</t>
  </si>
  <si>
    <t>State</t>
  </si>
  <si>
    <t>Florida</t>
  </si>
  <si>
    <t>Illinois</t>
  </si>
  <si>
    <t>New York</t>
  </si>
  <si>
    <t>California</t>
  </si>
  <si>
    <t>Texas</t>
  </si>
  <si>
    <t>Ohio</t>
  </si>
  <si>
    <t>Amount</t>
  </si>
  <si>
    <t>PaymentMode</t>
  </si>
  <si>
    <t>UPI</t>
  </si>
  <si>
    <t>Debit Card</t>
  </si>
  <si>
    <t>EMI</t>
  </si>
  <si>
    <t>Credit Card</t>
  </si>
  <si>
    <t>COD</t>
  </si>
  <si>
    <t>SUM OF AMOUNT</t>
  </si>
  <si>
    <t>SUM OF QUANTITY</t>
  </si>
  <si>
    <t>AVG OF AMOUNT</t>
  </si>
  <si>
    <t>AVG OF QUANTITY</t>
  </si>
  <si>
    <t>MAX OF AMOUNT</t>
  </si>
  <si>
    <t>MAX OF QUANTITY</t>
  </si>
  <si>
    <t>MIN OF AMOUNT</t>
  </si>
  <si>
    <t>MIN OF QUANTITY</t>
  </si>
  <si>
    <t>COUNT OF AMOUNT</t>
  </si>
  <si>
    <t>COUNT OF QUANTITY</t>
  </si>
  <si>
    <t>Q1</t>
  </si>
  <si>
    <t>Q3</t>
  </si>
  <si>
    <t>IQR</t>
  </si>
  <si>
    <t>S.D</t>
  </si>
  <si>
    <t>VAR</t>
  </si>
  <si>
    <t>S.E</t>
  </si>
  <si>
    <t>MEDIAN</t>
  </si>
  <si>
    <t>SUMIF</t>
  </si>
  <si>
    <t>SUMIFS</t>
  </si>
  <si>
    <t>COUNTBLANL</t>
  </si>
  <si>
    <t>COUNTIF</t>
  </si>
  <si>
    <t>COUNTIFS</t>
  </si>
  <si>
    <t>AVERGEIF</t>
  </si>
  <si>
    <t>TRIM</t>
  </si>
  <si>
    <t>UPPER CASE</t>
  </si>
  <si>
    <t>LENGTH</t>
  </si>
  <si>
    <t>REPLACE THE POSITION</t>
  </si>
  <si>
    <t>CONCATE</t>
  </si>
  <si>
    <t>TEXTJOIN</t>
  </si>
  <si>
    <t>FIND MONTH</t>
  </si>
  <si>
    <t>FIND YEAR</t>
  </si>
  <si>
    <t>DATA TYPE CHANGE</t>
  </si>
  <si>
    <t>QUARTARLIY DATA</t>
  </si>
  <si>
    <t>WORKING DAYS</t>
  </si>
  <si>
    <t>WORKINDAY OR WEEKEND</t>
  </si>
  <si>
    <t>CONDITION</t>
  </si>
  <si>
    <t>MEMBERSHIP</t>
  </si>
  <si>
    <t>AND</t>
  </si>
  <si>
    <t>OR</t>
  </si>
  <si>
    <t>NOT</t>
  </si>
  <si>
    <t>Column Labels</t>
  </si>
  <si>
    <t>Grand Total</t>
  </si>
  <si>
    <t>Sum of Amount</t>
  </si>
  <si>
    <t>Row Labels</t>
  </si>
  <si>
    <t>BASIC</t>
  </si>
  <si>
    <t>GOLD</t>
  </si>
  <si>
    <t>NORMAL</t>
  </si>
  <si>
    <t>PLATINUM</t>
  </si>
  <si>
    <t>SILEVER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</si>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</sst>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14" fontId="2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35870516185476"/>
          <c:y val="0.11472003499562555"/>
          <c:w val="0.623761154855643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TABLE'!$A$5:$A$10</c:f>
              <c:strCache>
                <c:ptCount val="5"/>
                <c:pt idx="0">
                  <c:v>BASIC</c:v>
                </c:pt>
                <c:pt idx="1">
                  <c:v>GOLD</c:v>
                </c:pt>
                <c:pt idx="2">
                  <c:v>NORMAL</c:v>
                </c:pt>
                <c:pt idx="3">
                  <c:v>PLATINUM</c:v>
                </c:pt>
                <c:pt idx="4">
                  <c:v>SILEVER</c:v>
                </c:pt>
              </c:strCache>
            </c:strRef>
          </c:cat>
          <c:val>
            <c:numRef>
              <c:f>'PIVOT TABLE'!$B$5:$B$10</c:f>
              <c:numCache>
                <c:formatCode>General</c:formatCode>
                <c:ptCount val="5"/>
                <c:pt idx="0">
                  <c:v>66764</c:v>
                </c:pt>
                <c:pt idx="1">
                  <c:v>577070</c:v>
                </c:pt>
                <c:pt idx="2">
                  <c:v>255768</c:v>
                </c:pt>
                <c:pt idx="3">
                  <c:v>771010</c:v>
                </c:pt>
                <c:pt idx="4">
                  <c:v>383844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6-4660-A96B-DC872A7194CD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TABLE'!$A$5:$A$10</c:f>
              <c:strCache>
                <c:ptCount val="5"/>
                <c:pt idx="0">
                  <c:v>BASIC</c:v>
                </c:pt>
                <c:pt idx="1">
                  <c:v>GOLD</c:v>
                </c:pt>
                <c:pt idx="2">
                  <c:v>NORMAL</c:v>
                </c:pt>
                <c:pt idx="3">
                  <c:v>PLATINUM</c:v>
                </c:pt>
                <c:pt idx="4">
                  <c:v>SILEVER</c:v>
                </c:pt>
              </c:strCache>
            </c:strRef>
          </c:cat>
          <c:val>
            <c:numRef>
              <c:f>'PIVOT TABLE'!$C$5:$C$10</c:f>
              <c:numCache>
                <c:formatCode>General</c:formatCode>
                <c:ptCount val="5"/>
                <c:pt idx="0">
                  <c:v>78034</c:v>
                </c:pt>
                <c:pt idx="1">
                  <c:v>622930</c:v>
                </c:pt>
                <c:pt idx="2">
                  <c:v>250486</c:v>
                </c:pt>
                <c:pt idx="3">
                  <c:v>620847</c:v>
                </c:pt>
                <c:pt idx="4">
                  <c:v>466376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6-4660-A96B-DC872A7194CD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TABLE'!$A$5:$A$10</c:f>
              <c:strCache>
                <c:ptCount val="5"/>
                <c:pt idx="0">
                  <c:v>BASIC</c:v>
                </c:pt>
                <c:pt idx="1">
                  <c:v>GOLD</c:v>
                </c:pt>
                <c:pt idx="2">
                  <c:v>NORMAL</c:v>
                </c:pt>
                <c:pt idx="3">
                  <c:v>PLATINUM</c:v>
                </c:pt>
                <c:pt idx="4">
                  <c:v>SILEVER</c:v>
                </c:pt>
              </c:strCache>
            </c:strRef>
          </c:cat>
          <c:val>
            <c:numRef>
              <c:f>'PIVOT TABLE'!$D$5:$D$10</c:f>
              <c:numCache>
                <c:formatCode>General</c:formatCode>
                <c:ptCount val="5"/>
                <c:pt idx="0">
                  <c:v>70807</c:v>
                </c:pt>
                <c:pt idx="1">
                  <c:v>475198</c:v>
                </c:pt>
                <c:pt idx="2">
                  <c:v>317773</c:v>
                </c:pt>
                <c:pt idx="3">
                  <c:v>885430</c:v>
                </c:pt>
                <c:pt idx="4">
                  <c:v>340302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6-4660-A96B-DC872A7194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788927"/>
        <c:axId val="73789407"/>
      </c:barChart>
      <c:catAx>
        <c:axId val="7378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9407"/>
        <c:crosses val="autoZero"/>
        <c:auto val="1"/>
        <c:lblAlgn val="ctr"/>
        <c:lblOffset val="100"/>
        <c:noMultiLvlLbl val="0"/>
      </c:catAx>
      <c:valAx>
        <c:axId val="7378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Binders</c:v>
                </c:pt>
                <c:pt idx="1">
                  <c:v>Bookcases</c:v>
                </c:pt>
                <c:pt idx="2">
                  <c:v>Chairs</c:v>
                </c:pt>
                <c:pt idx="3">
                  <c:v>Electronic Games</c:v>
                </c:pt>
                <c:pt idx="4">
                  <c:v>Laptops</c:v>
                </c:pt>
                <c:pt idx="5">
                  <c:v>Markers</c:v>
                </c:pt>
                <c:pt idx="6">
                  <c:v>Paper</c:v>
                </c:pt>
                <c:pt idx="7">
                  <c:v>Pens</c:v>
                </c:pt>
                <c:pt idx="8">
                  <c:v>Phones</c:v>
                </c:pt>
                <c:pt idx="9">
                  <c:v>Printers</c:v>
                </c:pt>
                <c:pt idx="10">
                  <c:v>Sofas</c:v>
                </c:pt>
                <c:pt idx="11">
                  <c:v>Tables</c:v>
                </c:pt>
              </c:strCache>
            </c:strRef>
          </c:cat>
          <c:val>
            <c:numRef>
              <c:f>'PIVOT TABLE'!$I$4:$I$16</c:f>
              <c:numCache>
                <c:formatCode>General</c:formatCode>
                <c:ptCount val="12"/>
                <c:pt idx="0">
                  <c:v>384611</c:v>
                </c:pt>
                <c:pt idx="1">
                  <c:v>413165</c:v>
                </c:pt>
                <c:pt idx="2">
                  <c:v>431964</c:v>
                </c:pt>
                <c:pt idx="3">
                  <c:v>565092</c:v>
                </c:pt>
                <c:pt idx="4">
                  <c:v>419950</c:v>
                </c:pt>
                <c:pt idx="5">
                  <c:v>627875</c:v>
                </c:pt>
                <c:pt idx="6">
                  <c:v>524755</c:v>
                </c:pt>
                <c:pt idx="7">
                  <c:v>552269</c:v>
                </c:pt>
                <c:pt idx="8">
                  <c:v>503055</c:v>
                </c:pt>
                <c:pt idx="9">
                  <c:v>566359</c:v>
                </c:pt>
                <c:pt idx="10">
                  <c:v>568367</c:v>
                </c:pt>
                <c:pt idx="11">
                  <c:v>625177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7-447B-94AF-4306C97555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785567"/>
        <c:axId val="73786047"/>
      </c:barChart>
      <c:catAx>
        <c:axId val="7378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6047"/>
        <c:crosses val="autoZero"/>
        <c:auto val="1"/>
        <c:lblAlgn val="ctr"/>
        <c:lblOffset val="100"/>
        <c:noMultiLvlLbl val="0"/>
      </c:catAx>
      <c:valAx>
        <c:axId val="737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TABLE'!$B$13:$B$14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TABLE'!$A$15:$A$21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TABLE'!$B$15:$B$21</c:f>
              <c:numCache>
                <c:formatCode>General</c:formatCode>
                <c:ptCount val="6"/>
                <c:pt idx="0">
                  <c:v>300653</c:v>
                </c:pt>
                <c:pt idx="1">
                  <c:v>400174</c:v>
                </c:pt>
                <c:pt idx="2">
                  <c:v>285385</c:v>
                </c:pt>
                <c:pt idx="3">
                  <c:v>371830</c:v>
                </c:pt>
                <c:pt idx="4">
                  <c:v>284610</c:v>
                </c:pt>
                <c:pt idx="5">
                  <c:v>411804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A-46A0-920F-BD6FD958349E}"/>
            </c:ext>
          </c:extLst>
        </c:ser>
        <c:ser>
          <c:idx val="1"/>
          <c:order val="1"/>
          <c:tx>
            <c:strRef>
              <c:f>'PIVOT TABLE'!$C$13:$C$14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TABLE'!$A$15:$A$21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TABLE'!$C$15:$C$21</c:f>
              <c:numCache>
                <c:formatCode>General</c:formatCode>
                <c:ptCount val="6"/>
                <c:pt idx="0">
                  <c:v>416016</c:v>
                </c:pt>
                <c:pt idx="1">
                  <c:v>325014</c:v>
                </c:pt>
                <c:pt idx="2">
                  <c:v>305640</c:v>
                </c:pt>
                <c:pt idx="3">
                  <c:v>364633</c:v>
                </c:pt>
                <c:pt idx="4">
                  <c:v>312828</c:v>
                </c:pt>
                <c:pt idx="5">
                  <c:v>314542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A-46A0-920F-BD6FD958349E}"/>
            </c:ext>
          </c:extLst>
        </c:ser>
        <c:ser>
          <c:idx val="2"/>
          <c:order val="2"/>
          <c:tx>
            <c:strRef>
              <c:f>'PIVOT TABLE'!$D$13:$D$14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TABLE'!$A$15:$A$21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TABLE'!$D$15:$D$21</c:f>
              <c:numCache>
                <c:formatCode>General</c:formatCode>
                <c:ptCount val="6"/>
                <c:pt idx="0">
                  <c:v>369767</c:v>
                </c:pt>
                <c:pt idx="1">
                  <c:v>365986</c:v>
                </c:pt>
                <c:pt idx="2">
                  <c:v>387713</c:v>
                </c:pt>
                <c:pt idx="3">
                  <c:v>393585</c:v>
                </c:pt>
                <c:pt idx="4">
                  <c:v>287330</c:v>
                </c:pt>
                <c:pt idx="5">
                  <c:v>285129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A-46A0-920F-BD6FD95834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21653167"/>
        <c:axId val="221654127"/>
      </c:barChart>
      <c:catAx>
        <c:axId val="22165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54127"/>
        <c:crosses val="autoZero"/>
        <c:auto val="1"/>
        <c:lblAlgn val="ctr"/>
        <c:lblOffset val="100"/>
        <c:noMultiLvlLbl val="0"/>
      </c:catAx>
      <c:valAx>
        <c:axId val="22165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5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TABLE'!$A$27:$A$33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TABLE'!$B$27:$B$33</c:f>
              <c:numCache>
                <c:formatCode>General</c:formatCode>
                <c:ptCount val="6"/>
                <c:pt idx="0">
                  <c:v>547</c:v>
                </c:pt>
                <c:pt idx="1">
                  <c:v>813</c:v>
                </c:pt>
                <c:pt idx="2">
                  <c:v>589</c:v>
                </c:pt>
                <c:pt idx="3">
                  <c:v>760</c:v>
                </c:pt>
                <c:pt idx="4">
                  <c:v>693</c:v>
                </c:pt>
                <c:pt idx="5">
                  <c:v>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D2-B284-CC5E51CF0E79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TABLE'!$A$27:$A$33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TABLE'!$C$27:$C$33</c:f>
              <c:numCache>
                <c:formatCode>General</c:formatCode>
                <c:ptCount val="6"/>
                <c:pt idx="0">
                  <c:v>887</c:v>
                </c:pt>
                <c:pt idx="1">
                  <c:v>678</c:v>
                </c:pt>
                <c:pt idx="2">
                  <c:v>534</c:v>
                </c:pt>
                <c:pt idx="3">
                  <c:v>939</c:v>
                </c:pt>
                <c:pt idx="4">
                  <c:v>776</c:v>
                </c:pt>
                <c:pt idx="5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D2-B284-CC5E51CF0E79}"/>
            </c:ext>
          </c:extLst>
        </c:ser>
        <c:ser>
          <c:idx val="2"/>
          <c:order val="2"/>
          <c:tx>
            <c:strRef>
              <c:f>'PIVOT TABLE'!$D$25:$D$26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TABLE'!$A$27:$A$33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TABLE'!$D$27:$D$33</c:f>
              <c:numCache>
                <c:formatCode>General</c:formatCode>
                <c:ptCount val="6"/>
                <c:pt idx="0">
                  <c:v>885</c:v>
                </c:pt>
                <c:pt idx="1">
                  <c:v>654</c:v>
                </c:pt>
                <c:pt idx="2">
                  <c:v>697</c:v>
                </c:pt>
                <c:pt idx="3">
                  <c:v>780</c:v>
                </c:pt>
                <c:pt idx="4">
                  <c:v>572</c:v>
                </c:pt>
                <c:pt idx="5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D2-B284-CC5E51CF0E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0982095"/>
        <c:axId val="270979215"/>
      </c:barChart>
      <c:catAx>
        <c:axId val="270982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79215"/>
        <c:crosses val="autoZero"/>
        <c:auto val="1"/>
        <c:lblAlgn val="ctr"/>
        <c:lblOffset val="100"/>
        <c:noMultiLvlLbl val="0"/>
      </c:catAx>
      <c:valAx>
        <c:axId val="27097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8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TABLE'!$I$20:$I$21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TABLE'!$H$22:$H$28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TABLE'!$I$22:$I$28</c:f>
              <c:numCache>
                <c:formatCode>General</c:formatCode>
                <c:ptCount val="6"/>
                <c:pt idx="0">
                  <c:v>43312</c:v>
                </c:pt>
                <c:pt idx="1">
                  <c:v>32387</c:v>
                </c:pt>
                <c:pt idx="2">
                  <c:v>21953</c:v>
                </c:pt>
                <c:pt idx="3">
                  <c:v>50588</c:v>
                </c:pt>
                <c:pt idx="4">
                  <c:v>42866</c:v>
                </c:pt>
                <c:pt idx="5">
                  <c:v>24499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9-4413-9B2C-E79D36B297A9}"/>
            </c:ext>
          </c:extLst>
        </c:ser>
        <c:ser>
          <c:idx val="1"/>
          <c:order val="1"/>
          <c:tx>
            <c:strRef>
              <c:f>'PIVOT TABLE'!$J$20:$J$21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TABLE'!$H$22:$H$28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TABLE'!$J$22:$J$28</c:f>
              <c:numCache>
                <c:formatCode>General</c:formatCode>
                <c:ptCount val="6"/>
                <c:pt idx="0">
                  <c:v>251232</c:v>
                </c:pt>
                <c:pt idx="1">
                  <c:v>319819</c:v>
                </c:pt>
                <c:pt idx="2">
                  <c:v>278188</c:v>
                </c:pt>
                <c:pt idx="3">
                  <c:v>215898</c:v>
                </c:pt>
                <c:pt idx="4">
                  <c:v>289943</c:v>
                </c:pt>
                <c:pt idx="5">
                  <c:v>320118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9-4413-9B2C-E79D36B297A9}"/>
            </c:ext>
          </c:extLst>
        </c:ser>
        <c:ser>
          <c:idx val="2"/>
          <c:order val="2"/>
          <c:tx>
            <c:strRef>
              <c:f>'PIVOT TABLE'!$K$20:$K$21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TABLE'!$H$22:$H$28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TABLE'!$K$22:$K$28</c:f>
              <c:numCache>
                <c:formatCode>General</c:formatCode>
                <c:ptCount val="6"/>
                <c:pt idx="0">
                  <c:v>172123</c:v>
                </c:pt>
                <c:pt idx="1">
                  <c:v>108219</c:v>
                </c:pt>
                <c:pt idx="2">
                  <c:v>129533</c:v>
                </c:pt>
                <c:pt idx="3">
                  <c:v>139514</c:v>
                </c:pt>
                <c:pt idx="4">
                  <c:v>136533</c:v>
                </c:pt>
                <c:pt idx="5">
                  <c:v>138105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9-4413-9B2C-E79D36B297A9}"/>
            </c:ext>
          </c:extLst>
        </c:ser>
        <c:ser>
          <c:idx val="3"/>
          <c:order val="3"/>
          <c:tx>
            <c:strRef>
              <c:f>'PIVOT TABLE'!$L$20:$L$21</c:f>
              <c:strCache>
                <c:ptCount val="1"/>
                <c:pt idx="0">
                  <c:v>PLATINUM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TABLE'!$H$22:$H$28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TABLE'!$L$22:$L$28</c:f>
              <c:numCache>
                <c:formatCode>General</c:formatCode>
                <c:ptCount val="6"/>
                <c:pt idx="0">
                  <c:v>386456</c:v>
                </c:pt>
                <c:pt idx="1">
                  <c:v>409025</c:v>
                </c:pt>
                <c:pt idx="2">
                  <c:v>357422</c:v>
                </c:pt>
                <c:pt idx="3">
                  <c:v>520668</c:v>
                </c:pt>
                <c:pt idx="4">
                  <c:v>282326</c:v>
                </c:pt>
                <c:pt idx="5">
                  <c:v>321390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B9-4413-9B2C-E79D36B297A9}"/>
            </c:ext>
          </c:extLst>
        </c:ser>
        <c:ser>
          <c:idx val="4"/>
          <c:order val="4"/>
          <c:tx>
            <c:strRef>
              <c:f>'PIVOT TABLE'!$M$20:$M$21</c:f>
              <c:strCache>
                <c:ptCount val="1"/>
                <c:pt idx="0">
                  <c:v>SILEVER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TABLE'!$H$22:$H$28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TABLE'!$M$22:$M$28</c:f>
              <c:numCache>
                <c:formatCode>General</c:formatCode>
                <c:ptCount val="6"/>
                <c:pt idx="0">
                  <c:v>233313</c:v>
                </c:pt>
                <c:pt idx="1">
                  <c:v>221724</c:v>
                </c:pt>
                <c:pt idx="2">
                  <c:v>191642</c:v>
                </c:pt>
                <c:pt idx="3">
                  <c:v>203380</c:v>
                </c:pt>
                <c:pt idx="4">
                  <c:v>133100</c:v>
                </c:pt>
                <c:pt idx="5">
                  <c:v>207363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B9-4413-9B2C-E79D36B29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054095"/>
        <c:axId val="271054575"/>
      </c:barChart>
      <c:catAx>
        <c:axId val="27105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54575"/>
        <c:crosses val="autoZero"/>
        <c:auto val="1"/>
        <c:lblAlgn val="ctr"/>
        <c:lblOffset val="100"/>
        <c:noMultiLvlLbl val="0"/>
      </c:catAx>
      <c:valAx>
        <c:axId val="2710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5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TABLE!PivotTable6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TABLE'!$B$36:$B$37</c:f>
              <c:strCache>
                <c:ptCount val="1"/>
                <c:pt idx="0">
                  <c:v>COD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TABLE'!$A$38:$A$44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TABLE'!$B$38:$B$44</c:f>
              <c:numCache>
                <c:formatCode>General</c:formatCode>
                <c:ptCount val="6"/>
                <c:pt idx="0">
                  <c:v>199548</c:v>
                </c:pt>
                <c:pt idx="1">
                  <c:v>249028</c:v>
                </c:pt>
                <c:pt idx="2">
                  <c:v>160622</c:v>
                </c:pt>
                <c:pt idx="3">
                  <c:v>199036</c:v>
                </c:pt>
                <c:pt idx="4">
                  <c:v>153970</c:v>
                </c:pt>
                <c:pt idx="5">
                  <c:v>179586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9-475A-9F8C-E4CF65567376}"/>
            </c:ext>
          </c:extLst>
        </c:ser>
        <c:ser>
          <c:idx val="1"/>
          <c:order val="1"/>
          <c:tx>
            <c:strRef>
              <c:f>'PIVOT TABLE'!$C$36:$C$37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TABLE'!$A$38:$A$44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TABLE'!$C$38:$C$44</c:f>
              <c:numCache>
                <c:formatCode>General</c:formatCode>
                <c:ptCount val="6"/>
                <c:pt idx="0">
                  <c:v>245405</c:v>
                </c:pt>
                <c:pt idx="1">
                  <c:v>202495</c:v>
                </c:pt>
                <c:pt idx="2">
                  <c:v>196845</c:v>
                </c:pt>
                <c:pt idx="3">
                  <c:v>212694</c:v>
                </c:pt>
                <c:pt idx="4">
                  <c:v>192973</c:v>
                </c:pt>
                <c:pt idx="5">
                  <c:v>230632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99-475A-9F8C-E4CF65567376}"/>
            </c:ext>
          </c:extLst>
        </c:ser>
        <c:ser>
          <c:idx val="2"/>
          <c:order val="2"/>
          <c:tx>
            <c:strRef>
              <c:f>'PIVOT TABLE'!$D$36:$D$37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TABLE'!$A$38:$A$44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TABLE'!$D$38:$D$44</c:f>
              <c:numCache>
                <c:formatCode>General</c:formatCode>
                <c:ptCount val="6"/>
                <c:pt idx="0">
                  <c:v>207853</c:v>
                </c:pt>
                <c:pt idx="1">
                  <c:v>213473</c:v>
                </c:pt>
                <c:pt idx="2">
                  <c:v>175120</c:v>
                </c:pt>
                <c:pt idx="3">
                  <c:v>298681</c:v>
                </c:pt>
                <c:pt idx="4">
                  <c:v>219084</c:v>
                </c:pt>
                <c:pt idx="5">
                  <c:v>280824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99-475A-9F8C-E4CF65567376}"/>
            </c:ext>
          </c:extLst>
        </c:ser>
        <c:ser>
          <c:idx val="3"/>
          <c:order val="3"/>
          <c:tx>
            <c:strRef>
              <c:f>'PIVOT TABLE'!$E$36:$E$37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TABLE'!$A$38:$A$44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TABLE'!$E$38:$E$44</c:f>
              <c:numCache>
                <c:formatCode>General</c:formatCode>
                <c:ptCount val="6"/>
                <c:pt idx="0">
                  <c:v>207959</c:v>
                </c:pt>
                <c:pt idx="1">
                  <c:v>189329</c:v>
                </c:pt>
                <c:pt idx="2">
                  <c:v>206884</c:v>
                </c:pt>
                <c:pt idx="3">
                  <c:v>180554</c:v>
                </c:pt>
                <c:pt idx="4">
                  <c:v>162126</c:v>
                </c:pt>
                <c:pt idx="5">
                  <c:v>167445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99-475A-9F8C-E4CF65567376}"/>
            </c:ext>
          </c:extLst>
        </c:ser>
        <c:ser>
          <c:idx val="4"/>
          <c:order val="4"/>
          <c:tx>
            <c:strRef>
              <c:f>'PIVOT TABLE'!$F$36:$F$37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TABLE'!$A$38:$A$44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TABLE'!$F$38:$F$44</c:f>
              <c:numCache>
                <c:formatCode>General</c:formatCode>
                <c:ptCount val="6"/>
                <c:pt idx="0">
                  <c:v>225671</c:v>
                </c:pt>
                <c:pt idx="1">
                  <c:v>236849</c:v>
                </c:pt>
                <c:pt idx="2">
                  <c:v>239267</c:v>
                </c:pt>
                <c:pt idx="3">
                  <c:v>239083</c:v>
                </c:pt>
                <c:pt idx="4">
                  <c:v>156615</c:v>
                </c:pt>
                <c:pt idx="5">
                  <c:v>152988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99-475A-9F8C-E4CF65567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216799"/>
        <c:axId val="635206239"/>
      </c:barChart>
      <c:catAx>
        <c:axId val="63521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06239"/>
        <c:crosses val="autoZero"/>
        <c:auto val="1"/>
        <c:lblAlgn val="ctr"/>
        <c:lblOffset val="100"/>
        <c:noMultiLvlLbl val="0"/>
      </c:catAx>
      <c:valAx>
        <c:axId val="63520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1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TABLE'!$J$31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58-46A1-8BB5-336927DA28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58-46A1-8BB5-336927DA28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58-46A1-8BB5-336927DA28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TABLE'!$I$32:$I$35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TABLE'!$J$32:$J$35</c:f>
              <c:numCache>
                <c:formatCode>General</c:formatCode>
                <c:ptCount val="3"/>
                <c:pt idx="0">
                  <c:v>2054456</c:v>
                </c:pt>
                <c:pt idx="1">
                  <c:v>2038673</c:v>
                </c:pt>
                <c:pt idx="2">
                  <c:v>2089510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58-46A1-8BB5-336927DA28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TABLE!PivotTable8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TABLE'!$J$38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TABLE'!$I$39:$I$51</c:f>
              <c:strCache>
                <c:ptCount val="12"/>
                <c:pt idx="0">
                  <c:v>Binders</c:v>
                </c:pt>
                <c:pt idx="1">
                  <c:v>Bookcases</c:v>
                </c:pt>
                <c:pt idx="2">
                  <c:v>Chairs</c:v>
                </c:pt>
                <c:pt idx="3">
                  <c:v>Electronic Games</c:v>
                </c:pt>
                <c:pt idx="4">
                  <c:v>Laptops</c:v>
                </c:pt>
                <c:pt idx="5">
                  <c:v>Markers</c:v>
                </c:pt>
                <c:pt idx="6">
                  <c:v>Paper</c:v>
                </c:pt>
                <c:pt idx="7">
                  <c:v>Pens</c:v>
                </c:pt>
                <c:pt idx="8">
                  <c:v>Phones</c:v>
                </c:pt>
                <c:pt idx="9">
                  <c:v>Printers</c:v>
                </c:pt>
                <c:pt idx="10">
                  <c:v>Sofas</c:v>
                </c:pt>
                <c:pt idx="11">
                  <c:v>Tables</c:v>
                </c:pt>
              </c:strCache>
            </c:strRef>
          </c:cat>
          <c:val>
            <c:numRef>
              <c:f>'PIVOT TABLE'!$J$39:$J$51</c:f>
              <c:numCache>
                <c:formatCode>General</c:formatCode>
                <c:ptCount val="12"/>
                <c:pt idx="0">
                  <c:v>384611</c:v>
                </c:pt>
                <c:pt idx="1">
                  <c:v>413165</c:v>
                </c:pt>
                <c:pt idx="2">
                  <c:v>431964</c:v>
                </c:pt>
                <c:pt idx="3">
                  <c:v>565092</c:v>
                </c:pt>
                <c:pt idx="4">
                  <c:v>419950</c:v>
                </c:pt>
                <c:pt idx="5">
                  <c:v>627875</c:v>
                </c:pt>
                <c:pt idx="6">
                  <c:v>524755</c:v>
                </c:pt>
                <c:pt idx="7">
                  <c:v>552269</c:v>
                </c:pt>
                <c:pt idx="8">
                  <c:v>503055</c:v>
                </c:pt>
                <c:pt idx="9">
                  <c:v>566359</c:v>
                </c:pt>
                <c:pt idx="10">
                  <c:v>568367</c:v>
                </c:pt>
                <c:pt idx="11">
                  <c:v>625177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5-47C4-8804-FA6161121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296959"/>
        <c:axId val="635297439"/>
      </c:lineChart>
      <c:catAx>
        <c:axId val="6352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97439"/>
        <c:crosses val="autoZero"/>
        <c:auto val="1"/>
        <c:lblAlgn val="ctr"/>
        <c:lblOffset val="100"/>
        <c:noMultiLvlLbl val="0"/>
      </c:catAx>
      <c:valAx>
        <c:axId val="6352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9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677BC-7E8E-4739-99A2-5F826C9E1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601980</xdr:colOff>
      <xdr:row>33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E90622-1DF3-4427-A30F-CB31E48C6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434340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907008-7FD5-4465-855C-4AEAB389A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C02E19-DCF0-4A09-83EA-DC6FED0A7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38100</xdr:rowOff>
    </xdr:from>
    <xdr:to>
      <xdr:col>8</xdr:col>
      <xdr:colOff>15240</xdr:colOff>
      <xdr:row>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6FCC56-7747-495C-A383-EB5D4285B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16</xdr:col>
      <xdr:colOff>388620</xdr:colOff>
      <xdr:row>49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632E9F-EEC2-44B1-B25B-41A65275D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7</xdr:col>
      <xdr:colOff>579120</xdr:colOff>
      <xdr:row>67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28E836-34FD-4ACA-9D33-810CACE82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52</xdr:row>
      <xdr:rowOff>0</xdr:rowOff>
    </xdr:from>
    <xdr:to>
      <xdr:col>16</xdr:col>
      <xdr:colOff>464820</xdr:colOff>
      <xdr:row>67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3CF4E3-82F5-416E-8798-6B21B3730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HIKA DAVE" refreshedDate="46001.483375115742" createdVersion="8" refreshedVersion="8" minRefreshableVersion="3" recordCount="1194" xr:uid="{770343D9-F29D-4C12-8FAC-78C09E912980}">
  <cacheSource type="worksheet">
    <worksheetSource ref="A1:J1195" sheet="DATA"/>
  </cacheSource>
  <cacheFields count="10"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 count="802">
        <s v="David Padilla"/>
        <s v="Connor Morgan"/>
        <s v="Robert Stone"/>
        <s v="John Fields"/>
        <s v="Clayton Smith"/>
        <s v="Richard Kelley"/>
        <s v="Jacqueline Hubbard"/>
        <s v="Jessica Anderson"/>
        <s v="Mary Taylor"/>
        <s v="Walter Crawford"/>
        <s v="Lawrence Robinson"/>
        <s v="Douglas Pennington"/>
        <s v="Ricardo Andrews"/>
        <s v="Paul Raymond"/>
        <s v="Karen Johnson"/>
        <s v="Juan Erickson"/>
        <s v="Alexander Reed"/>
        <s v="Jacqueline Harris"/>
        <s v="Tyler Park"/>
        <s v="Richard Wolfe"/>
        <s v="Sierra Rios"/>
        <s v="Jessica Richardson"/>
        <s v="Kimberly Warren"/>
        <s v="Casey Garcia"/>
        <s v="Denise Hampton"/>
        <s v="Justin Rodriguez"/>
        <s v="Ms. Emily Baxter"/>
        <s v="Austin White"/>
        <s v="Morgan Montes"/>
        <s v="Christine Mosley"/>
        <s v="Ashley Rodriguez"/>
        <s v="Elizabeth King"/>
        <s v="Connie Holmes"/>
        <s v="Melissa Peck"/>
        <s v="David Smith"/>
        <s v="Heather Jenkins"/>
        <s v="Kelsey Castaneda"/>
        <s v="Katherine Harris"/>
        <s v="Paul Rogers"/>
        <s v="Jon Banks"/>
        <s v="Michelle Williams"/>
        <s v="Andrew Allen"/>
        <s v="Vanessa Bauer"/>
        <s v="Sean Smith"/>
        <s v="Shelly Sweeney"/>
        <s v="Emily Gill"/>
        <s v="Brian Patrick"/>
        <s v="Dr. Sarah Booth"/>
        <s v="Douglas Mcfarland"/>
        <s v="Kayla Ross"/>
        <s v="Marc Strickland"/>
        <s v="Charlene Brown"/>
        <s v="Charles Smith"/>
        <s v="Karen Townsend"/>
        <s v="Steven Cox"/>
        <s v="Cynthia Rodriguez"/>
        <s v="Jessica Baker"/>
        <s v="Mark Blackburn"/>
        <s v="Zachary Perez"/>
        <s v="Brian Green"/>
        <s v="Becky Leach"/>
        <s v="Bryan Russell"/>
        <s v="Tony Maddox"/>
        <s v="Jason Randolph"/>
        <s v="Laura Andrews"/>
        <s v="Mrs. Stephanie Hooper"/>
        <s v="Anthony Evans"/>
        <s v="Patrick Williams"/>
        <s v="Susan Burke"/>
        <s v="Brent Hernandez"/>
        <s v="Sean Elliott"/>
        <s v="Wanda West"/>
        <s v="Renee Solomon"/>
        <s v="Daryl Miles"/>
        <s v="Michael Hunt"/>
        <s v="Adam Clark"/>
        <s v="Amy Olsen"/>
        <s v="Stacey Miller"/>
        <s v="Daniel Mosley"/>
        <s v="Monica Gibson"/>
        <s v="Christopher Jordan"/>
        <s v="Christina Davis"/>
        <s v="Claudia Curry"/>
        <s v="Brandon Anderson"/>
        <s v="George Foster"/>
        <s v="Nicholas Anderson"/>
        <s v="Emily Ellison"/>
        <s v="Darren Perez"/>
        <s v="Michelle Hunter"/>
        <s v="Janet Guerrero"/>
        <s v="Jeffrey Kline"/>
        <s v="Ryan Bullock"/>
        <s v="Tom Lawson"/>
        <s v="Rebecca Smith"/>
        <s v="William Welch"/>
        <s v="Mr. Curtis Bailey"/>
        <s v="Janet Carlson"/>
        <s v="Spencer Spears"/>
        <s v="Jeffrey Middleton"/>
        <s v="Veronica Kelley"/>
        <s v="Leslie Bean"/>
        <s v="Amy Wilson"/>
        <s v="Susan Ramirez"/>
        <s v="Jacob Meyer"/>
        <s v="Scott Lewis"/>
        <s v="Eric Griffith"/>
        <s v="Anna Ferguson"/>
        <s v="David Figueroa"/>
        <s v="Theresa Medina"/>
        <s v="Mary Smith"/>
        <s v="Lance Cain"/>
        <s v="Alexandra Moran"/>
        <s v="Sara Castro"/>
        <s v="Shawn Leach"/>
        <s v="Mark Boyle"/>
        <s v="John Stevens"/>
        <s v="Lisa Graham"/>
        <s v="Nancy Jones"/>
        <s v="Darryl Robbins"/>
        <s v="Kimberly Smith"/>
        <s v="Maria Thomas"/>
        <s v="Nicholas Johnson"/>
        <s v="Dawn Howard"/>
        <s v="Jennifer Marshall"/>
        <s v="Frank Garcia"/>
        <s v="Terri Madden"/>
        <s v="James Gutierrez"/>
        <s v="Morgan Sellers"/>
        <s v="Caitlin Thomas"/>
        <s v="Kimberly Greene"/>
        <s v="Tammy Anthony"/>
        <s v="Jennifer Chase"/>
        <s v="Cassandra Farley"/>
        <s v="Justin Vasquez"/>
        <s v="Melissa Morales"/>
        <s v="Tyler Thompson"/>
        <s v="Heidi Davis"/>
        <s v="Charles Lane"/>
        <s v="Joyce Good MD"/>
        <s v="Maria Miller"/>
        <s v="Terry Mcdaniel"/>
        <s v="Lisa Jacobs"/>
        <s v="Jeff Duncan"/>
        <s v="Pamela Jones"/>
        <s v="Renee Robinson"/>
        <s v="Jessica Kidd"/>
        <s v="Nicholas Martin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Peter Ward"/>
        <s v="Jonathan Alvarez"/>
        <s v="Becky Hodges"/>
        <s v="Larry Hill"/>
        <s v="Amber Moon"/>
        <s v="Cynthia Wilcox"/>
        <s v="Rebecca Wright"/>
        <s v="Sarah Flores"/>
        <s v="Carol Norman"/>
        <s v="Stephanie Gardner"/>
        <s v="Philip Baker"/>
        <s v="Randall Dennis"/>
        <s v="Suzanne Cross"/>
        <s v="Jasmine Delgado"/>
        <s v="Kristen Harper"/>
        <s v="Kaitlyn Graham MD"/>
        <s v="Dean Avila"/>
        <s v="Megan Mack"/>
        <s v="Heather Johnson"/>
        <s v="Tina Davies"/>
        <s v="Matthew Harris"/>
        <s v="Christopher Kirk"/>
        <s v="Eric Stevens"/>
        <s v="James Dickerson"/>
        <s v="James Jones"/>
        <s v="Hannah Hendricks"/>
        <s v="Brett Mullins"/>
        <s v="Ms. Kim Jordan"/>
        <s v="Marcus Santiago"/>
        <s v="Jill Perez"/>
        <s v="Courtney Williams"/>
        <s v="Jordan Hahn"/>
        <s v="William Cook"/>
        <s v="Stephanie Hayes"/>
        <s v="Melissa Wise"/>
        <s v="Elizabeth Gonzalez"/>
        <s v="Mr. Eric Lopez"/>
        <s v="Benjamin Higgins"/>
        <s v="Brett Sutton"/>
        <s v="Anna Blackburn"/>
        <s v="Michelle Bailey"/>
        <s v="Sara Peterson"/>
        <s v="Katherine Williams"/>
        <s v="Cory Evans"/>
        <s v="Michael Rodriguez"/>
        <s v="John Munoz"/>
        <s v="David Clark"/>
        <s v="April Welch"/>
        <s v="Alan Livingston"/>
        <s v="Angela Jackson"/>
        <s v="Amy Williams"/>
        <s v="Laura Jordan"/>
        <s v="Richard Maynard"/>
        <s v="Lawrence Oliver"/>
        <s v="Anthony Williams"/>
        <s v="Lynn Matthews"/>
        <s v="Andrew Griffin"/>
        <s v="Megan Williams"/>
        <s v="Alison Martin"/>
        <s v="Samuel Wallace"/>
        <s v="Manuel Stark"/>
        <s v="William Villarreal"/>
        <s v="Brandon Kirk"/>
        <s v="Abigail Brown"/>
        <s v="Kristine Carter"/>
        <s v="Wesley Deleon"/>
        <s v="Laura Cole"/>
        <s v="Lauren Harris"/>
        <s v="Cameron Miller"/>
        <s v="Jacob Carpenter"/>
        <s v="Pamela Callahan DVM"/>
        <s v="William Ruiz"/>
        <s v="Paula Marshall"/>
        <s v="Natalie Cox"/>
        <s v="Andrew Fernandez"/>
        <s v="Alisha Saunders"/>
        <s v="Travis Chandler DDS"/>
        <s v="Russell Austin"/>
        <s v="Collin Cameron"/>
        <s v="Elizabeth Hernandez"/>
        <s v="William Russell"/>
        <s v="Sheri Berg"/>
        <s v="Anthony Barnett"/>
        <s v="Kaitlyn Flores"/>
        <s v="Rebecca Owen"/>
        <s v="Michael Bell"/>
        <s v="Willie Huynh"/>
        <s v="Samuel Hayes"/>
        <s v="Sherry Tran"/>
        <s v="Heather Gray"/>
        <s v="Benjamin Meadows"/>
        <s v="Micheal Graham"/>
        <s v="Jean Jackson"/>
        <s v="Timothy Murphy"/>
        <s v="Mrs. Jennifer Lewis"/>
        <s v="Bryan Brown"/>
        <s v="Christopher Johnson"/>
        <s v="Christina Conner"/>
        <s v="Luis Luna"/>
        <s v="Julie Chavez"/>
        <s v="Richard Blair"/>
        <s v="Mitchell Lester"/>
        <s v="Mr. John Tyler PhD"/>
        <s v="Juan Kelly"/>
        <s v="Morgan Mccarthy"/>
        <s v="Morgan Sullivan"/>
        <s v="Eric Clark"/>
        <s v="Mark Padilla"/>
        <s v="Anthony Lane"/>
        <s v="Jeffrey Henderson"/>
        <s v="Michelle Hardy"/>
        <s v="Ms. Barbara Cervantes"/>
        <s v="Steven Proctor"/>
        <s v="Shannon Patterson"/>
        <s v="William Valdez"/>
        <s v="Laura Yu"/>
        <s v="Jonathan Mcmillan"/>
        <s v="Austin Davis"/>
        <s v="Mark Roy"/>
        <s v="Jillian Williams"/>
        <s v="Rebekah Carter"/>
        <s v="Jonathan Reed"/>
        <s v="Roger Harris"/>
        <s v="Louis Jimenez"/>
        <s v="Jessica Jones"/>
        <s v="Renee Gomez"/>
        <s v="Connie Olson"/>
        <s v="Christian Jones"/>
        <s v="Matthew Kelley"/>
        <s v="Candace Martinez"/>
        <s v="Jacob Mann"/>
        <s v="Keith Reese"/>
        <s v="Aaron Jones"/>
        <s v="Christopher Brooks"/>
        <s v="Charles Moore"/>
        <s v="Manuel Walls"/>
        <s v="Darren Moore"/>
        <s v="Stephanie Thomas"/>
        <s v="Kristy Hernandez"/>
        <s v="Randy Johnson"/>
        <s v="James Benitez"/>
        <s v="Donald York"/>
        <s v="Tiffany Parker"/>
        <s v="Melissa Mcknight"/>
        <s v="Mr. Jack Mercado"/>
        <s v="Rachel Fisher"/>
        <s v="Donald Moore"/>
        <s v="William Wu"/>
        <s v="Jesus Zuniga"/>
        <s v="Michael Gallegos"/>
        <s v="Robert Daniels"/>
        <s v="Jill Jones"/>
        <s v="Elizabeth Miller"/>
        <s v="Sabrina Clark"/>
        <s v="Larry Casey"/>
        <s v="Daniel Burns"/>
        <s v="James Tanner"/>
        <s v="Leonard Gonzalez"/>
        <s v="Richard Lee"/>
        <s v="Matthew Schroeder"/>
        <s v="Marcus Flores"/>
        <s v="Tonya Long"/>
        <s v="Michael Chambers"/>
        <s v="Kaylee Glover"/>
        <s v="Pamela Patterson"/>
        <s v="Ronald Mckinney"/>
        <s v="James Hart"/>
        <s v="Rhonda Harris"/>
        <s v="Randy Fisher"/>
        <s v="James Hernandez"/>
        <s v="Brenda Murphy"/>
        <s v="Andrew Kirby"/>
        <s v="Justin Thomas"/>
        <s v="Jillian Johnson MD"/>
        <s v="William Martin"/>
        <s v="Mark Dixon"/>
        <s v="Alicia Allen"/>
        <s v="Cynthia Meyer"/>
        <s v="Brandon Norton"/>
        <s v="Christina Scott"/>
        <s v="Andrew Macias"/>
        <s v="Alejandro Williams"/>
        <s v="Mark Rodriguez"/>
        <s v="Sarah Montgomery"/>
        <s v="Marisa Prince"/>
        <s v="James Bonilla"/>
        <s v="Robin Myers"/>
        <s v="Nancy Sanchez"/>
        <s v="Sydney Walls"/>
        <s v="Deborah Hoffman"/>
        <s v="Shane Clark"/>
        <s v="Steven Haynes"/>
        <s v="Kimberly Fuller"/>
        <s v="Angela Lyons"/>
        <s v="Betty Tucker"/>
        <s v="Brianna Hunt"/>
        <s v="Cathy Clark"/>
        <s v="Nicole Warren"/>
        <s v="Richard Castaneda"/>
        <s v="Sarah Torres"/>
        <s v="Vanessa Deleon"/>
        <s v="Richard Lyons"/>
        <s v="Eric Adams"/>
        <s v="Chad Brown"/>
        <s v="Kayla Becker"/>
        <s v="Ashley Freeman"/>
        <s v="Scott Harris"/>
        <s v="John James"/>
        <s v="Jesse Bond"/>
        <s v="Brandon Hughes"/>
        <s v="Lynn Reynolds"/>
        <s v="Ronald Good"/>
        <s v="Kyle Baker"/>
        <s v="Michael Rivera"/>
        <s v="Lori Adkins"/>
        <s v="Luis Warner"/>
        <s v="Donald Perry"/>
        <s v="Adam Stevens"/>
        <s v="Kimberly Johnson"/>
        <s v="Kelly Jones"/>
        <s v="Ashley Petty"/>
        <s v="Crystal Ross"/>
        <s v="Alexis Duffy"/>
        <s v="Stephanie Sanchez"/>
        <s v="Reginald Espinoza"/>
        <s v="Sandra Hicks"/>
        <s v="Olivia Orozco"/>
        <s v="Larry Moore"/>
        <s v="Mrs. Rachel Cannon DDS"/>
        <s v="Daniel Flowers"/>
        <s v="Randy Acosta"/>
        <s v="Deborah Williams"/>
        <s v="Robert Michael"/>
        <s v="Danny Ramirez"/>
        <s v="Stephen Baker"/>
        <s v="Jeffrey Wilcox"/>
        <s v="James Clarke"/>
        <s v="Julia Gallagher"/>
        <s v="Ronald Frey Jr."/>
        <s v="Megan Charles"/>
        <s v="Amy Duran MD"/>
        <s v="Christopher Thomas"/>
        <s v="Peter Castro"/>
        <s v="Steven Acosta"/>
        <s v="Lindsay Jackson"/>
        <s v="Kelly Smith"/>
        <s v="Sabrina Hartman"/>
        <s v="Cynthia Smith"/>
        <s v="Olivia Dickerson"/>
        <s v="Whitney Stout"/>
        <s v="Stephanie Flores"/>
        <s v="Gregory English"/>
        <s v="Natalie Maxwell"/>
        <s v="Tina Blake"/>
        <s v="Clarence Cooke"/>
        <s v="Tamara Guzman"/>
        <s v="Marissa Hartman"/>
        <s v="Sara Garcia"/>
        <s v="Kathryn Rogers"/>
        <s v="Kyle Dickson"/>
        <s v="Jacob Decker"/>
        <s v="Aaron Johnson"/>
        <s v="William Morse"/>
        <s v="Carrie Smith"/>
        <s v="Vincent Roth"/>
        <s v="Andrew Benson"/>
        <s v="Jason Wilson"/>
        <s v="Colin Patterson"/>
        <s v="Eric Bates"/>
        <s v="Steven Keith"/>
        <s v="Seth Rodriguez"/>
        <s v="Lauren Jones"/>
        <s v="Thomas Wallace"/>
        <s v="Mr. Daniel Wilson"/>
        <s v="Julie Smith MD"/>
        <s v="Carol Mitchell"/>
        <s v="John Thompson"/>
        <s v="Debra Rodriguez"/>
        <s v="Erin Vasquez"/>
        <s v="Clayton Lara"/>
        <s v="Tony Ray"/>
        <s v="Steven Frey"/>
        <s v="Stephanie Leonard"/>
        <s v="Crystal Chambers"/>
        <s v="Robert White"/>
        <s v="Sylvia Barron"/>
        <s v="Marcus Brown"/>
        <s v="Annette Pierce"/>
        <s v="Donald Hernandez"/>
        <s v="Megan Davis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Zachary Carpenter"/>
        <s v="Timothy Baker"/>
        <s v="Adam James"/>
        <s v="Katrina Wood"/>
        <s v="James Murray"/>
        <s v="Mr. Nathaniel Reeves"/>
        <s v="Jodi Wood"/>
        <s v="Dr. Thomas Peterson"/>
        <s v="Mario Hall"/>
        <s v="Justin Rosales"/>
        <s v="Autumn Lee"/>
        <s v="Victoria Duran"/>
        <s v="Barry Garcia"/>
        <s v="Dawn Webb"/>
        <s v="Patricia Sanford"/>
        <s v="William Walters"/>
        <s v="Emma Scott"/>
        <s v="Sabrina Buckley"/>
        <s v="Robert Rojas"/>
        <s v="Eric Johnson"/>
        <s v="Heather Parker"/>
        <s v="Thomas Matthews"/>
        <s v="Kimberly Beard"/>
        <s v="Lydia Donovan"/>
        <s v="Edward Johnson"/>
        <s v="Ricky Smith"/>
        <s v="Mr. Ralph Garcia Jr."/>
        <s v="Malik Walker"/>
        <s v="Tanya Walker"/>
        <s v="Sherri Ferguson DVM"/>
        <s v="Kristin Hart"/>
        <s v="Jim Johnson"/>
        <s v="David Hamilton"/>
        <s v="Michael Jimenez"/>
        <s v="Angela Norman"/>
        <s v="Denise Mcdaniel"/>
        <s v="Matthew Huff"/>
        <s v="Linda Little"/>
        <s v="Kerri Andrews"/>
        <s v="Jeffrey Johnson III"/>
        <s v="Daniel Dixon"/>
        <s v="Tiffany Robinson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Jasmin Jones"/>
        <s v="Matthew Gardner"/>
        <s v="Joseph Perkins"/>
        <s v="Ashley Adams MD"/>
        <s v="Cheryl Stevens"/>
        <s v="Jorge George"/>
        <s v="Ann Mooney"/>
        <s v="James Mendoza"/>
        <s v="Kaitlin Garrison"/>
        <s v="Jeremy Jackson"/>
        <s v="Dale Craig"/>
        <s v="Joseph Hooper"/>
        <s v="Alexander Adams"/>
        <s v="Ashlee Mills"/>
        <s v="Brittany Jenkins"/>
        <s v="Eddie Gonzales"/>
        <s v="Edward Valencia"/>
        <s v="Emma Bruce"/>
        <s v="Carl Wade DDS"/>
        <s v="Brandon Alvarado"/>
        <s v="Jennifer Clark"/>
        <s v="David Johnson"/>
        <s v="April Marquez"/>
        <s v="Joseph Guerrero"/>
        <s v="Michael Hanson"/>
        <s v="William Hill"/>
        <s v="Kelsey Huber"/>
        <s v="Hailey Chandler"/>
        <s v="Cheyenne Rose"/>
        <s v="Richard Petersen"/>
        <s v="Kathryn Gray"/>
        <s v="Victor Collins"/>
        <s v="Jason Hernandez"/>
        <s v="Jacob Torres"/>
        <s v="Erin Hernandez"/>
        <s v="Jacob Guzman"/>
        <s v="Mike Armstrong"/>
        <s v="Cindy Rowland"/>
        <s v="Kenneth Matthews"/>
        <s v="Susan Valdez"/>
        <s v="Stephanie Manning"/>
        <s v="Logan Galloway"/>
        <s v="Christopher Stone"/>
        <s v="Megan Pitts"/>
        <s v="Richard Gardner"/>
        <s v="Samuel Moore"/>
        <s v="Robert Stokes"/>
        <s v="Danielle Ramirez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Jasmine James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amie Jimenez"/>
        <s v="James Carter"/>
        <s v="John Williams"/>
        <s v="Alicia Oneill"/>
        <s v="Rebecca Huff"/>
        <s v="Diana Scott"/>
        <s v="Brian Young"/>
        <s v="Susan Wright"/>
        <s v="Kayla Banks"/>
        <s v="Zachary Pierce"/>
        <s v="Nicolas Owen"/>
        <s v="Martha Carney"/>
        <s v="Francisco Hicks"/>
        <s v="Matthew Parker"/>
        <s v="Paul Bryant"/>
        <s v="Bruce Dennis"/>
        <s v="Joseph Bates"/>
        <s v="Kelly Pacheco"/>
        <s v="Jeffrey Weber"/>
        <s v="Andrew Krueger"/>
        <s v="Kathleen Cox"/>
        <s v="Jamie Bradley"/>
        <s v="Robert Martinez"/>
        <s v="Christopher Rogers"/>
        <s v="Roberto Parrish"/>
        <s v="Amber Kennedy"/>
        <s v="Maria Davis"/>
        <s v="Terry Gilbert"/>
        <s v="Devon Schmitt"/>
        <s v="Robert Mosley"/>
        <s v="Paul Scott"/>
        <s v="Kristin Alvarez"/>
        <s v="Kevin Jackson"/>
        <s v="Mrs. Lauren Potter DDS"/>
        <s v="Jason Brown"/>
        <s v="Jamie Santos"/>
        <s v="James Taylor"/>
        <s v="Alicia Vincent"/>
        <s v="Kenneth Adams"/>
        <s v="Shelby Browning"/>
        <s v="Johnny Hill"/>
        <s v="Nicholas Tucker"/>
        <s v="Theresa Cline"/>
        <s v="Christine Wheeler"/>
        <s v="Carlos Wells"/>
        <s v="Randall Bell"/>
        <s v="Kendra Mckinney"/>
        <s v="Amanda Kim"/>
        <s v="Megan Morgan"/>
        <s v="Vincent Kramer"/>
        <s v="Raymond Bean"/>
        <s v="Reginald Hebert"/>
        <s v="Jeremy Vazquez"/>
        <s v="Michael Stewart"/>
        <s v="Kevin Johnson"/>
        <s v="Tara Hughes"/>
        <s v="Sandra Perkins"/>
        <s v="Heather Bell"/>
        <s v="Nancy Boyd"/>
        <s v="Raymond Reyes"/>
        <s v="Cassandra Jordan"/>
        <s v="Evelyn Harris"/>
        <s v="Shannon Maynard"/>
        <s v="Marie James"/>
        <s v="Maria Carroll"/>
        <s v="Jessica Sloan"/>
        <s v="Scott Craig"/>
        <s v="Kaitlin Brown"/>
        <s v="William Beck"/>
        <s v="Eric Mason"/>
        <s v="Lisa Lowe"/>
        <s v="Roy Miller"/>
        <s v="Christopher Espinoza"/>
        <s v="Claire Cole"/>
        <s v="Eric Nunez"/>
        <s v="David Bell"/>
        <s v="Patrick Hensley MD"/>
        <s v="John Cox"/>
        <s v="Michelle Sullivan"/>
        <s v="Angela Todd"/>
        <s v="Luke Saunders"/>
        <s v="Dr. Jennifer Benton DVM"/>
        <s v="Keith Smith"/>
        <s v="Danielle Mitchell"/>
        <s v="Jesus Hernandez"/>
        <s v="Jason Norman"/>
        <s v="Laura Poole"/>
        <s v="Sarah Wagner"/>
        <s v="Bryan Baird"/>
        <s v="Amy Thompson"/>
        <s v="Ashley Wright"/>
        <s v="Michelle Lynch"/>
        <s v="Ryan Hale"/>
        <s v="Marie Jefferson"/>
        <s v="Vanessa Smith"/>
        <s v="Ryan Foster"/>
        <s v="David Lara"/>
        <s v="Jonathan Young"/>
        <s v="Debra Townsend"/>
        <s v="John Thomas"/>
        <s v="Bryan Anderson"/>
        <s v="Sarah Miller"/>
        <s v="Robert Hill"/>
        <s v="Joshua Rojas"/>
        <s v="Angelica Lewis"/>
        <s v="Jessica Russell"/>
        <s v="Mary Johnson"/>
        <s v="Joseph Knight"/>
        <s v="Jessica Greene"/>
        <s v="Vincent Perez"/>
        <s v="Dennis Rivera"/>
        <s v="Nancy Keller"/>
        <s v="Michelle Anderson"/>
        <s v="Anthony May"/>
        <s v="Michelle Guerra"/>
        <s v="Meghan Ballard"/>
        <s v="Brian Wheeler"/>
        <s v="William Rosario"/>
        <s v="Jessica Hunt"/>
        <s v="Tony Chavez"/>
        <s v="Mary Crawford"/>
        <s v="Roger Morrison"/>
        <s v="Bethany Harrison"/>
        <s v="Lisa Mcintyre"/>
        <s v="Carolyn Gonzalez"/>
        <s v="Christina Oconnell"/>
        <s v="James Garcia"/>
        <s v="Emily Frederick"/>
        <s v="Shawn Wise"/>
        <s v="Carrie Alvarez"/>
        <s v="Matthew James"/>
        <s v="Jerry Alvarado"/>
        <s v="Paul Zimmerman"/>
        <s v="Carl Ryan"/>
        <s v="Kelly Roberts"/>
        <s v="Jack Woods"/>
        <s v="Albert Alexander Jr."/>
        <s v="Teresa Perez"/>
        <s v="Amanda Williams"/>
        <s v="Kristen Lawson"/>
        <s v="Jacob Stewart"/>
        <s v="Daniel Brooks"/>
        <s v="Aaron Dunn"/>
        <s v="Jacob Martinez"/>
        <s v="Raymond Burgess"/>
        <s v="Jennifer Cooke"/>
        <s v="Tyrone White"/>
        <s v="Charles Williams"/>
        <s v="Amy Page"/>
        <s v="Scott Gibbs"/>
        <s v="Angela Roberts"/>
        <s v="Kyle Hernandez"/>
        <s v="Cynthia Ferguson"/>
        <s v="Brandi Garcia"/>
        <s v="Matthew Blake"/>
        <s v="Lauren Howell"/>
        <s v="Joseph Wilson"/>
        <s v="Tanner Vance"/>
        <s v="Michael Nash"/>
        <s v="Brent Thomas"/>
        <s v="Harold Mitchell"/>
        <s v="Ashley Palmer"/>
        <s v="Stephen Hogan"/>
        <s v="George Ashley"/>
        <s v="Sara Bailey"/>
        <s v="Tanya Thomas MD"/>
        <s v="Maria Galvan"/>
        <s v="Duane Kelly"/>
        <s v="Frank Reynolds"/>
        <s v="Aaron Kim"/>
        <s v="David Allen"/>
        <s v="Monica Lee"/>
        <s v="Erica Scott"/>
        <s v="Melissa Mitchell"/>
        <s v="Joshua Murray"/>
        <s v="John Jones"/>
        <s v="Cheryl Johnson"/>
        <s v="Lisa Farmer"/>
        <s v="Christopher Walker"/>
        <s v="Elizabeth Coffey"/>
        <s v="Joseph Clark"/>
        <s v="Jamie Brewer"/>
        <s v="Lauren Boyer"/>
        <s v="Howard Esparza"/>
        <s v="James Hickman"/>
        <s v="Jennifer Hernandez"/>
        <s v="Shannon Warren"/>
        <s v="Ashley Aguilar"/>
        <s v="Daniel Price"/>
        <s v="James Perez"/>
        <s v="Jerry Smith"/>
        <s v="Andre Fernandez"/>
        <s v="Anthony West"/>
        <s v="Amber Flowers"/>
        <s v="Patricia Davis"/>
        <s v="Jasmine Gibbs"/>
        <s v="Nicole Dudley"/>
        <s v="Lori Colon"/>
        <s v="William Carr"/>
        <s v="Jeffrey Dixon"/>
        <s v="Robert Sexton"/>
        <s v="Brooke Gonzalez"/>
        <s v="Victoria Bryant MD"/>
        <s v="Nancy Kennedy"/>
        <s v="Andrew Barry"/>
        <s v="Carlos Wheeler"/>
        <s v="Isabella Roach"/>
        <s v="Samantha Williams"/>
        <s v="Samuel Little MD"/>
        <s v="Paul Taylor"/>
        <s v="Susan Baker"/>
        <s v="Mark Fry"/>
        <s v="Megan Mclean"/>
        <s v="Caitlin Hunt"/>
        <s v="Jenna Holland"/>
        <s v="Stephanie Oconnell"/>
        <s v="Andrea Hill"/>
      </sharedItems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 count="12"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Quantity" numFmtId="0">
      <sharedItems containsSemiMixedTypes="0" containsString="0" containsNumber="1" containsInteger="1" minValue="1" maxValue="20" count="20">
        <n v="5"/>
        <n v="14"/>
        <n v="12"/>
        <n v="10"/>
        <n v="16"/>
        <n v="19"/>
        <n v="1"/>
        <n v="15"/>
        <n v="9"/>
        <n v="18"/>
        <n v="6"/>
        <n v="2"/>
        <n v="20"/>
        <n v="11"/>
        <n v="17"/>
        <n v="4"/>
        <n v="3"/>
        <n v="8"/>
        <n v="7"/>
        <n v="13"/>
      </sharedItems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 count="18">
        <s v="Miami"/>
        <s v="Chicago"/>
        <s v="Buffalo"/>
        <s v="Orlando"/>
        <s v="Los Angeles"/>
        <s v="New York City"/>
        <s v="Springfield"/>
        <s v="Rochester"/>
        <s v="Dallas"/>
        <s v="San Diego"/>
        <s v="Austin"/>
        <s v="San Francisco"/>
        <s v="Columbus"/>
        <s v="Cincinnati"/>
        <s v="Cleveland"/>
        <s v="Houston"/>
        <s v="Tampa"/>
        <s v="Peoria"/>
      </sharedItems>
    </cacheField>
    <cacheField name="Amount" numFmtId="0">
      <sharedItems containsSemiMixedTypes="0" containsString="0" containsNumber="1" containsInteger="1" minValue="508" maxValue="9992"/>
    </cacheField>
    <cacheField name="PaymentMode" numFmtId="0">
      <sharedItems count="5">
        <s v="UPI"/>
        <s v="Debit Card"/>
        <s v="EMI"/>
        <s v="Credit Card"/>
        <s v="COD"/>
      </sharedItems>
    </cacheField>
    <cacheField name="MEMBERSHIP" numFmtId="0">
      <sharedItems count="5">
        <s v="PLATINUM"/>
        <s v="SILEVER"/>
        <s v="BASIC"/>
        <s v="NORMAL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d v="2023-06-27T00:00:00"/>
    <x v="0"/>
    <x v="0"/>
    <x v="0"/>
    <x v="0"/>
    <x v="0"/>
    <x v="0"/>
    <n v="9726"/>
    <x v="0"/>
    <x v="0"/>
  </r>
  <r>
    <d v="2024-12-27T00:00:00"/>
    <x v="1"/>
    <x v="0"/>
    <x v="0"/>
    <x v="0"/>
    <x v="1"/>
    <x v="1"/>
    <n v="9726"/>
    <x v="0"/>
    <x v="0"/>
  </r>
  <r>
    <d v="2021-07-25T00:00:00"/>
    <x v="2"/>
    <x v="0"/>
    <x v="0"/>
    <x v="0"/>
    <x v="2"/>
    <x v="2"/>
    <n v="9726"/>
    <x v="0"/>
    <x v="0"/>
  </r>
  <r>
    <d v="2023-06-27T00:00:00"/>
    <x v="0"/>
    <x v="0"/>
    <x v="1"/>
    <x v="1"/>
    <x v="0"/>
    <x v="0"/>
    <n v="4975"/>
    <x v="0"/>
    <x v="1"/>
  </r>
  <r>
    <d v="2024-12-27T00:00:00"/>
    <x v="1"/>
    <x v="0"/>
    <x v="1"/>
    <x v="1"/>
    <x v="1"/>
    <x v="1"/>
    <n v="4975"/>
    <x v="0"/>
    <x v="1"/>
  </r>
  <r>
    <d v="2021-07-25T00:00:00"/>
    <x v="2"/>
    <x v="0"/>
    <x v="1"/>
    <x v="1"/>
    <x v="2"/>
    <x v="2"/>
    <n v="4975"/>
    <x v="0"/>
    <x v="1"/>
  </r>
  <r>
    <d v="2024-05-11T00:00:00"/>
    <x v="3"/>
    <x v="1"/>
    <x v="2"/>
    <x v="2"/>
    <x v="0"/>
    <x v="3"/>
    <n v="1525"/>
    <x v="1"/>
    <x v="2"/>
  </r>
  <r>
    <d v="2021-10-09T00:00:00"/>
    <x v="4"/>
    <x v="1"/>
    <x v="2"/>
    <x v="2"/>
    <x v="0"/>
    <x v="0"/>
    <n v="1525"/>
    <x v="1"/>
    <x v="2"/>
  </r>
  <r>
    <d v="2022-11-18T00:00:00"/>
    <x v="5"/>
    <x v="0"/>
    <x v="3"/>
    <x v="3"/>
    <x v="3"/>
    <x v="4"/>
    <n v="883"/>
    <x v="2"/>
    <x v="2"/>
  </r>
  <r>
    <d v="2022-11-18T00:00:00"/>
    <x v="5"/>
    <x v="2"/>
    <x v="4"/>
    <x v="4"/>
    <x v="3"/>
    <x v="4"/>
    <n v="8127"/>
    <x v="3"/>
    <x v="0"/>
  </r>
  <r>
    <d v="2023-11-12T00:00:00"/>
    <x v="6"/>
    <x v="2"/>
    <x v="5"/>
    <x v="5"/>
    <x v="2"/>
    <x v="5"/>
    <n v="2516"/>
    <x v="0"/>
    <x v="3"/>
  </r>
  <r>
    <d v="2020-03-23T00:00:00"/>
    <x v="7"/>
    <x v="1"/>
    <x v="2"/>
    <x v="1"/>
    <x v="2"/>
    <x v="5"/>
    <n v="2975"/>
    <x v="3"/>
    <x v="3"/>
  </r>
  <r>
    <d v="2020-05-04T00:00:00"/>
    <x v="8"/>
    <x v="1"/>
    <x v="6"/>
    <x v="6"/>
    <x v="0"/>
    <x v="3"/>
    <n v="6851"/>
    <x v="1"/>
    <x v="4"/>
  </r>
  <r>
    <d v="2020-05-04T00:00:00"/>
    <x v="8"/>
    <x v="2"/>
    <x v="7"/>
    <x v="7"/>
    <x v="0"/>
    <x v="3"/>
    <n v="7626"/>
    <x v="3"/>
    <x v="4"/>
  </r>
  <r>
    <d v="2020-05-04T00:00:00"/>
    <x v="8"/>
    <x v="2"/>
    <x v="4"/>
    <x v="8"/>
    <x v="0"/>
    <x v="3"/>
    <n v="1023"/>
    <x v="0"/>
    <x v="2"/>
  </r>
  <r>
    <d v="2023-11-09T00:00:00"/>
    <x v="9"/>
    <x v="1"/>
    <x v="2"/>
    <x v="3"/>
    <x v="1"/>
    <x v="6"/>
    <n v="7600"/>
    <x v="0"/>
    <x v="4"/>
  </r>
  <r>
    <d v="2023-11-09T00:00:00"/>
    <x v="9"/>
    <x v="1"/>
    <x v="8"/>
    <x v="9"/>
    <x v="1"/>
    <x v="6"/>
    <n v="7501"/>
    <x v="4"/>
    <x v="4"/>
  </r>
  <r>
    <d v="2024-12-30T00:00:00"/>
    <x v="10"/>
    <x v="1"/>
    <x v="8"/>
    <x v="10"/>
    <x v="2"/>
    <x v="7"/>
    <n v="725"/>
    <x v="3"/>
    <x v="2"/>
  </r>
  <r>
    <d v="2024-12-30T00:00:00"/>
    <x v="10"/>
    <x v="2"/>
    <x v="4"/>
    <x v="11"/>
    <x v="2"/>
    <x v="7"/>
    <n v="7201"/>
    <x v="3"/>
    <x v="4"/>
  </r>
  <r>
    <d v="2025-02-11T00:00:00"/>
    <x v="11"/>
    <x v="1"/>
    <x v="8"/>
    <x v="6"/>
    <x v="4"/>
    <x v="8"/>
    <n v="1629"/>
    <x v="0"/>
    <x v="2"/>
  </r>
  <r>
    <d v="2024-01-23T00:00:00"/>
    <x v="12"/>
    <x v="1"/>
    <x v="8"/>
    <x v="6"/>
    <x v="3"/>
    <x v="9"/>
    <n v="1629"/>
    <x v="0"/>
    <x v="2"/>
  </r>
  <r>
    <d v="2020-11-28T00:00:00"/>
    <x v="13"/>
    <x v="1"/>
    <x v="9"/>
    <x v="5"/>
    <x v="3"/>
    <x v="9"/>
    <n v="8971"/>
    <x v="1"/>
    <x v="0"/>
  </r>
  <r>
    <d v="2020-11-28T00:00:00"/>
    <x v="13"/>
    <x v="1"/>
    <x v="9"/>
    <x v="12"/>
    <x v="3"/>
    <x v="9"/>
    <n v="2939"/>
    <x v="4"/>
    <x v="3"/>
  </r>
  <r>
    <d v="2024-05-30T00:00:00"/>
    <x v="14"/>
    <x v="0"/>
    <x v="10"/>
    <x v="13"/>
    <x v="2"/>
    <x v="7"/>
    <n v="9380"/>
    <x v="0"/>
    <x v="0"/>
  </r>
  <r>
    <d v="2024-05-30T00:00:00"/>
    <x v="14"/>
    <x v="1"/>
    <x v="9"/>
    <x v="9"/>
    <x v="2"/>
    <x v="7"/>
    <n v="8558"/>
    <x v="3"/>
    <x v="0"/>
  </r>
  <r>
    <d v="2024-05-30T00:00:00"/>
    <x v="14"/>
    <x v="1"/>
    <x v="8"/>
    <x v="14"/>
    <x v="2"/>
    <x v="7"/>
    <n v="4080"/>
    <x v="4"/>
    <x v="1"/>
  </r>
  <r>
    <d v="2022-01-23T00:00:00"/>
    <x v="15"/>
    <x v="0"/>
    <x v="0"/>
    <x v="14"/>
    <x v="4"/>
    <x v="10"/>
    <n v="4206"/>
    <x v="2"/>
    <x v="1"/>
  </r>
  <r>
    <d v="2021-12-17T00:00:00"/>
    <x v="16"/>
    <x v="1"/>
    <x v="9"/>
    <x v="12"/>
    <x v="2"/>
    <x v="5"/>
    <n v="5219"/>
    <x v="4"/>
    <x v="1"/>
  </r>
  <r>
    <d v="2023-02-03T00:00:00"/>
    <x v="17"/>
    <x v="1"/>
    <x v="9"/>
    <x v="12"/>
    <x v="3"/>
    <x v="11"/>
    <n v="5219"/>
    <x v="4"/>
    <x v="1"/>
  </r>
  <r>
    <d v="2022-10-30T00:00:00"/>
    <x v="18"/>
    <x v="1"/>
    <x v="2"/>
    <x v="12"/>
    <x v="3"/>
    <x v="11"/>
    <n v="3686"/>
    <x v="1"/>
    <x v="3"/>
  </r>
  <r>
    <d v="2022-01-15T00:00:00"/>
    <x v="19"/>
    <x v="1"/>
    <x v="2"/>
    <x v="12"/>
    <x v="5"/>
    <x v="12"/>
    <n v="3686"/>
    <x v="1"/>
    <x v="3"/>
  </r>
  <r>
    <d v="2023-12-14T00:00:00"/>
    <x v="20"/>
    <x v="1"/>
    <x v="8"/>
    <x v="15"/>
    <x v="0"/>
    <x v="3"/>
    <n v="6045"/>
    <x v="4"/>
    <x v="4"/>
  </r>
  <r>
    <d v="2023-12-14T00:00:00"/>
    <x v="20"/>
    <x v="1"/>
    <x v="2"/>
    <x v="13"/>
    <x v="0"/>
    <x v="3"/>
    <n v="9337"/>
    <x v="4"/>
    <x v="0"/>
  </r>
  <r>
    <d v="2023-07-03T00:00:00"/>
    <x v="21"/>
    <x v="0"/>
    <x v="10"/>
    <x v="2"/>
    <x v="3"/>
    <x v="9"/>
    <n v="4051"/>
    <x v="3"/>
    <x v="1"/>
  </r>
  <r>
    <d v="2021-05-08T00:00:00"/>
    <x v="22"/>
    <x v="0"/>
    <x v="10"/>
    <x v="2"/>
    <x v="5"/>
    <x v="13"/>
    <n v="4051"/>
    <x v="3"/>
    <x v="1"/>
  </r>
  <r>
    <d v="2023-07-03T00:00:00"/>
    <x v="21"/>
    <x v="2"/>
    <x v="11"/>
    <x v="13"/>
    <x v="3"/>
    <x v="9"/>
    <n v="5011"/>
    <x v="3"/>
    <x v="1"/>
  </r>
  <r>
    <d v="2021-05-08T00:00:00"/>
    <x v="22"/>
    <x v="2"/>
    <x v="11"/>
    <x v="13"/>
    <x v="5"/>
    <x v="13"/>
    <n v="5011"/>
    <x v="3"/>
    <x v="1"/>
  </r>
  <r>
    <d v="2022-10-07T00:00:00"/>
    <x v="23"/>
    <x v="2"/>
    <x v="7"/>
    <x v="7"/>
    <x v="0"/>
    <x v="3"/>
    <n v="3958"/>
    <x v="2"/>
    <x v="3"/>
  </r>
  <r>
    <d v="2022-10-07T00:00:00"/>
    <x v="23"/>
    <x v="2"/>
    <x v="4"/>
    <x v="6"/>
    <x v="0"/>
    <x v="3"/>
    <n v="3132"/>
    <x v="1"/>
    <x v="3"/>
  </r>
  <r>
    <d v="2024-08-06T00:00:00"/>
    <x v="24"/>
    <x v="1"/>
    <x v="6"/>
    <x v="2"/>
    <x v="3"/>
    <x v="11"/>
    <n v="7784"/>
    <x v="0"/>
    <x v="4"/>
  </r>
  <r>
    <d v="2024-08-06T00:00:00"/>
    <x v="24"/>
    <x v="1"/>
    <x v="2"/>
    <x v="16"/>
    <x v="3"/>
    <x v="11"/>
    <n v="5591"/>
    <x v="4"/>
    <x v="1"/>
  </r>
  <r>
    <d v="2024-08-06T00:00:00"/>
    <x v="24"/>
    <x v="0"/>
    <x v="0"/>
    <x v="2"/>
    <x v="3"/>
    <x v="11"/>
    <n v="5122"/>
    <x v="4"/>
    <x v="1"/>
  </r>
  <r>
    <d v="2022-01-05T00:00:00"/>
    <x v="25"/>
    <x v="1"/>
    <x v="9"/>
    <x v="17"/>
    <x v="5"/>
    <x v="14"/>
    <n v="8293"/>
    <x v="4"/>
    <x v="0"/>
  </r>
  <r>
    <d v="2020-10-17T00:00:00"/>
    <x v="26"/>
    <x v="1"/>
    <x v="9"/>
    <x v="17"/>
    <x v="2"/>
    <x v="7"/>
    <n v="8293"/>
    <x v="4"/>
    <x v="0"/>
  </r>
  <r>
    <d v="2023-08-21T00:00:00"/>
    <x v="27"/>
    <x v="1"/>
    <x v="9"/>
    <x v="17"/>
    <x v="3"/>
    <x v="4"/>
    <n v="8293"/>
    <x v="4"/>
    <x v="0"/>
  </r>
  <r>
    <d v="2022-01-05T00:00:00"/>
    <x v="25"/>
    <x v="0"/>
    <x v="10"/>
    <x v="14"/>
    <x v="5"/>
    <x v="14"/>
    <n v="2863"/>
    <x v="0"/>
    <x v="3"/>
  </r>
  <r>
    <d v="2020-10-17T00:00:00"/>
    <x v="26"/>
    <x v="0"/>
    <x v="10"/>
    <x v="14"/>
    <x v="2"/>
    <x v="7"/>
    <n v="2863"/>
    <x v="0"/>
    <x v="3"/>
  </r>
  <r>
    <d v="2023-08-21T00:00:00"/>
    <x v="27"/>
    <x v="0"/>
    <x v="10"/>
    <x v="14"/>
    <x v="3"/>
    <x v="4"/>
    <n v="2863"/>
    <x v="0"/>
    <x v="3"/>
  </r>
  <r>
    <d v="2024-12-27T00:00:00"/>
    <x v="28"/>
    <x v="2"/>
    <x v="4"/>
    <x v="10"/>
    <x v="3"/>
    <x v="9"/>
    <n v="3090"/>
    <x v="2"/>
    <x v="3"/>
  </r>
  <r>
    <d v="2021-06-18T00:00:00"/>
    <x v="29"/>
    <x v="2"/>
    <x v="4"/>
    <x v="10"/>
    <x v="5"/>
    <x v="13"/>
    <n v="3090"/>
    <x v="2"/>
    <x v="3"/>
  </r>
  <r>
    <d v="2023-05-27T00:00:00"/>
    <x v="30"/>
    <x v="2"/>
    <x v="4"/>
    <x v="10"/>
    <x v="4"/>
    <x v="10"/>
    <n v="3090"/>
    <x v="2"/>
    <x v="3"/>
  </r>
  <r>
    <d v="2021-10-12T00:00:00"/>
    <x v="31"/>
    <x v="2"/>
    <x v="4"/>
    <x v="10"/>
    <x v="4"/>
    <x v="8"/>
    <n v="3090"/>
    <x v="2"/>
    <x v="3"/>
  </r>
  <r>
    <d v="2024-12-27T00:00:00"/>
    <x v="28"/>
    <x v="0"/>
    <x v="1"/>
    <x v="0"/>
    <x v="3"/>
    <x v="9"/>
    <n v="9683"/>
    <x v="0"/>
    <x v="0"/>
  </r>
  <r>
    <d v="2021-06-18T00:00:00"/>
    <x v="29"/>
    <x v="0"/>
    <x v="1"/>
    <x v="0"/>
    <x v="5"/>
    <x v="13"/>
    <n v="9683"/>
    <x v="0"/>
    <x v="0"/>
  </r>
  <r>
    <d v="2023-05-27T00:00:00"/>
    <x v="30"/>
    <x v="0"/>
    <x v="1"/>
    <x v="0"/>
    <x v="4"/>
    <x v="10"/>
    <n v="9683"/>
    <x v="0"/>
    <x v="0"/>
  </r>
  <r>
    <d v="2021-10-12T00:00:00"/>
    <x v="31"/>
    <x v="0"/>
    <x v="1"/>
    <x v="0"/>
    <x v="4"/>
    <x v="8"/>
    <n v="9683"/>
    <x v="0"/>
    <x v="0"/>
  </r>
  <r>
    <d v="2022-09-19T00:00:00"/>
    <x v="32"/>
    <x v="2"/>
    <x v="4"/>
    <x v="9"/>
    <x v="5"/>
    <x v="13"/>
    <n v="2463"/>
    <x v="2"/>
    <x v="3"/>
  </r>
  <r>
    <d v="2022-03-25T00:00:00"/>
    <x v="33"/>
    <x v="2"/>
    <x v="7"/>
    <x v="2"/>
    <x v="0"/>
    <x v="0"/>
    <n v="7811"/>
    <x v="4"/>
    <x v="4"/>
  </r>
  <r>
    <d v="2022-02-26T00:00:00"/>
    <x v="34"/>
    <x v="2"/>
    <x v="4"/>
    <x v="3"/>
    <x v="0"/>
    <x v="3"/>
    <n v="6139"/>
    <x v="1"/>
    <x v="4"/>
  </r>
  <r>
    <d v="2021-04-05T00:00:00"/>
    <x v="17"/>
    <x v="2"/>
    <x v="4"/>
    <x v="3"/>
    <x v="4"/>
    <x v="15"/>
    <n v="6139"/>
    <x v="1"/>
    <x v="4"/>
  </r>
  <r>
    <d v="2022-02-26T00:00:00"/>
    <x v="34"/>
    <x v="2"/>
    <x v="5"/>
    <x v="16"/>
    <x v="0"/>
    <x v="3"/>
    <n v="8636"/>
    <x v="4"/>
    <x v="0"/>
  </r>
  <r>
    <d v="2021-04-05T00:00:00"/>
    <x v="17"/>
    <x v="2"/>
    <x v="5"/>
    <x v="16"/>
    <x v="4"/>
    <x v="15"/>
    <n v="8636"/>
    <x v="4"/>
    <x v="0"/>
  </r>
  <r>
    <d v="2022-02-26T00:00:00"/>
    <x v="34"/>
    <x v="2"/>
    <x v="7"/>
    <x v="5"/>
    <x v="0"/>
    <x v="3"/>
    <n v="4439"/>
    <x v="3"/>
    <x v="1"/>
  </r>
  <r>
    <d v="2021-04-05T00:00:00"/>
    <x v="17"/>
    <x v="2"/>
    <x v="7"/>
    <x v="5"/>
    <x v="4"/>
    <x v="15"/>
    <n v="4439"/>
    <x v="3"/>
    <x v="1"/>
  </r>
  <r>
    <d v="2020-11-16T00:00:00"/>
    <x v="35"/>
    <x v="2"/>
    <x v="4"/>
    <x v="12"/>
    <x v="2"/>
    <x v="2"/>
    <n v="1016"/>
    <x v="1"/>
    <x v="2"/>
  </r>
  <r>
    <d v="2020-11-16T00:00:00"/>
    <x v="35"/>
    <x v="2"/>
    <x v="4"/>
    <x v="1"/>
    <x v="2"/>
    <x v="2"/>
    <n v="5768"/>
    <x v="0"/>
    <x v="1"/>
  </r>
  <r>
    <d v="2020-11-16T00:00:00"/>
    <x v="35"/>
    <x v="2"/>
    <x v="4"/>
    <x v="16"/>
    <x v="2"/>
    <x v="2"/>
    <n v="1217"/>
    <x v="3"/>
    <x v="2"/>
  </r>
  <r>
    <d v="2024-12-12T00:00:00"/>
    <x v="36"/>
    <x v="1"/>
    <x v="8"/>
    <x v="11"/>
    <x v="5"/>
    <x v="14"/>
    <n v="953"/>
    <x v="1"/>
    <x v="2"/>
  </r>
  <r>
    <d v="2023-04-06T00:00:00"/>
    <x v="37"/>
    <x v="1"/>
    <x v="8"/>
    <x v="11"/>
    <x v="3"/>
    <x v="4"/>
    <n v="953"/>
    <x v="1"/>
    <x v="2"/>
  </r>
  <r>
    <d v="2024-12-12T00:00:00"/>
    <x v="36"/>
    <x v="2"/>
    <x v="7"/>
    <x v="16"/>
    <x v="5"/>
    <x v="14"/>
    <n v="7355"/>
    <x v="4"/>
    <x v="4"/>
  </r>
  <r>
    <d v="2023-04-06T00:00:00"/>
    <x v="37"/>
    <x v="2"/>
    <x v="7"/>
    <x v="16"/>
    <x v="3"/>
    <x v="4"/>
    <n v="7355"/>
    <x v="4"/>
    <x v="4"/>
  </r>
  <r>
    <d v="2024-12-12T00:00:00"/>
    <x v="36"/>
    <x v="0"/>
    <x v="10"/>
    <x v="16"/>
    <x v="5"/>
    <x v="14"/>
    <n v="1843"/>
    <x v="3"/>
    <x v="2"/>
  </r>
  <r>
    <d v="2023-04-06T00:00:00"/>
    <x v="37"/>
    <x v="0"/>
    <x v="10"/>
    <x v="16"/>
    <x v="3"/>
    <x v="4"/>
    <n v="1843"/>
    <x v="3"/>
    <x v="2"/>
  </r>
  <r>
    <d v="2024-12-12T00:00:00"/>
    <x v="36"/>
    <x v="1"/>
    <x v="2"/>
    <x v="3"/>
    <x v="5"/>
    <x v="14"/>
    <n v="1603"/>
    <x v="1"/>
    <x v="2"/>
  </r>
  <r>
    <d v="2023-04-06T00:00:00"/>
    <x v="37"/>
    <x v="1"/>
    <x v="2"/>
    <x v="3"/>
    <x v="3"/>
    <x v="4"/>
    <n v="1603"/>
    <x v="1"/>
    <x v="2"/>
  </r>
  <r>
    <d v="2024-01-28T00:00:00"/>
    <x v="38"/>
    <x v="1"/>
    <x v="2"/>
    <x v="6"/>
    <x v="0"/>
    <x v="0"/>
    <n v="2025"/>
    <x v="3"/>
    <x v="3"/>
  </r>
  <r>
    <d v="2024-01-28T00:00:00"/>
    <x v="38"/>
    <x v="1"/>
    <x v="9"/>
    <x v="4"/>
    <x v="0"/>
    <x v="0"/>
    <n v="6800"/>
    <x v="2"/>
    <x v="4"/>
  </r>
  <r>
    <d v="2022-01-16T00:00:00"/>
    <x v="39"/>
    <x v="2"/>
    <x v="11"/>
    <x v="6"/>
    <x v="0"/>
    <x v="16"/>
    <n v="1126"/>
    <x v="0"/>
    <x v="2"/>
  </r>
  <r>
    <d v="2022-12-16T00:00:00"/>
    <x v="40"/>
    <x v="2"/>
    <x v="11"/>
    <x v="6"/>
    <x v="2"/>
    <x v="2"/>
    <n v="1126"/>
    <x v="0"/>
    <x v="2"/>
  </r>
  <r>
    <d v="2023-07-13T00:00:00"/>
    <x v="41"/>
    <x v="2"/>
    <x v="4"/>
    <x v="2"/>
    <x v="3"/>
    <x v="9"/>
    <n v="7533"/>
    <x v="0"/>
    <x v="4"/>
  </r>
  <r>
    <d v="2023-07-13T00:00:00"/>
    <x v="41"/>
    <x v="1"/>
    <x v="9"/>
    <x v="4"/>
    <x v="3"/>
    <x v="9"/>
    <n v="4734"/>
    <x v="3"/>
    <x v="1"/>
  </r>
  <r>
    <d v="2023-07-13T00:00:00"/>
    <x v="41"/>
    <x v="0"/>
    <x v="0"/>
    <x v="10"/>
    <x v="3"/>
    <x v="9"/>
    <n v="4074"/>
    <x v="1"/>
    <x v="1"/>
  </r>
  <r>
    <d v="2023-07-13T00:00:00"/>
    <x v="41"/>
    <x v="2"/>
    <x v="7"/>
    <x v="16"/>
    <x v="3"/>
    <x v="9"/>
    <n v="2334"/>
    <x v="3"/>
    <x v="3"/>
  </r>
  <r>
    <d v="2025-03-10T00:00:00"/>
    <x v="42"/>
    <x v="0"/>
    <x v="10"/>
    <x v="13"/>
    <x v="2"/>
    <x v="2"/>
    <n v="2750"/>
    <x v="1"/>
    <x v="3"/>
  </r>
  <r>
    <d v="2024-09-24T00:00:00"/>
    <x v="43"/>
    <x v="0"/>
    <x v="10"/>
    <x v="13"/>
    <x v="5"/>
    <x v="14"/>
    <n v="2750"/>
    <x v="1"/>
    <x v="3"/>
  </r>
  <r>
    <d v="2025-03-10T00:00:00"/>
    <x v="42"/>
    <x v="1"/>
    <x v="2"/>
    <x v="5"/>
    <x v="2"/>
    <x v="2"/>
    <n v="8639"/>
    <x v="2"/>
    <x v="0"/>
  </r>
  <r>
    <d v="2024-09-24T00:00:00"/>
    <x v="43"/>
    <x v="1"/>
    <x v="2"/>
    <x v="5"/>
    <x v="5"/>
    <x v="14"/>
    <n v="8639"/>
    <x v="2"/>
    <x v="0"/>
  </r>
  <r>
    <d v="2020-04-13T00:00:00"/>
    <x v="44"/>
    <x v="1"/>
    <x v="6"/>
    <x v="15"/>
    <x v="2"/>
    <x v="5"/>
    <n v="3808"/>
    <x v="0"/>
    <x v="3"/>
  </r>
  <r>
    <d v="2020-04-13T00:00:00"/>
    <x v="44"/>
    <x v="1"/>
    <x v="2"/>
    <x v="4"/>
    <x v="2"/>
    <x v="5"/>
    <n v="2588"/>
    <x v="3"/>
    <x v="3"/>
  </r>
  <r>
    <d v="2022-06-27T00:00:00"/>
    <x v="45"/>
    <x v="0"/>
    <x v="0"/>
    <x v="0"/>
    <x v="1"/>
    <x v="6"/>
    <n v="1591"/>
    <x v="3"/>
    <x v="2"/>
  </r>
  <r>
    <d v="2021-03-14T00:00:00"/>
    <x v="46"/>
    <x v="0"/>
    <x v="0"/>
    <x v="0"/>
    <x v="0"/>
    <x v="16"/>
    <n v="1591"/>
    <x v="3"/>
    <x v="2"/>
  </r>
  <r>
    <d v="2022-02-23T00:00:00"/>
    <x v="47"/>
    <x v="0"/>
    <x v="0"/>
    <x v="0"/>
    <x v="5"/>
    <x v="13"/>
    <n v="1591"/>
    <x v="3"/>
    <x v="2"/>
  </r>
  <r>
    <d v="2022-03-29T00:00:00"/>
    <x v="48"/>
    <x v="2"/>
    <x v="5"/>
    <x v="3"/>
    <x v="5"/>
    <x v="14"/>
    <n v="1757"/>
    <x v="0"/>
    <x v="2"/>
  </r>
  <r>
    <d v="2022-11-20T00:00:00"/>
    <x v="49"/>
    <x v="2"/>
    <x v="5"/>
    <x v="3"/>
    <x v="1"/>
    <x v="17"/>
    <n v="1757"/>
    <x v="0"/>
    <x v="2"/>
  </r>
  <r>
    <d v="2021-11-12T00:00:00"/>
    <x v="50"/>
    <x v="2"/>
    <x v="11"/>
    <x v="7"/>
    <x v="0"/>
    <x v="3"/>
    <n v="6940"/>
    <x v="1"/>
    <x v="4"/>
  </r>
  <r>
    <d v="2021-11-12T00:00:00"/>
    <x v="50"/>
    <x v="0"/>
    <x v="1"/>
    <x v="0"/>
    <x v="0"/>
    <x v="3"/>
    <n v="5105"/>
    <x v="0"/>
    <x v="1"/>
  </r>
  <r>
    <d v="2021-08-17T00:00:00"/>
    <x v="51"/>
    <x v="2"/>
    <x v="4"/>
    <x v="4"/>
    <x v="0"/>
    <x v="0"/>
    <n v="5578"/>
    <x v="4"/>
    <x v="1"/>
  </r>
  <r>
    <d v="2022-05-16T00:00:00"/>
    <x v="52"/>
    <x v="2"/>
    <x v="4"/>
    <x v="4"/>
    <x v="5"/>
    <x v="12"/>
    <n v="5578"/>
    <x v="4"/>
    <x v="1"/>
  </r>
  <r>
    <d v="2023-07-16T00:00:00"/>
    <x v="53"/>
    <x v="2"/>
    <x v="5"/>
    <x v="4"/>
    <x v="4"/>
    <x v="15"/>
    <n v="5224"/>
    <x v="3"/>
    <x v="1"/>
  </r>
  <r>
    <d v="2023-07-16T00:00:00"/>
    <x v="53"/>
    <x v="1"/>
    <x v="6"/>
    <x v="13"/>
    <x v="4"/>
    <x v="15"/>
    <n v="5002"/>
    <x v="3"/>
    <x v="1"/>
  </r>
  <r>
    <d v="2023-07-16T00:00:00"/>
    <x v="53"/>
    <x v="1"/>
    <x v="6"/>
    <x v="9"/>
    <x v="4"/>
    <x v="15"/>
    <n v="7380"/>
    <x v="4"/>
    <x v="4"/>
  </r>
  <r>
    <d v="2020-08-18T00:00:00"/>
    <x v="54"/>
    <x v="2"/>
    <x v="5"/>
    <x v="15"/>
    <x v="3"/>
    <x v="4"/>
    <n v="7595"/>
    <x v="1"/>
    <x v="4"/>
  </r>
  <r>
    <d v="2022-04-19T00:00:00"/>
    <x v="55"/>
    <x v="2"/>
    <x v="5"/>
    <x v="15"/>
    <x v="2"/>
    <x v="7"/>
    <n v="7595"/>
    <x v="1"/>
    <x v="4"/>
  </r>
  <r>
    <d v="2022-12-23T00:00:00"/>
    <x v="56"/>
    <x v="2"/>
    <x v="7"/>
    <x v="18"/>
    <x v="4"/>
    <x v="10"/>
    <n v="1954"/>
    <x v="1"/>
    <x v="2"/>
  </r>
  <r>
    <d v="2024-12-07T00:00:00"/>
    <x v="57"/>
    <x v="0"/>
    <x v="1"/>
    <x v="12"/>
    <x v="4"/>
    <x v="8"/>
    <n v="523"/>
    <x v="2"/>
    <x v="2"/>
  </r>
  <r>
    <d v="2022-02-03T00:00:00"/>
    <x v="58"/>
    <x v="0"/>
    <x v="3"/>
    <x v="19"/>
    <x v="4"/>
    <x v="10"/>
    <n v="5704"/>
    <x v="2"/>
    <x v="1"/>
  </r>
  <r>
    <d v="2021-12-12T00:00:00"/>
    <x v="59"/>
    <x v="0"/>
    <x v="3"/>
    <x v="19"/>
    <x v="3"/>
    <x v="9"/>
    <n v="5704"/>
    <x v="2"/>
    <x v="1"/>
  </r>
  <r>
    <d v="2022-02-03T00:00:00"/>
    <x v="58"/>
    <x v="2"/>
    <x v="4"/>
    <x v="17"/>
    <x v="4"/>
    <x v="10"/>
    <n v="8797"/>
    <x v="0"/>
    <x v="0"/>
  </r>
  <r>
    <d v="2021-12-12T00:00:00"/>
    <x v="59"/>
    <x v="2"/>
    <x v="4"/>
    <x v="17"/>
    <x v="3"/>
    <x v="9"/>
    <n v="8797"/>
    <x v="0"/>
    <x v="0"/>
  </r>
  <r>
    <d v="2022-02-03T00:00:00"/>
    <x v="58"/>
    <x v="0"/>
    <x v="3"/>
    <x v="0"/>
    <x v="4"/>
    <x v="10"/>
    <n v="9236"/>
    <x v="1"/>
    <x v="0"/>
  </r>
  <r>
    <d v="2021-12-12T00:00:00"/>
    <x v="59"/>
    <x v="0"/>
    <x v="3"/>
    <x v="0"/>
    <x v="3"/>
    <x v="9"/>
    <n v="9236"/>
    <x v="1"/>
    <x v="0"/>
  </r>
  <r>
    <d v="2020-05-17T00:00:00"/>
    <x v="60"/>
    <x v="2"/>
    <x v="7"/>
    <x v="14"/>
    <x v="0"/>
    <x v="0"/>
    <n v="9109"/>
    <x v="2"/>
    <x v="0"/>
  </r>
  <r>
    <d v="2022-12-05T00:00:00"/>
    <x v="61"/>
    <x v="0"/>
    <x v="10"/>
    <x v="5"/>
    <x v="4"/>
    <x v="8"/>
    <n v="4358"/>
    <x v="3"/>
    <x v="1"/>
  </r>
  <r>
    <d v="2024-09-17T00:00:00"/>
    <x v="62"/>
    <x v="0"/>
    <x v="10"/>
    <x v="5"/>
    <x v="3"/>
    <x v="11"/>
    <n v="4358"/>
    <x v="3"/>
    <x v="1"/>
  </r>
  <r>
    <d v="2022-12-05T00:00:00"/>
    <x v="61"/>
    <x v="0"/>
    <x v="10"/>
    <x v="17"/>
    <x v="4"/>
    <x v="8"/>
    <n v="6459"/>
    <x v="3"/>
    <x v="4"/>
  </r>
  <r>
    <d v="2024-09-17T00:00:00"/>
    <x v="62"/>
    <x v="0"/>
    <x v="10"/>
    <x v="17"/>
    <x v="3"/>
    <x v="11"/>
    <n v="6459"/>
    <x v="3"/>
    <x v="4"/>
  </r>
  <r>
    <d v="2023-05-08T00:00:00"/>
    <x v="63"/>
    <x v="2"/>
    <x v="11"/>
    <x v="2"/>
    <x v="3"/>
    <x v="11"/>
    <n v="2478"/>
    <x v="4"/>
    <x v="3"/>
  </r>
  <r>
    <d v="2021-03-03T00:00:00"/>
    <x v="64"/>
    <x v="2"/>
    <x v="11"/>
    <x v="2"/>
    <x v="2"/>
    <x v="5"/>
    <n v="2478"/>
    <x v="4"/>
    <x v="3"/>
  </r>
  <r>
    <d v="2021-03-18T00:00:00"/>
    <x v="65"/>
    <x v="2"/>
    <x v="11"/>
    <x v="2"/>
    <x v="3"/>
    <x v="11"/>
    <n v="2478"/>
    <x v="4"/>
    <x v="3"/>
  </r>
  <r>
    <d v="2023-04-24T00:00:00"/>
    <x v="66"/>
    <x v="2"/>
    <x v="11"/>
    <x v="2"/>
    <x v="5"/>
    <x v="14"/>
    <n v="2478"/>
    <x v="4"/>
    <x v="3"/>
  </r>
  <r>
    <d v="2021-10-09T00:00:00"/>
    <x v="67"/>
    <x v="1"/>
    <x v="2"/>
    <x v="12"/>
    <x v="2"/>
    <x v="7"/>
    <n v="9992"/>
    <x v="1"/>
    <x v="0"/>
  </r>
  <r>
    <d v="2022-04-15T00:00:00"/>
    <x v="68"/>
    <x v="1"/>
    <x v="2"/>
    <x v="12"/>
    <x v="4"/>
    <x v="10"/>
    <n v="9992"/>
    <x v="1"/>
    <x v="0"/>
  </r>
  <r>
    <d v="2022-08-29T00:00:00"/>
    <x v="69"/>
    <x v="1"/>
    <x v="2"/>
    <x v="12"/>
    <x v="2"/>
    <x v="7"/>
    <n v="9992"/>
    <x v="1"/>
    <x v="0"/>
  </r>
  <r>
    <d v="2021-10-09T00:00:00"/>
    <x v="67"/>
    <x v="1"/>
    <x v="9"/>
    <x v="18"/>
    <x v="2"/>
    <x v="7"/>
    <n v="9619"/>
    <x v="0"/>
    <x v="0"/>
  </r>
  <r>
    <d v="2022-04-15T00:00:00"/>
    <x v="68"/>
    <x v="1"/>
    <x v="9"/>
    <x v="18"/>
    <x v="4"/>
    <x v="10"/>
    <n v="9619"/>
    <x v="0"/>
    <x v="0"/>
  </r>
  <r>
    <d v="2022-08-29T00:00:00"/>
    <x v="69"/>
    <x v="1"/>
    <x v="9"/>
    <x v="18"/>
    <x v="2"/>
    <x v="7"/>
    <n v="9619"/>
    <x v="0"/>
    <x v="0"/>
  </r>
  <r>
    <d v="2024-09-04T00:00:00"/>
    <x v="70"/>
    <x v="0"/>
    <x v="1"/>
    <x v="12"/>
    <x v="3"/>
    <x v="11"/>
    <n v="9538"/>
    <x v="3"/>
    <x v="0"/>
  </r>
  <r>
    <d v="2021-05-18T00:00:00"/>
    <x v="71"/>
    <x v="0"/>
    <x v="1"/>
    <x v="12"/>
    <x v="5"/>
    <x v="14"/>
    <n v="9538"/>
    <x v="3"/>
    <x v="0"/>
  </r>
  <r>
    <d v="2024-09-04T00:00:00"/>
    <x v="70"/>
    <x v="2"/>
    <x v="5"/>
    <x v="1"/>
    <x v="3"/>
    <x v="11"/>
    <n v="9035"/>
    <x v="2"/>
    <x v="0"/>
  </r>
  <r>
    <d v="2021-05-18T00:00:00"/>
    <x v="71"/>
    <x v="2"/>
    <x v="5"/>
    <x v="1"/>
    <x v="5"/>
    <x v="14"/>
    <n v="9035"/>
    <x v="2"/>
    <x v="0"/>
  </r>
  <r>
    <d v="2024-07-02T00:00:00"/>
    <x v="72"/>
    <x v="1"/>
    <x v="8"/>
    <x v="11"/>
    <x v="0"/>
    <x v="16"/>
    <n v="2684"/>
    <x v="4"/>
    <x v="3"/>
  </r>
  <r>
    <d v="2024-07-02T00:00:00"/>
    <x v="72"/>
    <x v="2"/>
    <x v="7"/>
    <x v="0"/>
    <x v="0"/>
    <x v="16"/>
    <n v="822"/>
    <x v="3"/>
    <x v="2"/>
  </r>
  <r>
    <d v="2024-07-02T00:00:00"/>
    <x v="72"/>
    <x v="2"/>
    <x v="5"/>
    <x v="11"/>
    <x v="0"/>
    <x v="16"/>
    <n v="9730"/>
    <x v="2"/>
    <x v="0"/>
  </r>
  <r>
    <d v="2024-07-02T00:00:00"/>
    <x v="72"/>
    <x v="0"/>
    <x v="0"/>
    <x v="11"/>
    <x v="0"/>
    <x v="16"/>
    <n v="2483"/>
    <x v="4"/>
    <x v="3"/>
  </r>
  <r>
    <d v="2024-02-16T00:00:00"/>
    <x v="73"/>
    <x v="1"/>
    <x v="9"/>
    <x v="18"/>
    <x v="0"/>
    <x v="3"/>
    <n v="1297"/>
    <x v="3"/>
    <x v="2"/>
  </r>
  <r>
    <d v="2024-02-16T00:00:00"/>
    <x v="73"/>
    <x v="0"/>
    <x v="10"/>
    <x v="5"/>
    <x v="0"/>
    <x v="3"/>
    <n v="7909"/>
    <x v="4"/>
    <x v="4"/>
  </r>
  <r>
    <d v="2021-11-26T00:00:00"/>
    <x v="74"/>
    <x v="2"/>
    <x v="4"/>
    <x v="17"/>
    <x v="4"/>
    <x v="8"/>
    <n v="9768"/>
    <x v="3"/>
    <x v="0"/>
  </r>
  <r>
    <d v="2021-11-26T00:00:00"/>
    <x v="74"/>
    <x v="2"/>
    <x v="7"/>
    <x v="0"/>
    <x v="4"/>
    <x v="8"/>
    <n v="4968"/>
    <x v="1"/>
    <x v="1"/>
  </r>
  <r>
    <d v="2021-11-26T00:00:00"/>
    <x v="74"/>
    <x v="0"/>
    <x v="3"/>
    <x v="15"/>
    <x v="4"/>
    <x v="8"/>
    <n v="1731"/>
    <x v="2"/>
    <x v="2"/>
  </r>
  <r>
    <d v="2024-02-01T00:00:00"/>
    <x v="75"/>
    <x v="1"/>
    <x v="9"/>
    <x v="3"/>
    <x v="3"/>
    <x v="11"/>
    <n v="3433"/>
    <x v="4"/>
    <x v="3"/>
  </r>
  <r>
    <d v="2021-09-09T00:00:00"/>
    <x v="76"/>
    <x v="1"/>
    <x v="9"/>
    <x v="3"/>
    <x v="1"/>
    <x v="6"/>
    <n v="3433"/>
    <x v="4"/>
    <x v="3"/>
  </r>
  <r>
    <d v="2021-09-08T00:00:00"/>
    <x v="77"/>
    <x v="1"/>
    <x v="9"/>
    <x v="3"/>
    <x v="3"/>
    <x v="9"/>
    <n v="3433"/>
    <x v="4"/>
    <x v="3"/>
  </r>
  <r>
    <d v="2024-02-01T00:00:00"/>
    <x v="75"/>
    <x v="1"/>
    <x v="9"/>
    <x v="6"/>
    <x v="3"/>
    <x v="11"/>
    <n v="3887"/>
    <x v="1"/>
    <x v="3"/>
  </r>
  <r>
    <d v="2021-09-09T00:00:00"/>
    <x v="76"/>
    <x v="1"/>
    <x v="9"/>
    <x v="6"/>
    <x v="1"/>
    <x v="6"/>
    <n v="3887"/>
    <x v="1"/>
    <x v="3"/>
  </r>
  <r>
    <d v="2021-09-08T00:00:00"/>
    <x v="77"/>
    <x v="1"/>
    <x v="9"/>
    <x v="6"/>
    <x v="3"/>
    <x v="9"/>
    <n v="3887"/>
    <x v="1"/>
    <x v="3"/>
  </r>
  <r>
    <d v="2024-07-09T00:00:00"/>
    <x v="78"/>
    <x v="1"/>
    <x v="6"/>
    <x v="12"/>
    <x v="3"/>
    <x v="4"/>
    <n v="1801"/>
    <x v="3"/>
    <x v="2"/>
  </r>
  <r>
    <d v="2024-07-09T00:00:00"/>
    <x v="78"/>
    <x v="2"/>
    <x v="4"/>
    <x v="3"/>
    <x v="3"/>
    <x v="4"/>
    <n v="5301"/>
    <x v="1"/>
    <x v="1"/>
  </r>
  <r>
    <d v="2024-07-09T00:00:00"/>
    <x v="78"/>
    <x v="1"/>
    <x v="8"/>
    <x v="2"/>
    <x v="3"/>
    <x v="4"/>
    <n v="1166"/>
    <x v="1"/>
    <x v="2"/>
  </r>
  <r>
    <d v="2024-07-09T00:00:00"/>
    <x v="78"/>
    <x v="1"/>
    <x v="8"/>
    <x v="7"/>
    <x v="3"/>
    <x v="4"/>
    <n v="3196"/>
    <x v="1"/>
    <x v="3"/>
  </r>
  <r>
    <d v="2023-02-28T00:00:00"/>
    <x v="79"/>
    <x v="2"/>
    <x v="5"/>
    <x v="6"/>
    <x v="1"/>
    <x v="6"/>
    <n v="3428"/>
    <x v="3"/>
    <x v="3"/>
  </r>
  <r>
    <d v="2023-02-28T00:00:00"/>
    <x v="79"/>
    <x v="1"/>
    <x v="9"/>
    <x v="2"/>
    <x v="1"/>
    <x v="6"/>
    <n v="7223"/>
    <x v="3"/>
    <x v="4"/>
  </r>
  <r>
    <d v="2023-02-28T00:00:00"/>
    <x v="79"/>
    <x v="1"/>
    <x v="2"/>
    <x v="6"/>
    <x v="1"/>
    <x v="6"/>
    <n v="3731"/>
    <x v="3"/>
    <x v="3"/>
  </r>
  <r>
    <d v="2022-08-08T00:00:00"/>
    <x v="80"/>
    <x v="1"/>
    <x v="2"/>
    <x v="9"/>
    <x v="5"/>
    <x v="12"/>
    <n v="8903"/>
    <x v="3"/>
    <x v="0"/>
  </r>
  <r>
    <d v="2022-12-07T00:00:00"/>
    <x v="81"/>
    <x v="0"/>
    <x v="10"/>
    <x v="18"/>
    <x v="1"/>
    <x v="1"/>
    <n v="6009"/>
    <x v="0"/>
    <x v="4"/>
  </r>
  <r>
    <d v="2024-04-29T00:00:00"/>
    <x v="82"/>
    <x v="0"/>
    <x v="10"/>
    <x v="18"/>
    <x v="4"/>
    <x v="10"/>
    <n v="6009"/>
    <x v="0"/>
    <x v="4"/>
  </r>
  <r>
    <d v="2022-12-07T00:00:00"/>
    <x v="81"/>
    <x v="2"/>
    <x v="4"/>
    <x v="16"/>
    <x v="1"/>
    <x v="1"/>
    <n v="2858"/>
    <x v="3"/>
    <x v="3"/>
  </r>
  <r>
    <d v="2024-04-29T00:00:00"/>
    <x v="82"/>
    <x v="2"/>
    <x v="4"/>
    <x v="16"/>
    <x v="4"/>
    <x v="10"/>
    <n v="2858"/>
    <x v="3"/>
    <x v="3"/>
  </r>
  <r>
    <d v="2022-12-07T00:00:00"/>
    <x v="81"/>
    <x v="2"/>
    <x v="7"/>
    <x v="18"/>
    <x v="1"/>
    <x v="1"/>
    <n v="8175"/>
    <x v="3"/>
    <x v="0"/>
  </r>
  <r>
    <d v="2024-04-29T00:00:00"/>
    <x v="82"/>
    <x v="2"/>
    <x v="7"/>
    <x v="18"/>
    <x v="4"/>
    <x v="10"/>
    <n v="8175"/>
    <x v="3"/>
    <x v="0"/>
  </r>
  <r>
    <d v="2022-12-07T00:00:00"/>
    <x v="81"/>
    <x v="2"/>
    <x v="7"/>
    <x v="9"/>
    <x v="1"/>
    <x v="1"/>
    <n v="5846"/>
    <x v="0"/>
    <x v="1"/>
  </r>
  <r>
    <d v="2024-04-29T00:00:00"/>
    <x v="82"/>
    <x v="2"/>
    <x v="7"/>
    <x v="9"/>
    <x v="4"/>
    <x v="10"/>
    <n v="5846"/>
    <x v="0"/>
    <x v="1"/>
  </r>
  <r>
    <d v="2022-01-02T00:00:00"/>
    <x v="83"/>
    <x v="0"/>
    <x v="3"/>
    <x v="13"/>
    <x v="4"/>
    <x v="10"/>
    <n v="706"/>
    <x v="3"/>
    <x v="2"/>
  </r>
  <r>
    <d v="2022-06-10T00:00:00"/>
    <x v="84"/>
    <x v="2"/>
    <x v="4"/>
    <x v="4"/>
    <x v="4"/>
    <x v="8"/>
    <n v="9835"/>
    <x v="4"/>
    <x v="0"/>
  </r>
  <r>
    <d v="2021-11-16T00:00:00"/>
    <x v="85"/>
    <x v="2"/>
    <x v="4"/>
    <x v="4"/>
    <x v="0"/>
    <x v="3"/>
    <n v="9835"/>
    <x v="4"/>
    <x v="0"/>
  </r>
  <r>
    <d v="2022-08-17T00:00:00"/>
    <x v="86"/>
    <x v="2"/>
    <x v="4"/>
    <x v="4"/>
    <x v="3"/>
    <x v="4"/>
    <n v="9835"/>
    <x v="4"/>
    <x v="0"/>
  </r>
  <r>
    <d v="2022-06-10T00:00:00"/>
    <x v="84"/>
    <x v="1"/>
    <x v="6"/>
    <x v="19"/>
    <x v="4"/>
    <x v="8"/>
    <n v="9691"/>
    <x v="3"/>
    <x v="0"/>
  </r>
  <r>
    <d v="2021-11-16T00:00:00"/>
    <x v="85"/>
    <x v="1"/>
    <x v="6"/>
    <x v="19"/>
    <x v="0"/>
    <x v="3"/>
    <n v="9691"/>
    <x v="3"/>
    <x v="0"/>
  </r>
  <r>
    <d v="2022-08-17T00:00:00"/>
    <x v="86"/>
    <x v="1"/>
    <x v="6"/>
    <x v="19"/>
    <x v="3"/>
    <x v="4"/>
    <n v="9691"/>
    <x v="3"/>
    <x v="0"/>
  </r>
  <r>
    <d v="2022-06-10T00:00:00"/>
    <x v="84"/>
    <x v="2"/>
    <x v="11"/>
    <x v="1"/>
    <x v="4"/>
    <x v="8"/>
    <n v="7826"/>
    <x v="0"/>
    <x v="4"/>
  </r>
  <r>
    <d v="2021-11-16T00:00:00"/>
    <x v="85"/>
    <x v="2"/>
    <x v="11"/>
    <x v="1"/>
    <x v="0"/>
    <x v="3"/>
    <n v="7826"/>
    <x v="0"/>
    <x v="4"/>
  </r>
  <r>
    <d v="2022-08-17T00:00:00"/>
    <x v="86"/>
    <x v="2"/>
    <x v="11"/>
    <x v="1"/>
    <x v="3"/>
    <x v="4"/>
    <n v="7826"/>
    <x v="0"/>
    <x v="4"/>
  </r>
  <r>
    <d v="2021-11-23T00:00:00"/>
    <x v="87"/>
    <x v="2"/>
    <x v="7"/>
    <x v="13"/>
    <x v="4"/>
    <x v="10"/>
    <n v="770"/>
    <x v="4"/>
    <x v="2"/>
  </r>
  <r>
    <d v="2023-03-04T00:00:00"/>
    <x v="88"/>
    <x v="2"/>
    <x v="7"/>
    <x v="13"/>
    <x v="5"/>
    <x v="13"/>
    <n v="770"/>
    <x v="4"/>
    <x v="2"/>
  </r>
  <r>
    <d v="2023-12-16T00:00:00"/>
    <x v="89"/>
    <x v="2"/>
    <x v="11"/>
    <x v="12"/>
    <x v="2"/>
    <x v="7"/>
    <n v="9895"/>
    <x v="4"/>
    <x v="0"/>
  </r>
  <r>
    <d v="2024-05-19T00:00:00"/>
    <x v="90"/>
    <x v="1"/>
    <x v="8"/>
    <x v="3"/>
    <x v="0"/>
    <x v="0"/>
    <n v="6517"/>
    <x v="1"/>
    <x v="4"/>
  </r>
  <r>
    <d v="2020-05-14T00:00:00"/>
    <x v="91"/>
    <x v="1"/>
    <x v="8"/>
    <x v="3"/>
    <x v="0"/>
    <x v="16"/>
    <n v="6517"/>
    <x v="1"/>
    <x v="4"/>
  </r>
  <r>
    <d v="2024-05-19T00:00:00"/>
    <x v="90"/>
    <x v="2"/>
    <x v="4"/>
    <x v="13"/>
    <x v="0"/>
    <x v="0"/>
    <n v="1166"/>
    <x v="3"/>
    <x v="2"/>
  </r>
  <r>
    <d v="2020-05-14T00:00:00"/>
    <x v="91"/>
    <x v="2"/>
    <x v="4"/>
    <x v="13"/>
    <x v="0"/>
    <x v="16"/>
    <n v="1166"/>
    <x v="3"/>
    <x v="2"/>
  </r>
  <r>
    <d v="2021-08-29T00:00:00"/>
    <x v="92"/>
    <x v="2"/>
    <x v="5"/>
    <x v="4"/>
    <x v="2"/>
    <x v="2"/>
    <n v="9820"/>
    <x v="3"/>
    <x v="0"/>
  </r>
  <r>
    <d v="2024-11-10T00:00:00"/>
    <x v="93"/>
    <x v="1"/>
    <x v="9"/>
    <x v="17"/>
    <x v="4"/>
    <x v="8"/>
    <n v="8563"/>
    <x v="4"/>
    <x v="0"/>
  </r>
  <r>
    <d v="2024-11-10T00:00:00"/>
    <x v="93"/>
    <x v="0"/>
    <x v="1"/>
    <x v="12"/>
    <x v="4"/>
    <x v="8"/>
    <n v="4441"/>
    <x v="4"/>
    <x v="1"/>
  </r>
  <r>
    <d v="2021-12-05T00:00:00"/>
    <x v="94"/>
    <x v="1"/>
    <x v="8"/>
    <x v="17"/>
    <x v="0"/>
    <x v="3"/>
    <n v="7340"/>
    <x v="2"/>
    <x v="4"/>
  </r>
  <r>
    <d v="2021-12-05T00:00:00"/>
    <x v="94"/>
    <x v="0"/>
    <x v="10"/>
    <x v="6"/>
    <x v="0"/>
    <x v="3"/>
    <n v="5442"/>
    <x v="2"/>
    <x v="1"/>
  </r>
  <r>
    <d v="2024-07-05T00:00:00"/>
    <x v="95"/>
    <x v="2"/>
    <x v="4"/>
    <x v="1"/>
    <x v="0"/>
    <x v="16"/>
    <n v="1895"/>
    <x v="0"/>
    <x v="2"/>
  </r>
  <r>
    <d v="2024-07-05T00:00:00"/>
    <x v="95"/>
    <x v="1"/>
    <x v="9"/>
    <x v="19"/>
    <x v="0"/>
    <x v="16"/>
    <n v="5323"/>
    <x v="4"/>
    <x v="1"/>
  </r>
  <r>
    <d v="2024-06-25T00:00:00"/>
    <x v="96"/>
    <x v="1"/>
    <x v="6"/>
    <x v="19"/>
    <x v="0"/>
    <x v="0"/>
    <n v="8850"/>
    <x v="1"/>
    <x v="0"/>
  </r>
  <r>
    <d v="2024-06-25T00:00:00"/>
    <x v="96"/>
    <x v="1"/>
    <x v="8"/>
    <x v="10"/>
    <x v="0"/>
    <x v="0"/>
    <n v="8667"/>
    <x v="1"/>
    <x v="0"/>
  </r>
  <r>
    <d v="2024-05-31T00:00:00"/>
    <x v="97"/>
    <x v="2"/>
    <x v="4"/>
    <x v="6"/>
    <x v="1"/>
    <x v="1"/>
    <n v="6903"/>
    <x v="4"/>
    <x v="4"/>
  </r>
  <r>
    <d v="2024-05-31T00:00:00"/>
    <x v="97"/>
    <x v="1"/>
    <x v="2"/>
    <x v="18"/>
    <x v="1"/>
    <x v="1"/>
    <n v="8793"/>
    <x v="4"/>
    <x v="0"/>
  </r>
  <r>
    <d v="2020-10-20T00:00:00"/>
    <x v="98"/>
    <x v="1"/>
    <x v="8"/>
    <x v="4"/>
    <x v="2"/>
    <x v="2"/>
    <n v="9883"/>
    <x v="0"/>
    <x v="0"/>
  </r>
  <r>
    <d v="2022-08-11T00:00:00"/>
    <x v="99"/>
    <x v="1"/>
    <x v="8"/>
    <x v="4"/>
    <x v="0"/>
    <x v="3"/>
    <n v="9883"/>
    <x v="0"/>
    <x v="0"/>
  </r>
  <r>
    <d v="2021-10-17T00:00:00"/>
    <x v="100"/>
    <x v="1"/>
    <x v="8"/>
    <x v="4"/>
    <x v="1"/>
    <x v="6"/>
    <n v="9883"/>
    <x v="0"/>
    <x v="0"/>
  </r>
  <r>
    <d v="2020-10-20T00:00:00"/>
    <x v="98"/>
    <x v="1"/>
    <x v="8"/>
    <x v="18"/>
    <x v="2"/>
    <x v="2"/>
    <n v="5210"/>
    <x v="0"/>
    <x v="1"/>
  </r>
  <r>
    <d v="2022-08-11T00:00:00"/>
    <x v="99"/>
    <x v="1"/>
    <x v="8"/>
    <x v="18"/>
    <x v="0"/>
    <x v="3"/>
    <n v="5210"/>
    <x v="0"/>
    <x v="1"/>
  </r>
  <r>
    <d v="2021-10-17T00:00:00"/>
    <x v="100"/>
    <x v="1"/>
    <x v="8"/>
    <x v="18"/>
    <x v="1"/>
    <x v="6"/>
    <n v="5210"/>
    <x v="0"/>
    <x v="1"/>
  </r>
  <r>
    <d v="2022-02-23T00:00:00"/>
    <x v="101"/>
    <x v="0"/>
    <x v="1"/>
    <x v="15"/>
    <x v="3"/>
    <x v="4"/>
    <n v="3574"/>
    <x v="3"/>
    <x v="3"/>
  </r>
  <r>
    <d v="2022-02-23T00:00:00"/>
    <x v="101"/>
    <x v="2"/>
    <x v="7"/>
    <x v="19"/>
    <x v="3"/>
    <x v="4"/>
    <n v="576"/>
    <x v="0"/>
    <x v="2"/>
  </r>
  <r>
    <d v="2023-09-20T00:00:00"/>
    <x v="102"/>
    <x v="0"/>
    <x v="1"/>
    <x v="19"/>
    <x v="5"/>
    <x v="14"/>
    <n v="1860"/>
    <x v="2"/>
    <x v="2"/>
  </r>
  <r>
    <d v="2021-01-19T00:00:00"/>
    <x v="103"/>
    <x v="1"/>
    <x v="2"/>
    <x v="17"/>
    <x v="1"/>
    <x v="17"/>
    <n v="782"/>
    <x v="2"/>
    <x v="2"/>
  </r>
  <r>
    <d v="2021-01-19T00:00:00"/>
    <x v="103"/>
    <x v="0"/>
    <x v="3"/>
    <x v="6"/>
    <x v="1"/>
    <x v="17"/>
    <n v="4371"/>
    <x v="0"/>
    <x v="1"/>
  </r>
  <r>
    <d v="2020-08-21T00:00:00"/>
    <x v="104"/>
    <x v="0"/>
    <x v="10"/>
    <x v="6"/>
    <x v="4"/>
    <x v="15"/>
    <n v="8346"/>
    <x v="4"/>
    <x v="0"/>
  </r>
  <r>
    <d v="2023-04-17T00:00:00"/>
    <x v="105"/>
    <x v="0"/>
    <x v="10"/>
    <x v="6"/>
    <x v="1"/>
    <x v="1"/>
    <n v="8346"/>
    <x v="4"/>
    <x v="0"/>
  </r>
  <r>
    <d v="2023-12-24T00:00:00"/>
    <x v="106"/>
    <x v="0"/>
    <x v="10"/>
    <x v="6"/>
    <x v="3"/>
    <x v="11"/>
    <n v="8346"/>
    <x v="4"/>
    <x v="0"/>
  </r>
  <r>
    <d v="2020-08-21T00:00:00"/>
    <x v="104"/>
    <x v="2"/>
    <x v="4"/>
    <x v="0"/>
    <x v="4"/>
    <x v="15"/>
    <n v="6218"/>
    <x v="1"/>
    <x v="4"/>
  </r>
  <r>
    <d v="2023-04-17T00:00:00"/>
    <x v="105"/>
    <x v="2"/>
    <x v="4"/>
    <x v="0"/>
    <x v="1"/>
    <x v="1"/>
    <n v="6218"/>
    <x v="1"/>
    <x v="4"/>
  </r>
  <r>
    <d v="2023-12-24T00:00:00"/>
    <x v="106"/>
    <x v="2"/>
    <x v="4"/>
    <x v="0"/>
    <x v="3"/>
    <x v="11"/>
    <n v="6218"/>
    <x v="1"/>
    <x v="4"/>
  </r>
  <r>
    <d v="2020-08-21T00:00:00"/>
    <x v="104"/>
    <x v="0"/>
    <x v="1"/>
    <x v="1"/>
    <x v="4"/>
    <x v="15"/>
    <n v="5167"/>
    <x v="3"/>
    <x v="1"/>
  </r>
  <r>
    <d v="2023-04-17T00:00:00"/>
    <x v="105"/>
    <x v="0"/>
    <x v="1"/>
    <x v="1"/>
    <x v="1"/>
    <x v="1"/>
    <n v="5167"/>
    <x v="3"/>
    <x v="1"/>
  </r>
  <r>
    <d v="2023-12-24T00:00:00"/>
    <x v="106"/>
    <x v="0"/>
    <x v="1"/>
    <x v="1"/>
    <x v="3"/>
    <x v="11"/>
    <n v="5167"/>
    <x v="3"/>
    <x v="1"/>
  </r>
  <r>
    <d v="2020-08-21T00:00:00"/>
    <x v="104"/>
    <x v="2"/>
    <x v="7"/>
    <x v="0"/>
    <x v="4"/>
    <x v="15"/>
    <n v="2799"/>
    <x v="1"/>
    <x v="3"/>
  </r>
  <r>
    <d v="2023-04-17T00:00:00"/>
    <x v="105"/>
    <x v="2"/>
    <x v="7"/>
    <x v="0"/>
    <x v="1"/>
    <x v="1"/>
    <n v="2799"/>
    <x v="1"/>
    <x v="3"/>
  </r>
  <r>
    <d v="2023-12-24T00:00:00"/>
    <x v="106"/>
    <x v="2"/>
    <x v="7"/>
    <x v="0"/>
    <x v="3"/>
    <x v="11"/>
    <n v="2799"/>
    <x v="1"/>
    <x v="3"/>
  </r>
  <r>
    <d v="2022-03-20T00:00:00"/>
    <x v="107"/>
    <x v="1"/>
    <x v="6"/>
    <x v="12"/>
    <x v="0"/>
    <x v="0"/>
    <n v="3234"/>
    <x v="3"/>
    <x v="3"/>
  </r>
  <r>
    <d v="2021-08-12T00:00:00"/>
    <x v="108"/>
    <x v="2"/>
    <x v="4"/>
    <x v="2"/>
    <x v="1"/>
    <x v="6"/>
    <n v="4920"/>
    <x v="1"/>
    <x v="1"/>
  </r>
  <r>
    <d v="2021-08-12T00:00:00"/>
    <x v="108"/>
    <x v="2"/>
    <x v="11"/>
    <x v="7"/>
    <x v="1"/>
    <x v="6"/>
    <n v="9078"/>
    <x v="2"/>
    <x v="0"/>
  </r>
  <r>
    <d v="2020-12-21T00:00:00"/>
    <x v="109"/>
    <x v="2"/>
    <x v="11"/>
    <x v="18"/>
    <x v="0"/>
    <x v="0"/>
    <n v="8586"/>
    <x v="0"/>
    <x v="0"/>
  </r>
  <r>
    <d v="2023-07-07T00:00:00"/>
    <x v="110"/>
    <x v="2"/>
    <x v="11"/>
    <x v="18"/>
    <x v="0"/>
    <x v="16"/>
    <n v="8586"/>
    <x v="0"/>
    <x v="0"/>
  </r>
  <r>
    <d v="2023-08-13T00:00:00"/>
    <x v="111"/>
    <x v="2"/>
    <x v="7"/>
    <x v="19"/>
    <x v="3"/>
    <x v="11"/>
    <n v="5047"/>
    <x v="2"/>
    <x v="1"/>
  </r>
  <r>
    <d v="2021-02-04T00:00:00"/>
    <x v="112"/>
    <x v="2"/>
    <x v="7"/>
    <x v="19"/>
    <x v="1"/>
    <x v="1"/>
    <n v="5047"/>
    <x v="2"/>
    <x v="1"/>
  </r>
  <r>
    <d v="2022-09-16T00:00:00"/>
    <x v="113"/>
    <x v="2"/>
    <x v="7"/>
    <x v="19"/>
    <x v="1"/>
    <x v="17"/>
    <n v="5047"/>
    <x v="2"/>
    <x v="1"/>
  </r>
  <r>
    <d v="2022-05-06T00:00:00"/>
    <x v="114"/>
    <x v="2"/>
    <x v="7"/>
    <x v="19"/>
    <x v="2"/>
    <x v="2"/>
    <n v="5047"/>
    <x v="2"/>
    <x v="1"/>
  </r>
  <r>
    <d v="2021-05-28T00:00:00"/>
    <x v="115"/>
    <x v="2"/>
    <x v="7"/>
    <x v="6"/>
    <x v="3"/>
    <x v="11"/>
    <n v="3657"/>
    <x v="0"/>
    <x v="3"/>
  </r>
  <r>
    <d v="2024-07-18T00:00:00"/>
    <x v="116"/>
    <x v="0"/>
    <x v="0"/>
    <x v="9"/>
    <x v="1"/>
    <x v="17"/>
    <n v="6471"/>
    <x v="0"/>
    <x v="4"/>
  </r>
  <r>
    <d v="2024-12-06T00:00:00"/>
    <x v="117"/>
    <x v="1"/>
    <x v="9"/>
    <x v="8"/>
    <x v="5"/>
    <x v="14"/>
    <n v="949"/>
    <x v="0"/>
    <x v="2"/>
  </r>
  <r>
    <d v="2024-12-06T00:00:00"/>
    <x v="117"/>
    <x v="1"/>
    <x v="9"/>
    <x v="10"/>
    <x v="5"/>
    <x v="14"/>
    <n v="6823"/>
    <x v="2"/>
    <x v="4"/>
  </r>
  <r>
    <d v="2024-12-06T00:00:00"/>
    <x v="117"/>
    <x v="2"/>
    <x v="4"/>
    <x v="11"/>
    <x v="5"/>
    <x v="14"/>
    <n v="4364"/>
    <x v="2"/>
    <x v="1"/>
  </r>
  <r>
    <d v="2022-12-12T00:00:00"/>
    <x v="118"/>
    <x v="0"/>
    <x v="10"/>
    <x v="3"/>
    <x v="1"/>
    <x v="17"/>
    <n v="6671"/>
    <x v="0"/>
    <x v="4"/>
  </r>
  <r>
    <d v="2022-10-20T00:00:00"/>
    <x v="119"/>
    <x v="1"/>
    <x v="8"/>
    <x v="16"/>
    <x v="1"/>
    <x v="6"/>
    <n v="7472"/>
    <x v="4"/>
    <x v="4"/>
  </r>
  <r>
    <d v="2022-10-20T00:00:00"/>
    <x v="119"/>
    <x v="0"/>
    <x v="1"/>
    <x v="8"/>
    <x v="1"/>
    <x v="6"/>
    <n v="9548"/>
    <x v="4"/>
    <x v="0"/>
  </r>
  <r>
    <d v="2021-03-24T00:00:00"/>
    <x v="120"/>
    <x v="0"/>
    <x v="1"/>
    <x v="14"/>
    <x v="0"/>
    <x v="0"/>
    <n v="7759"/>
    <x v="0"/>
    <x v="4"/>
  </r>
  <r>
    <d v="2025-01-06T00:00:00"/>
    <x v="121"/>
    <x v="0"/>
    <x v="1"/>
    <x v="14"/>
    <x v="4"/>
    <x v="8"/>
    <n v="7759"/>
    <x v="0"/>
    <x v="4"/>
  </r>
  <r>
    <d v="2021-03-24T00:00:00"/>
    <x v="120"/>
    <x v="1"/>
    <x v="6"/>
    <x v="4"/>
    <x v="0"/>
    <x v="0"/>
    <n v="7521"/>
    <x v="1"/>
    <x v="4"/>
  </r>
  <r>
    <d v="2025-01-06T00:00:00"/>
    <x v="121"/>
    <x v="1"/>
    <x v="6"/>
    <x v="4"/>
    <x v="4"/>
    <x v="8"/>
    <n v="7521"/>
    <x v="1"/>
    <x v="4"/>
  </r>
  <r>
    <d v="2021-03-06T00:00:00"/>
    <x v="122"/>
    <x v="1"/>
    <x v="2"/>
    <x v="2"/>
    <x v="4"/>
    <x v="15"/>
    <n v="9704"/>
    <x v="4"/>
    <x v="0"/>
  </r>
  <r>
    <d v="2021-03-06T00:00:00"/>
    <x v="122"/>
    <x v="0"/>
    <x v="1"/>
    <x v="9"/>
    <x v="4"/>
    <x v="15"/>
    <n v="4948"/>
    <x v="1"/>
    <x v="1"/>
  </r>
  <r>
    <d v="2021-03-06T00:00:00"/>
    <x v="122"/>
    <x v="0"/>
    <x v="0"/>
    <x v="3"/>
    <x v="4"/>
    <x v="15"/>
    <n v="6435"/>
    <x v="1"/>
    <x v="4"/>
  </r>
  <r>
    <d v="2020-06-17T00:00:00"/>
    <x v="123"/>
    <x v="1"/>
    <x v="6"/>
    <x v="4"/>
    <x v="3"/>
    <x v="11"/>
    <n v="9965"/>
    <x v="4"/>
    <x v="0"/>
  </r>
  <r>
    <d v="2023-09-01T00:00:00"/>
    <x v="124"/>
    <x v="1"/>
    <x v="6"/>
    <x v="4"/>
    <x v="2"/>
    <x v="2"/>
    <n v="9965"/>
    <x v="4"/>
    <x v="0"/>
  </r>
  <r>
    <d v="2023-06-08T00:00:00"/>
    <x v="125"/>
    <x v="2"/>
    <x v="7"/>
    <x v="16"/>
    <x v="2"/>
    <x v="7"/>
    <n v="1523"/>
    <x v="0"/>
    <x v="2"/>
  </r>
  <r>
    <d v="2023-06-08T00:00:00"/>
    <x v="125"/>
    <x v="0"/>
    <x v="0"/>
    <x v="18"/>
    <x v="2"/>
    <x v="7"/>
    <n v="9073"/>
    <x v="1"/>
    <x v="0"/>
  </r>
  <r>
    <d v="2021-03-25T00:00:00"/>
    <x v="126"/>
    <x v="0"/>
    <x v="3"/>
    <x v="12"/>
    <x v="2"/>
    <x v="7"/>
    <n v="6447"/>
    <x v="4"/>
    <x v="4"/>
  </r>
  <r>
    <d v="2021-03-25T00:00:00"/>
    <x v="126"/>
    <x v="0"/>
    <x v="0"/>
    <x v="10"/>
    <x v="2"/>
    <x v="7"/>
    <n v="8947"/>
    <x v="3"/>
    <x v="0"/>
  </r>
  <r>
    <d v="2021-01-03T00:00:00"/>
    <x v="127"/>
    <x v="1"/>
    <x v="2"/>
    <x v="17"/>
    <x v="3"/>
    <x v="4"/>
    <n v="914"/>
    <x v="1"/>
    <x v="2"/>
  </r>
  <r>
    <d v="2021-01-03T00:00:00"/>
    <x v="127"/>
    <x v="1"/>
    <x v="8"/>
    <x v="16"/>
    <x v="3"/>
    <x v="4"/>
    <n v="1548"/>
    <x v="3"/>
    <x v="2"/>
  </r>
  <r>
    <d v="2024-12-27T00:00:00"/>
    <x v="128"/>
    <x v="2"/>
    <x v="4"/>
    <x v="10"/>
    <x v="2"/>
    <x v="5"/>
    <n v="2759"/>
    <x v="3"/>
    <x v="3"/>
  </r>
  <r>
    <d v="2022-08-12T00:00:00"/>
    <x v="129"/>
    <x v="0"/>
    <x v="3"/>
    <x v="15"/>
    <x v="0"/>
    <x v="3"/>
    <n v="1341"/>
    <x v="0"/>
    <x v="2"/>
  </r>
  <r>
    <d v="2022-03-28T00:00:00"/>
    <x v="130"/>
    <x v="0"/>
    <x v="0"/>
    <x v="5"/>
    <x v="5"/>
    <x v="14"/>
    <n v="9851"/>
    <x v="1"/>
    <x v="0"/>
  </r>
  <r>
    <d v="2023-07-15T00:00:00"/>
    <x v="131"/>
    <x v="0"/>
    <x v="0"/>
    <x v="5"/>
    <x v="2"/>
    <x v="2"/>
    <n v="9851"/>
    <x v="1"/>
    <x v="0"/>
  </r>
  <r>
    <d v="2022-09-22T00:00:00"/>
    <x v="132"/>
    <x v="0"/>
    <x v="0"/>
    <x v="5"/>
    <x v="0"/>
    <x v="3"/>
    <n v="9851"/>
    <x v="1"/>
    <x v="0"/>
  </r>
  <r>
    <d v="2022-03-28T00:00:00"/>
    <x v="130"/>
    <x v="2"/>
    <x v="4"/>
    <x v="1"/>
    <x v="5"/>
    <x v="14"/>
    <n v="9989"/>
    <x v="1"/>
    <x v="0"/>
  </r>
  <r>
    <d v="2023-07-15T00:00:00"/>
    <x v="131"/>
    <x v="2"/>
    <x v="4"/>
    <x v="1"/>
    <x v="2"/>
    <x v="2"/>
    <n v="9989"/>
    <x v="1"/>
    <x v="0"/>
  </r>
  <r>
    <d v="2022-09-22T00:00:00"/>
    <x v="132"/>
    <x v="2"/>
    <x v="4"/>
    <x v="1"/>
    <x v="0"/>
    <x v="3"/>
    <n v="9989"/>
    <x v="1"/>
    <x v="0"/>
  </r>
  <r>
    <d v="2022-12-20T00:00:00"/>
    <x v="133"/>
    <x v="2"/>
    <x v="4"/>
    <x v="3"/>
    <x v="4"/>
    <x v="15"/>
    <n v="7421"/>
    <x v="4"/>
    <x v="4"/>
  </r>
  <r>
    <d v="2022-01-16T00:00:00"/>
    <x v="134"/>
    <x v="2"/>
    <x v="4"/>
    <x v="3"/>
    <x v="4"/>
    <x v="15"/>
    <n v="7421"/>
    <x v="4"/>
    <x v="4"/>
  </r>
  <r>
    <d v="2023-01-29T00:00:00"/>
    <x v="135"/>
    <x v="2"/>
    <x v="4"/>
    <x v="3"/>
    <x v="4"/>
    <x v="8"/>
    <n v="7421"/>
    <x v="4"/>
    <x v="4"/>
  </r>
  <r>
    <d v="2022-01-15T00:00:00"/>
    <x v="136"/>
    <x v="1"/>
    <x v="8"/>
    <x v="6"/>
    <x v="2"/>
    <x v="2"/>
    <n v="3099"/>
    <x v="4"/>
    <x v="3"/>
  </r>
  <r>
    <d v="2022-01-15T00:00:00"/>
    <x v="136"/>
    <x v="0"/>
    <x v="10"/>
    <x v="18"/>
    <x v="2"/>
    <x v="2"/>
    <n v="2521"/>
    <x v="4"/>
    <x v="3"/>
  </r>
  <r>
    <d v="2024-03-24T00:00:00"/>
    <x v="137"/>
    <x v="0"/>
    <x v="0"/>
    <x v="2"/>
    <x v="4"/>
    <x v="8"/>
    <n v="6962"/>
    <x v="0"/>
    <x v="4"/>
  </r>
  <r>
    <d v="2025-02-19T00:00:00"/>
    <x v="138"/>
    <x v="0"/>
    <x v="0"/>
    <x v="2"/>
    <x v="0"/>
    <x v="0"/>
    <n v="6962"/>
    <x v="0"/>
    <x v="4"/>
  </r>
  <r>
    <d v="2024-07-13T00:00:00"/>
    <x v="139"/>
    <x v="2"/>
    <x v="11"/>
    <x v="12"/>
    <x v="2"/>
    <x v="2"/>
    <n v="1085"/>
    <x v="0"/>
    <x v="2"/>
  </r>
  <r>
    <d v="2023-04-28T00:00:00"/>
    <x v="140"/>
    <x v="2"/>
    <x v="5"/>
    <x v="11"/>
    <x v="5"/>
    <x v="13"/>
    <n v="738"/>
    <x v="1"/>
    <x v="2"/>
  </r>
  <r>
    <d v="2020-12-05T00:00:00"/>
    <x v="141"/>
    <x v="2"/>
    <x v="5"/>
    <x v="11"/>
    <x v="2"/>
    <x v="2"/>
    <n v="738"/>
    <x v="1"/>
    <x v="2"/>
  </r>
  <r>
    <d v="2024-05-14T00:00:00"/>
    <x v="142"/>
    <x v="2"/>
    <x v="5"/>
    <x v="11"/>
    <x v="5"/>
    <x v="13"/>
    <n v="738"/>
    <x v="1"/>
    <x v="2"/>
  </r>
  <r>
    <d v="2022-01-18T00:00:00"/>
    <x v="143"/>
    <x v="2"/>
    <x v="5"/>
    <x v="11"/>
    <x v="2"/>
    <x v="5"/>
    <n v="738"/>
    <x v="1"/>
    <x v="2"/>
  </r>
  <r>
    <d v="2023-09-18T00:00:00"/>
    <x v="144"/>
    <x v="0"/>
    <x v="0"/>
    <x v="14"/>
    <x v="5"/>
    <x v="12"/>
    <n v="1366"/>
    <x v="2"/>
    <x v="2"/>
  </r>
  <r>
    <d v="2023-09-18T00:00:00"/>
    <x v="144"/>
    <x v="1"/>
    <x v="6"/>
    <x v="19"/>
    <x v="5"/>
    <x v="12"/>
    <n v="1518"/>
    <x v="3"/>
    <x v="2"/>
  </r>
  <r>
    <d v="2021-05-12T00:00:00"/>
    <x v="145"/>
    <x v="0"/>
    <x v="10"/>
    <x v="6"/>
    <x v="2"/>
    <x v="2"/>
    <n v="2962"/>
    <x v="4"/>
    <x v="3"/>
  </r>
  <r>
    <d v="2023-09-17T00:00:00"/>
    <x v="146"/>
    <x v="0"/>
    <x v="10"/>
    <x v="6"/>
    <x v="0"/>
    <x v="16"/>
    <n v="2962"/>
    <x v="4"/>
    <x v="3"/>
  </r>
  <r>
    <d v="2021-05-12T00:00:00"/>
    <x v="145"/>
    <x v="0"/>
    <x v="1"/>
    <x v="2"/>
    <x v="2"/>
    <x v="2"/>
    <n v="7131"/>
    <x v="0"/>
    <x v="4"/>
  </r>
  <r>
    <d v="2023-09-17T00:00:00"/>
    <x v="146"/>
    <x v="0"/>
    <x v="1"/>
    <x v="2"/>
    <x v="0"/>
    <x v="16"/>
    <n v="7131"/>
    <x v="0"/>
    <x v="4"/>
  </r>
  <r>
    <d v="2021-05-12T00:00:00"/>
    <x v="145"/>
    <x v="1"/>
    <x v="6"/>
    <x v="3"/>
    <x v="2"/>
    <x v="2"/>
    <n v="4200"/>
    <x v="2"/>
    <x v="1"/>
  </r>
  <r>
    <d v="2023-09-17T00:00:00"/>
    <x v="146"/>
    <x v="1"/>
    <x v="6"/>
    <x v="3"/>
    <x v="0"/>
    <x v="16"/>
    <n v="4200"/>
    <x v="2"/>
    <x v="1"/>
  </r>
  <r>
    <d v="2024-09-06T00:00:00"/>
    <x v="147"/>
    <x v="1"/>
    <x v="6"/>
    <x v="11"/>
    <x v="1"/>
    <x v="17"/>
    <n v="5934"/>
    <x v="2"/>
    <x v="1"/>
  </r>
  <r>
    <d v="2022-06-18T00:00:00"/>
    <x v="148"/>
    <x v="0"/>
    <x v="1"/>
    <x v="13"/>
    <x v="2"/>
    <x v="5"/>
    <n v="2701"/>
    <x v="0"/>
    <x v="3"/>
  </r>
  <r>
    <d v="2022-06-18T00:00:00"/>
    <x v="148"/>
    <x v="1"/>
    <x v="8"/>
    <x v="9"/>
    <x v="2"/>
    <x v="5"/>
    <n v="7273"/>
    <x v="4"/>
    <x v="4"/>
  </r>
  <r>
    <d v="2020-05-22T00:00:00"/>
    <x v="149"/>
    <x v="1"/>
    <x v="6"/>
    <x v="9"/>
    <x v="3"/>
    <x v="11"/>
    <n v="2465"/>
    <x v="1"/>
    <x v="3"/>
  </r>
  <r>
    <d v="2024-10-17T00:00:00"/>
    <x v="150"/>
    <x v="1"/>
    <x v="6"/>
    <x v="11"/>
    <x v="4"/>
    <x v="8"/>
    <n v="3479"/>
    <x v="2"/>
    <x v="3"/>
  </r>
  <r>
    <d v="2024-10-17T00:00:00"/>
    <x v="150"/>
    <x v="0"/>
    <x v="1"/>
    <x v="18"/>
    <x v="4"/>
    <x v="8"/>
    <n v="5457"/>
    <x v="2"/>
    <x v="1"/>
  </r>
  <r>
    <d v="2022-03-22T00:00:00"/>
    <x v="151"/>
    <x v="1"/>
    <x v="6"/>
    <x v="17"/>
    <x v="5"/>
    <x v="14"/>
    <n v="4957"/>
    <x v="3"/>
    <x v="1"/>
  </r>
  <r>
    <d v="2024-03-17T00:00:00"/>
    <x v="152"/>
    <x v="1"/>
    <x v="2"/>
    <x v="14"/>
    <x v="5"/>
    <x v="12"/>
    <n v="4404"/>
    <x v="1"/>
    <x v="1"/>
  </r>
  <r>
    <d v="2024-03-17T00:00:00"/>
    <x v="152"/>
    <x v="2"/>
    <x v="7"/>
    <x v="7"/>
    <x v="5"/>
    <x v="12"/>
    <n v="8776"/>
    <x v="3"/>
    <x v="0"/>
  </r>
  <r>
    <d v="2020-04-02T00:00:00"/>
    <x v="153"/>
    <x v="0"/>
    <x v="10"/>
    <x v="8"/>
    <x v="0"/>
    <x v="3"/>
    <n v="9536"/>
    <x v="0"/>
    <x v="0"/>
  </r>
  <r>
    <d v="2020-04-02T00:00:00"/>
    <x v="153"/>
    <x v="2"/>
    <x v="7"/>
    <x v="18"/>
    <x v="0"/>
    <x v="3"/>
    <n v="2225"/>
    <x v="3"/>
    <x v="3"/>
  </r>
  <r>
    <d v="2024-03-13T00:00:00"/>
    <x v="154"/>
    <x v="2"/>
    <x v="11"/>
    <x v="5"/>
    <x v="3"/>
    <x v="11"/>
    <n v="9574"/>
    <x v="0"/>
    <x v="0"/>
  </r>
  <r>
    <d v="2024-03-13T00:00:00"/>
    <x v="154"/>
    <x v="0"/>
    <x v="0"/>
    <x v="14"/>
    <x v="3"/>
    <x v="11"/>
    <n v="4382"/>
    <x v="4"/>
    <x v="1"/>
  </r>
  <r>
    <d v="2023-03-21T00:00:00"/>
    <x v="155"/>
    <x v="0"/>
    <x v="3"/>
    <x v="5"/>
    <x v="5"/>
    <x v="13"/>
    <n v="8200"/>
    <x v="4"/>
    <x v="0"/>
  </r>
  <r>
    <d v="2023-03-21T00:00:00"/>
    <x v="155"/>
    <x v="2"/>
    <x v="7"/>
    <x v="19"/>
    <x v="5"/>
    <x v="13"/>
    <n v="9316"/>
    <x v="3"/>
    <x v="0"/>
  </r>
  <r>
    <d v="2023-03-21T00:00:00"/>
    <x v="155"/>
    <x v="0"/>
    <x v="0"/>
    <x v="7"/>
    <x v="5"/>
    <x v="13"/>
    <n v="6379"/>
    <x v="4"/>
    <x v="4"/>
  </r>
  <r>
    <d v="2024-03-02T00:00:00"/>
    <x v="156"/>
    <x v="1"/>
    <x v="6"/>
    <x v="0"/>
    <x v="5"/>
    <x v="14"/>
    <n v="3348"/>
    <x v="3"/>
    <x v="3"/>
  </r>
  <r>
    <d v="2021-04-30T00:00:00"/>
    <x v="157"/>
    <x v="1"/>
    <x v="6"/>
    <x v="0"/>
    <x v="2"/>
    <x v="7"/>
    <n v="3348"/>
    <x v="3"/>
    <x v="3"/>
  </r>
  <r>
    <d v="2024-03-02T00:00:00"/>
    <x v="156"/>
    <x v="1"/>
    <x v="2"/>
    <x v="8"/>
    <x v="5"/>
    <x v="14"/>
    <n v="8856"/>
    <x v="1"/>
    <x v="0"/>
  </r>
  <r>
    <d v="2021-04-30T00:00:00"/>
    <x v="157"/>
    <x v="1"/>
    <x v="2"/>
    <x v="8"/>
    <x v="2"/>
    <x v="7"/>
    <n v="8856"/>
    <x v="1"/>
    <x v="0"/>
  </r>
  <r>
    <d v="2021-09-15T00:00:00"/>
    <x v="158"/>
    <x v="2"/>
    <x v="7"/>
    <x v="4"/>
    <x v="5"/>
    <x v="12"/>
    <n v="1760"/>
    <x v="1"/>
    <x v="2"/>
  </r>
  <r>
    <d v="2023-01-28T00:00:00"/>
    <x v="159"/>
    <x v="2"/>
    <x v="7"/>
    <x v="4"/>
    <x v="4"/>
    <x v="15"/>
    <n v="1760"/>
    <x v="1"/>
    <x v="2"/>
  </r>
  <r>
    <d v="2021-09-15T00:00:00"/>
    <x v="158"/>
    <x v="0"/>
    <x v="1"/>
    <x v="7"/>
    <x v="5"/>
    <x v="12"/>
    <n v="6351"/>
    <x v="0"/>
    <x v="4"/>
  </r>
  <r>
    <d v="2023-01-28T00:00:00"/>
    <x v="159"/>
    <x v="0"/>
    <x v="1"/>
    <x v="7"/>
    <x v="4"/>
    <x v="15"/>
    <n v="6351"/>
    <x v="0"/>
    <x v="4"/>
  </r>
  <r>
    <d v="2021-07-08T00:00:00"/>
    <x v="160"/>
    <x v="1"/>
    <x v="8"/>
    <x v="1"/>
    <x v="2"/>
    <x v="5"/>
    <n v="869"/>
    <x v="3"/>
    <x v="2"/>
  </r>
  <r>
    <d v="2020-04-08T00:00:00"/>
    <x v="161"/>
    <x v="1"/>
    <x v="8"/>
    <x v="1"/>
    <x v="5"/>
    <x v="14"/>
    <n v="869"/>
    <x v="3"/>
    <x v="2"/>
  </r>
  <r>
    <d v="2021-07-08T00:00:00"/>
    <x v="160"/>
    <x v="2"/>
    <x v="11"/>
    <x v="18"/>
    <x v="2"/>
    <x v="5"/>
    <n v="1486"/>
    <x v="0"/>
    <x v="2"/>
  </r>
  <r>
    <d v="2020-04-08T00:00:00"/>
    <x v="161"/>
    <x v="2"/>
    <x v="11"/>
    <x v="18"/>
    <x v="5"/>
    <x v="14"/>
    <n v="1486"/>
    <x v="0"/>
    <x v="2"/>
  </r>
  <r>
    <d v="2022-08-23T00:00:00"/>
    <x v="162"/>
    <x v="1"/>
    <x v="9"/>
    <x v="19"/>
    <x v="1"/>
    <x v="1"/>
    <n v="2999"/>
    <x v="4"/>
    <x v="3"/>
  </r>
  <r>
    <d v="2022-08-23T00:00:00"/>
    <x v="162"/>
    <x v="1"/>
    <x v="8"/>
    <x v="12"/>
    <x v="1"/>
    <x v="1"/>
    <n v="5142"/>
    <x v="2"/>
    <x v="1"/>
  </r>
  <r>
    <d v="2022-12-17T00:00:00"/>
    <x v="163"/>
    <x v="0"/>
    <x v="3"/>
    <x v="14"/>
    <x v="2"/>
    <x v="7"/>
    <n v="1239"/>
    <x v="0"/>
    <x v="2"/>
  </r>
  <r>
    <d v="2022-06-08T00:00:00"/>
    <x v="164"/>
    <x v="0"/>
    <x v="3"/>
    <x v="14"/>
    <x v="1"/>
    <x v="6"/>
    <n v="1239"/>
    <x v="0"/>
    <x v="2"/>
  </r>
  <r>
    <d v="2022-12-17T00:00:00"/>
    <x v="163"/>
    <x v="0"/>
    <x v="0"/>
    <x v="4"/>
    <x v="2"/>
    <x v="7"/>
    <n v="1262"/>
    <x v="2"/>
    <x v="2"/>
  </r>
  <r>
    <d v="2022-06-08T00:00:00"/>
    <x v="164"/>
    <x v="0"/>
    <x v="0"/>
    <x v="4"/>
    <x v="1"/>
    <x v="6"/>
    <n v="1262"/>
    <x v="2"/>
    <x v="2"/>
  </r>
  <r>
    <d v="2020-08-28T00:00:00"/>
    <x v="165"/>
    <x v="2"/>
    <x v="11"/>
    <x v="0"/>
    <x v="2"/>
    <x v="7"/>
    <n v="1033"/>
    <x v="4"/>
    <x v="2"/>
  </r>
  <r>
    <d v="2020-09-26T00:00:00"/>
    <x v="166"/>
    <x v="0"/>
    <x v="1"/>
    <x v="5"/>
    <x v="3"/>
    <x v="9"/>
    <n v="1518"/>
    <x v="0"/>
    <x v="2"/>
  </r>
  <r>
    <d v="2020-12-13T00:00:00"/>
    <x v="167"/>
    <x v="1"/>
    <x v="8"/>
    <x v="11"/>
    <x v="1"/>
    <x v="17"/>
    <n v="8581"/>
    <x v="1"/>
    <x v="0"/>
  </r>
  <r>
    <d v="2020-11-19T00:00:00"/>
    <x v="168"/>
    <x v="1"/>
    <x v="8"/>
    <x v="11"/>
    <x v="0"/>
    <x v="3"/>
    <n v="8581"/>
    <x v="1"/>
    <x v="0"/>
  </r>
  <r>
    <d v="2023-09-13T00:00:00"/>
    <x v="169"/>
    <x v="1"/>
    <x v="2"/>
    <x v="0"/>
    <x v="4"/>
    <x v="10"/>
    <n v="1167"/>
    <x v="0"/>
    <x v="2"/>
  </r>
  <r>
    <d v="2023-09-13T00:00:00"/>
    <x v="169"/>
    <x v="0"/>
    <x v="3"/>
    <x v="12"/>
    <x v="4"/>
    <x v="10"/>
    <n v="2841"/>
    <x v="3"/>
    <x v="3"/>
  </r>
  <r>
    <d v="2023-09-13T00:00:00"/>
    <x v="169"/>
    <x v="2"/>
    <x v="4"/>
    <x v="5"/>
    <x v="4"/>
    <x v="10"/>
    <n v="5680"/>
    <x v="0"/>
    <x v="1"/>
  </r>
  <r>
    <d v="2020-03-31T00:00:00"/>
    <x v="170"/>
    <x v="1"/>
    <x v="2"/>
    <x v="10"/>
    <x v="1"/>
    <x v="1"/>
    <n v="8204"/>
    <x v="0"/>
    <x v="0"/>
  </r>
  <r>
    <d v="2020-10-20T00:00:00"/>
    <x v="171"/>
    <x v="1"/>
    <x v="2"/>
    <x v="10"/>
    <x v="2"/>
    <x v="2"/>
    <n v="8204"/>
    <x v="0"/>
    <x v="0"/>
  </r>
  <r>
    <d v="2020-03-31T00:00:00"/>
    <x v="170"/>
    <x v="0"/>
    <x v="10"/>
    <x v="10"/>
    <x v="1"/>
    <x v="1"/>
    <n v="2850"/>
    <x v="2"/>
    <x v="3"/>
  </r>
  <r>
    <d v="2020-10-20T00:00:00"/>
    <x v="171"/>
    <x v="0"/>
    <x v="10"/>
    <x v="10"/>
    <x v="2"/>
    <x v="2"/>
    <n v="2850"/>
    <x v="2"/>
    <x v="3"/>
  </r>
  <r>
    <d v="2023-08-04T00:00:00"/>
    <x v="172"/>
    <x v="1"/>
    <x v="2"/>
    <x v="8"/>
    <x v="2"/>
    <x v="5"/>
    <n v="907"/>
    <x v="3"/>
    <x v="2"/>
  </r>
  <r>
    <d v="2022-04-11T00:00:00"/>
    <x v="173"/>
    <x v="1"/>
    <x v="2"/>
    <x v="5"/>
    <x v="5"/>
    <x v="13"/>
    <n v="2174"/>
    <x v="3"/>
    <x v="3"/>
  </r>
  <r>
    <d v="2022-04-11T00:00:00"/>
    <x v="173"/>
    <x v="0"/>
    <x v="0"/>
    <x v="2"/>
    <x v="5"/>
    <x v="13"/>
    <n v="8541"/>
    <x v="3"/>
    <x v="0"/>
  </r>
  <r>
    <d v="2022-04-11T00:00:00"/>
    <x v="173"/>
    <x v="2"/>
    <x v="11"/>
    <x v="16"/>
    <x v="5"/>
    <x v="13"/>
    <n v="1931"/>
    <x v="2"/>
    <x v="2"/>
  </r>
  <r>
    <d v="2021-12-31T00:00:00"/>
    <x v="174"/>
    <x v="0"/>
    <x v="0"/>
    <x v="16"/>
    <x v="4"/>
    <x v="10"/>
    <n v="1281"/>
    <x v="1"/>
    <x v="2"/>
  </r>
  <r>
    <d v="2021-12-31T00:00:00"/>
    <x v="174"/>
    <x v="0"/>
    <x v="3"/>
    <x v="7"/>
    <x v="4"/>
    <x v="10"/>
    <n v="2404"/>
    <x v="4"/>
    <x v="3"/>
  </r>
  <r>
    <d v="2020-08-16T00:00:00"/>
    <x v="175"/>
    <x v="2"/>
    <x v="7"/>
    <x v="6"/>
    <x v="3"/>
    <x v="4"/>
    <n v="2119"/>
    <x v="4"/>
    <x v="3"/>
  </r>
  <r>
    <d v="2025-02-02T00:00:00"/>
    <x v="176"/>
    <x v="1"/>
    <x v="2"/>
    <x v="8"/>
    <x v="1"/>
    <x v="1"/>
    <n v="3137"/>
    <x v="1"/>
    <x v="3"/>
  </r>
  <r>
    <d v="2022-02-24T00:00:00"/>
    <x v="177"/>
    <x v="2"/>
    <x v="4"/>
    <x v="18"/>
    <x v="4"/>
    <x v="8"/>
    <n v="2323"/>
    <x v="4"/>
    <x v="3"/>
  </r>
  <r>
    <d v="2022-02-24T00:00:00"/>
    <x v="177"/>
    <x v="2"/>
    <x v="11"/>
    <x v="8"/>
    <x v="4"/>
    <x v="8"/>
    <n v="1368"/>
    <x v="0"/>
    <x v="2"/>
  </r>
  <r>
    <d v="2024-02-25T00:00:00"/>
    <x v="178"/>
    <x v="0"/>
    <x v="3"/>
    <x v="4"/>
    <x v="0"/>
    <x v="0"/>
    <n v="9204"/>
    <x v="3"/>
    <x v="0"/>
  </r>
  <r>
    <d v="2021-06-15T00:00:00"/>
    <x v="179"/>
    <x v="0"/>
    <x v="3"/>
    <x v="4"/>
    <x v="0"/>
    <x v="0"/>
    <n v="9204"/>
    <x v="3"/>
    <x v="0"/>
  </r>
  <r>
    <d v="2024-02-25T00:00:00"/>
    <x v="178"/>
    <x v="1"/>
    <x v="8"/>
    <x v="12"/>
    <x v="0"/>
    <x v="0"/>
    <n v="9894"/>
    <x v="2"/>
    <x v="0"/>
  </r>
  <r>
    <d v="2021-06-15T00:00:00"/>
    <x v="179"/>
    <x v="1"/>
    <x v="8"/>
    <x v="12"/>
    <x v="0"/>
    <x v="0"/>
    <n v="9894"/>
    <x v="2"/>
    <x v="0"/>
  </r>
  <r>
    <d v="2022-12-08T00:00:00"/>
    <x v="180"/>
    <x v="2"/>
    <x v="7"/>
    <x v="9"/>
    <x v="4"/>
    <x v="15"/>
    <n v="5322"/>
    <x v="4"/>
    <x v="1"/>
  </r>
  <r>
    <d v="2023-12-09T00:00:00"/>
    <x v="181"/>
    <x v="2"/>
    <x v="7"/>
    <x v="9"/>
    <x v="4"/>
    <x v="8"/>
    <n v="5322"/>
    <x v="4"/>
    <x v="1"/>
  </r>
  <r>
    <d v="2022-07-16T00:00:00"/>
    <x v="182"/>
    <x v="2"/>
    <x v="5"/>
    <x v="1"/>
    <x v="5"/>
    <x v="14"/>
    <n v="2666"/>
    <x v="4"/>
    <x v="3"/>
  </r>
  <r>
    <d v="2024-05-05T00:00:00"/>
    <x v="183"/>
    <x v="2"/>
    <x v="7"/>
    <x v="15"/>
    <x v="0"/>
    <x v="3"/>
    <n v="8383"/>
    <x v="0"/>
    <x v="0"/>
  </r>
  <r>
    <d v="2021-10-04T00:00:00"/>
    <x v="184"/>
    <x v="1"/>
    <x v="8"/>
    <x v="15"/>
    <x v="1"/>
    <x v="1"/>
    <n v="7560"/>
    <x v="2"/>
    <x v="4"/>
  </r>
  <r>
    <d v="2021-11-20T00:00:00"/>
    <x v="185"/>
    <x v="2"/>
    <x v="7"/>
    <x v="4"/>
    <x v="2"/>
    <x v="2"/>
    <n v="1314"/>
    <x v="0"/>
    <x v="2"/>
  </r>
  <r>
    <d v="2021-11-20T00:00:00"/>
    <x v="185"/>
    <x v="2"/>
    <x v="4"/>
    <x v="6"/>
    <x v="2"/>
    <x v="2"/>
    <n v="4390"/>
    <x v="1"/>
    <x v="1"/>
  </r>
  <r>
    <d v="2021-11-20T00:00:00"/>
    <x v="185"/>
    <x v="1"/>
    <x v="9"/>
    <x v="18"/>
    <x v="2"/>
    <x v="2"/>
    <n v="1150"/>
    <x v="1"/>
    <x v="2"/>
  </r>
  <r>
    <d v="2020-09-15T00:00:00"/>
    <x v="186"/>
    <x v="1"/>
    <x v="2"/>
    <x v="14"/>
    <x v="3"/>
    <x v="9"/>
    <n v="1574"/>
    <x v="2"/>
    <x v="2"/>
  </r>
  <r>
    <d v="2020-09-15T00:00:00"/>
    <x v="186"/>
    <x v="1"/>
    <x v="9"/>
    <x v="14"/>
    <x v="3"/>
    <x v="9"/>
    <n v="5635"/>
    <x v="0"/>
    <x v="1"/>
  </r>
  <r>
    <d v="2020-09-15T00:00:00"/>
    <x v="186"/>
    <x v="2"/>
    <x v="7"/>
    <x v="13"/>
    <x v="3"/>
    <x v="9"/>
    <n v="6515"/>
    <x v="1"/>
    <x v="4"/>
  </r>
  <r>
    <d v="2023-01-17T00:00:00"/>
    <x v="187"/>
    <x v="0"/>
    <x v="3"/>
    <x v="12"/>
    <x v="5"/>
    <x v="12"/>
    <n v="1231"/>
    <x v="1"/>
    <x v="2"/>
  </r>
  <r>
    <d v="2020-06-16T00:00:00"/>
    <x v="188"/>
    <x v="0"/>
    <x v="3"/>
    <x v="12"/>
    <x v="2"/>
    <x v="7"/>
    <n v="1231"/>
    <x v="1"/>
    <x v="2"/>
  </r>
  <r>
    <d v="2024-05-01T00:00:00"/>
    <x v="189"/>
    <x v="1"/>
    <x v="9"/>
    <x v="16"/>
    <x v="5"/>
    <x v="14"/>
    <n v="6891"/>
    <x v="1"/>
    <x v="4"/>
  </r>
  <r>
    <d v="2023-12-07T00:00:00"/>
    <x v="190"/>
    <x v="0"/>
    <x v="3"/>
    <x v="7"/>
    <x v="4"/>
    <x v="10"/>
    <n v="7524"/>
    <x v="2"/>
    <x v="4"/>
  </r>
  <r>
    <d v="2023-12-07T00:00:00"/>
    <x v="190"/>
    <x v="0"/>
    <x v="1"/>
    <x v="1"/>
    <x v="4"/>
    <x v="10"/>
    <n v="6864"/>
    <x v="3"/>
    <x v="4"/>
  </r>
  <r>
    <d v="2024-02-02T00:00:00"/>
    <x v="191"/>
    <x v="2"/>
    <x v="5"/>
    <x v="1"/>
    <x v="5"/>
    <x v="12"/>
    <n v="4215"/>
    <x v="1"/>
    <x v="1"/>
  </r>
  <r>
    <d v="2024-06-23T00:00:00"/>
    <x v="192"/>
    <x v="2"/>
    <x v="11"/>
    <x v="5"/>
    <x v="3"/>
    <x v="9"/>
    <n v="622"/>
    <x v="3"/>
    <x v="2"/>
  </r>
  <r>
    <d v="2024-06-23T00:00:00"/>
    <x v="192"/>
    <x v="1"/>
    <x v="2"/>
    <x v="9"/>
    <x v="3"/>
    <x v="9"/>
    <n v="1755"/>
    <x v="0"/>
    <x v="2"/>
  </r>
  <r>
    <d v="2024-06-23T00:00:00"/>
    <x v="192"/>
    <x v="0"/>
    <x v="0"/>
    <x v="12"/>
    <x v="3"/>
    <x v="9"/>
    <n v="8020"/>
    <x v="2"/>
    <x v="0"/>
  </r>
  <r>
    <d v="2024-06-07T00:00:00"/>
    <x v="193"/>
    <x v="0"/>
    <x v="3"/>
    <x v="15"/>
    <x v="2"/>
    <x v="2"/>
    <n v="7333"/>
    <x v="3"/>
    <x v="4"/>
  </r>
  <r>
    <d v="2023-10-13T00:00:00"/>
    <x v="194"/>
    <x v="0"/>
    <x v="0"/>
    <x v="15"/>
    <x v="2"/>
    <x v="7"/>
    <n v="7690"/>
    <x v="4"/>
    <x v="4"/>
  </r>
  <r>
    <d v="2023-10-13T00:00:00"/>
    <x v="194"/>
    <x v="2"/>
    <x v="7"/>
    <x v="11"/>
    <x v="2"/>
    <x v="7"/>
    <n v="912"/>
    <x v="2"/>
    <x v="2"/>
  </r>
  <r>
    <d v="2022-10-08T00:00:00"/>
    <x v="195"/>
    <x v="0"/>
    <x v="3"/>
    <x v="1"/>
    <x v="4"/>
    <x v="10"/>
    <n v="2791"/>
    <x v="4"/>
    <x v="3"/>
  </r>
  <r>
    <d v="2023-10-27T00:00:00"/>
    <x v="196"/>
    <x v="0"/>
    <x v="3"/>
    <x v="1"/>
    <x v="5"/>
    <x v="13"/>
    <n v="2791"/>
    <x v="4"/>
    <x v="3"/>
  </r>
  <r>
    <d v="2021-02-09T00:00:00"/>
    <x v="197"/>
    <x v="0"/>
    <x v="3"/>
    <x v="1"/>
    <x v="4"/>
    <x v="8"/>
    <n v="2791"/>
    <x v="4"/>
    <x v="3"/>
  </r>
  <r>
    <d v="2022-10-08T00:00:00"/>
    <x v="195"/>
    <x v="2"/>
    <x v="7"/>
    <x v="16"/>
    <x v="4"/>
    <x v="10"/>
    <n v="6223"/>
    <x v="1"/>
    <x v="4"/>
  </r>
  <r>
    <d v="2023-10-27T00:00:00"/>
    <x v="196"/>
    <x v="2"/>
    <x v="7"/>
    <x v="16"/>
    <x v="5"/>
    <x v="13"/>
    <n v="6223"/>
    <x v="1"/>
    <x v="4"/>
  </r>
  <r>
    <d v="2021-02-09T00:00:00"/>
    <x v="197"/>
    <x v="2"/>
    <x v="7"/>
    <x v="16"/>
    <x v="4"/>
    <x v="8"/>
    <n v="6223"/>
    <x v="1"/>
    <x v="4"/>
  </r>
  <r>
    <d v="2022-10-08T00:00:00"/>
    <x v="195"/>
    <x v="2"/>
    <x v="5"/>
    <x v="14"/>
    <x v="4"/>
    <x v="10"/>
    <n v="8943"/>
    <x v="1"/>
    <x v="0"/>
  </r>
  <r>
    <d v="2023-10-27T00:00:00"/>
    <x v="196"/>
    <x v="2"/>
    <x v="5"/>
    <x v="14"/>
    <x v="5"/>
    <x v="13"/>
    <n v="8943"/>
    <x v="1"/>
    <x v="0"/>
  </r>
  <r>
    <d v="2021-02-09T00:00:00"/>
    <x v="197"/>
    <x v="2"/>
    <x v="5"/>
    <x v="14"/>
    <x v="4"/>
    <x v="8"/>
    <n v="8943"/>
    <x v="1"/>
    <x v="0"/>
  </r>
  <r>
    <d v="2022-10-08T00:00:00"/>
    <x v="195"/>
    <x v="0"/>
    <x v="10"/>
    <x v="2"/>
    <x v="4"/>
    <x v="10"/>
    <n v="3297"/>
    <x v="3"/>
    <x v="3"/>
  </r>
  <r>
    <d v="2023-10-27T00:00:00"/>
    <x v="196"/>
    <x v="0"/>
    <x v="10"/>
    <x v="2"/>
    <x v="5"/>
    <x v="13"/>
    <n v="3297"/>
    <x v="3"/>
    <x v="3"/>
  </r>
  <r>
    <d v="2021-02-09T00:00:00"/>
    <x v="197"/>
    <x v="0"/>
    <x v="10"/>
    <x v="2"/>
    <x v="4"/>
    <x v="8"/>
    <n v="3297"/>
    <x v="3"/>
    <x v="3"/>
  </r>
  <r>
    <d v="2020-11-03T00:00:00"/>
    <x v="198"/>
    <x v="1"/>
    <x v="8"/>
    <x v="12"/>
    <x v="1"/>
    <x v="1"/>
    <n v="8769"/>
    <x v="0"/>
    <x v="0"/>
  </r>
  <r>
    <d v="2022-05-30T00:00:00"/>
    <x v="199"/>
    <x v="0"/>
    <x v="1"/>
    <x v="5"/>
    <x v="0"/>
    <x v="3"/>
    <n v="9057"/>
    <x v="4"/>
    <x v="0"/>
  </r>
  <r>
    <d v="2022-05-30T00:00:00"/>
    <x v="199"/>
    <x v="2"/>
    <x v="4"/>
    <x v="13"/>
    <x v="0"/>
    <x v="3"/>
    <n v="6864"/>
    <x v="3"/>
    <x v="4"/>
  </r>
  <r>
    <d v="2022-05-30T00:00:00"/>
    <x v="199"/>
    <x v="0"/>
    <x v="3"/>
    <x v="19"/>
    <x v="0"/>
    <x v="3"/>
    <n v="9200"/>
    <x v="4"/>
    <x v="0"/>
  </r>
  <r>
    <d v="2024-06-16T00:00:00"/>
    <x v="200"/>
    <x v="0"/>
    <x v="3"/>
    <x v="10"/>
    <x v="0"/>
    <x v="3"/>
    <n v="6113"/>
    <x v="0"/>
    <x v="4"/>
  </r>
  <r>
    <d v="2024-06-16T00:00:00"/>
    <x v="200"/>
    <x v="2"/>
    <x v="4"/>
    <x v="7"/>
    <x v="0"/>
    <x v="3"/>
    <n v="7733"/>
    <x v="2"/>
    <x v="4"/>
  </r>
  <r>
    <d v="2024-06-16T00:00:00"/>
    <x v="200"/>
    <x v="2"/>
    <x v="4"/>
    <x v="1"/>
    <x v="0"/>
    <x v="3"/>
    <n v="8524"/>
    <x v="4"/>
    <x v="0"/>
  </r>
  <r>
    <d v="2024-06-16T00:00:00"/>
    <x v="200"/>
    <x v="2"/>
    <x v="11"/>
    <x v="7"/>
    <x v="0"/>
    <x v="3"/>
    <n v="6187"/>
    <x v="2"/>
    <x v="4"/>
  </r>
  <r>
    <d v="2022-07-15T00:00:00"/>
    <x v="201"/>
    <x v="2"/>
    <x v="4"/>
    <x v="9"/>
    <x v="5"/>
    <x v="13"/>
    <n v="4364"/>
    <x v="2"/>
    <x v="1"/>
  </r>
  <r>
    <d v="2022-07-15T00:00:00"/>
    <x v="201"/>
    <x v="1"/>
    <x v="2"/>
    <x v="2"/>
    <x v="5"/>
    <x v="13"/>
    <n v="736"/>
    <x v="2"/>
    <x v="2"/>
  </r>
  <r>
    <d v="2021-07-18T00:00:00"/>
    <x v="202"/>
    <x v="1"/>
    <x v="2"/>
    <x v="14"/>
    <x v="4"/>
    <x v="8"/>
    <n v="9905"/>
    <x v="2"/>
    <x v="0"/>
  </r>
  <r>
    <d v="2021-10-02T00:00:00"/>
    <x v="203"/>
    <x v="1"/>
    <x v="2"/>
    <x v="14"/>
    <x v="0"/>
    <x v="16"/>
    <n v="9905"/>
    <x v="2"/>
    <x v="0"/>
  </r>
  <r>
    <d v="2024-04-16T00:00:00"/>
    <x v="204"/>
    <x v="1"/>
    <x v="8"/>
    <x v="8"/>
    <x v="1"/>
    <x v="6"/>
    <n v="2493"/>
    <x v="3"/>
    <x v="3"/>
  </r>
  <r>
    <d v="2024-04-16T00:00:00"/>
    <x v="204"/>
    <x v="1"/>
    <x v="2"/>
    <x v="6"/>
    <x v="1"/>
    <x v="6"/>
    <n v="9849"/>
    <x v="3"/>
    <x v="0"/>
  </r>
  <r>
    <d v="2020-07-09T00:00:00"/>
    <x v="205"/>
    <x v="0"/>
    <x v="1"/>
    <x v="15"/>
    <x v="1"/>
    <x v="17"/>
    <n v="3423"/>
    <x v="3"/>
    <x v="3"/>
  </r>
  <r>
    <d v="2020-07-25T00:00:00"/>
    <x v="206"/>
    <x v="0"/>
    <x v="1"/>
    <x v="15"/>
    <x v="4"/>
    <x v="8"/>
    <n v="3423"/>
    <x v="3"/>
    <x v="3"/>
  </r>
  <r>
    <d v="2024-01-24T00:00:00"/>
    <x v="207"/>
    <x v="0"/>
    <x v="1"/>
    <x v="15"/>
    <x v="4"/>
    <x v="10"/>
    <n v="3423"/>
    <x v="3"/>
    <x v="3"/>
  </r>
  <r>
    <d v="2020-05-04T00:00:00"/>
    <x v="208"/>
    <x v="0"/>
    <x v="1"/>
    <x v="15"/>
    <x v="4"/>
    <x v="8"/>
    <n v="3423"/>
    <x v="3"/>
    <x v="3"/>
  </r>
  <r>
    <d v="2021-11-13T00:00:00"/>
    <x v="209"/>
    <x v="0"/>
    <x v="1"/>
    <x v="15"/>
    <x v="5"/>
    <x v="13"/>
    <n v="3423"/>
    <x v="3"/>
    <x v="3"/>
  </r>
  <r>
    <d v="2023-10-07T00:00:00"/>
    <x v="210"/>
    <x v="2"/>
    <x v="5"/>
    <x v="8"/>
    <x v="1"/>
    <x v="6"/>
    <n v="3900"/>
    <x v="4"/>
    <x v="3"/>
  </r>
  <r>
    <d v="2021-10-23T00:00:00"/>
    <x v="211"/>
    <x v="0"/>
    <x v="0"/>
    <x v="13"/>
    <x v="2"/>
    <x v="7"/>
    <n v="8568"/>
    <x v="0"/>
    <x v="0"/>
  </r>
  <r>
    <d v="2021-10-23T00:00:00"/>
    <x v="211"/>
    <x v="1"/>
    <x v="2"/>
    <x v="10"/>
    <x v="2"/>
    <x v="7"/>
    <n v="3283"/>
    <x v="2"/>
    <x v="3"/>
  </r>
  <r>
    <d v="2022-07-18T00:00:00"/>
    <x v="212"/>
    <x v="0"/>
    <x v="0"/>
    <x v="5"/>
    <x v="4"/>
    <x v="8"/>
    <n v="7643"/>
    <x v="2"/>
    <x v="4"/>
  </r>
  <r>
    <d v="2024-08-23T00:00:00"/>
    <x v="213"/>
    <x v="2"/>
    <x v="7"/>
    <x v="7"/>
    <x v="1"/>
    <x v="1"/>
    <n v="3461"/>
    <x v="2"/>
    <x v="3"/>
  </r>
  <r>
    <d v="2024-08-23T00:00:00"/>
    <x v="213"/>
    <x v="0"/>
    <x v="0"/>
    <x v="10"/>
    <x v="1"/>
    <x v="1"/>
    <n v="5714"/>
    <x v="3"/>
    <x v="1"/>
  </r>
  <r>
    <d v="2024-08-23T00:00:00"/>
    <x v="213"/>
    <x v="1"/>
    <x v="9"/>
    <x v="3"/>
    <x v="1"/>
    <x v="1"/>
    <n v="3853"/>
    <x v="4"/>
    <x v="3"/>
  </r>
  <r>
    <d v="2020-10-28T00:00:00"/>
    <x v="214"/>
    <x v="1"/>
    <x v="2"/>
    <x v="12"/>
    <x v="1"/>
    <x v="1"/>
    <n v="6016"/>
    <x v="0"/>
    <x v="4"/>
  </r>
  <r>
    <d v="2024-06-15T00:00:00"/>
    <x v="215"/>
    <x v="1"/>
    <x v="6"/>
    <x v="2"/>
    <x v="2"/>
    <x v="2"/>
    <n v="1290"/>
    <x v="0"/>
    <x v="2"/>
  </r>
  <r>
    <d v="2024-12-19T00:00:00"/>
    <x v="216"/>
    <x v="1"/>
    <x v="6"/>
    <x v="2"/>
    <x v="3"/>
    <x v="11"/>
    <n v="1290"/>
    <x v="0"/>
    <x v="2"/>
  </r>
  <r>
    <d v="2020-09-04T00:00:00"/>
    <x v="217"/>
    <x v="0"/>
    <x v="1"/>
    <x v="3"/>
    <x v="1"/>
    <x v="6"/>
    <n v="4569"/>
    <x v="0"/>
    <x v="1"/>
  </r>
  <r>
    <d v="2022-04-16T00:00:00"/>
    <x v="218"/>
    <x v="2"/>
    <x v="11"/>
    <x v="4"/>
    <x v="0"/>
    <x v="3"/>
    <n v="3083"/>
    <x v="1"/>
    <x v="3"/>
  </r>
  <r>
    <d v="2024-08-29T00:00:00"/>
    <x v="219"/>
    <x v="1"/>
    <x v="2"/>
    <x v="7"/>
    <x v="5"/>
    <x v="14"/>
    <n v="3522"/>
    <x v="3"/>
    <x v="3"/>
  </r>
  <r>
    <d v="2022-01-14T00:00:00"/>
    <x v="220"/>
    <x v="1"/>
    <x v="2"/>
    <x v="7"/>
    <x v="3"/>
    <x v="4"/>
    <n v="3522"/>
    <x v="3"/>
    <x v="3"/>
  </r>
  <r>
    <d v="2024-04-07T00:00:00"/>
    <x v="221"/>
    <x v="1"/>
    <x v="9"/>
    <x v="16"/>
    <x v="4"/>
    <x v="15"/>
    <n v="7301"/>
    <x v="1"/>
    <x v="4"/>
  </r>
  <r>
    <d v="2022-04-24T00:00:00"/>
    <x v="222"/>
    <x v="0"/>
    <x v="3"/>
    <x v="17"/>
    <x v="1"/>
    <x v="6"/>
    <n v="4462"/>
    <x v="4"/>
    <x v="1"/>
  </r>
  <r>
    <d v="2022-04-24T00:00:00"/>
    <x v="222"/>
    <x v="0"/>
    <x v="10"/>
    <x v="14"/>
    <x v="1"/>
    <x v="6"/>
    <n v="6212"/>
    <x v="4"/>
    <x v="4"/>
  </r>
  <r>
    <d v="2020-08-27T00:00:00"/>
    <x v="223"/>
    <x v="2"/>
    <x v="11"/>
    <x v="16"/>
    <x v="0"/>
    <x v="16"/>
    <n v="4027"/>
    <x v="2"/>
    <x v="1"/>
  </r>
  <r>
    <d v="2023-03-01T00:00:00"/>
    <x v="224"/>
    <x v="0"/>
    <x v="3"/>
    <x v="1"/>
    <x v="5"/>
    <x v="14"/>
    <n v="1676"/>
    <x v="2"/>
    <x v="2"/>
  </r>
  <r>
    <d v="2023-03-01T00:00:00"/>
    <x v="224"/>
    <x v="2"/>
    <x v="11"/>
    <x v="2"/>
    <x v="5"/>
    <x v="14"/>
    <n v="3927"/>
    <x v="4"/>
    <x v="3"/>
  </r>
  <r>
    <d v="2023-03-01T00:00:00"/>
    <x v="224"/>
    <x v="0"/>
    <x v="10"/>
    <x v="8"/>
    <x v="5"/>
    <x v="14"/>
    <n v="2776"/>
    <x v="1"/>
    <x v="3"/>
  </r>
  <r>
    <d v="2020-10-02T00:00:00"/>
    <x v="225"/>
    <x v="2"/>
    <x v="7"/>
    <x v="2"/>
    <x v="1"/>
    <x v="1"/>
    <n v="7684"/>
    <x v="4"/>
    <x v="4"/>
  </r>
  <r>
    <d v="2020-06-23T00:00:00"/>
    <x v="226"/>
    <x v="2"/>
    <x v="7"/>
    <x v="2"/>
    <x v="2"/>
    <x v="2"/>
    <n v="7684"/>
    <x v="4"/>
    <x v="4"/>
  </r>
  <r>
    <d v="2023-08-21T00:00:00"/>
    <x v="227"/>
    <x v="2"/>
    <x v="7"/>
    <x v="2"/>
    <x v="5"/>
    <x v="12"/>
    <n v="7684"/>
    <x v="4"/>
    <x v="4"/>
  </r>
  <r>
    <d v="2022-07-16T00:00:00"/>
    <x v="228"/>
    <x v="0"/>
    <x v="10"/>
    <x v="14"/>
    <x v="0"/>
    <x v="0"/>
    <n v="6008"/>
    <x v="3"/>
    <x v="4"/>
  </r>
  <r>
    <d v="2022-08-01T00:00:00"/>
    <x v="229"/>
    <x v="2"/>
    <x v="11"/>
    <x v="12"/>
    <x v="4"/>
    <x v="8"/>
    <n v="7344"/>
    <x v="4"/>
    <x v="4"/>
  </r>
  <r>
    <d v="2020-07-16T00:00:00"/>
    <x v="230"/>
    <x v="1"/>
    <x v="2"/>
    <x v="12"/>
    <x v="0"/>
    <x v="3"/>
    <n v="6932"/>
    <x v="4"/>
    <x v="4"/>
  </r>
  <r>
    <d v="2020-05-02T00:00:00"/>
    <x v="231"/>
    <x v="0"/>
    <x v="0"/>
    <x v="4"/>
    <x v="5"/>
    <x v="13"/>
    <n v="7748"/>
    <x v="2"/>
    <x v="4"/>
  </r>
  <r>
    <d v="2020-05-02T00:00:00"/>
    <x v="231"/>
    <x v="1"/>
    <x v="6"/>
    <x v="12"/>
    <x v="5"/>
    <x v="13"/>
    <n v="6381"/>
    <x v="0"/>
    <x v="4"/>
  </r>
  <r>
    <d v="2020-05-02T00:00:00"/>
    <x v="231"/>
    <x v="0"/>
    <x v="10"/>
    <x v="10"/>
    <x v="5"/>
    <x v="13"/>
    <n v="992"/>
    <x v="3"/>
    <x v="2"/>
  </r>
  <r>
    <d v="2024-01-10T00:00:00"/>
    <x v="232"/>
    <x v="0"/>
    <x v="3"/>
    <x v="19"/>
    <x v="3"/>
    <x v="11"/>
    <n v="8649"/>
    <x v="2"/>
    <x v="0"/>
  </r>
  <r>
    <d v="2020-09-30T00:00:00"/>
    <x v="233"/>
    <x v="0"/>
    <x v="3"/>
    <x v="19"/>
    <x v="2"/>
    <x v="7"/>
    <n v="8649"/>
    <x v="2"/>
    <x v="0"/>
  </r>
  <r>
    <d v="2022-03-28T00:00:00"/>
    <x v="234"/>
    <x v="0"/>
    <x v="3"/>
    <x v="9"/>
    <x v="2"/>
    <x v="5"/>
    <n v="4099"/>
    <x v="0"/>
    <x v="1"/>
  </r>
  <r>
    <d v="2021-01-30T00:00:00"/>
    <x v="235"/>
    <x v="0"/>
    <x v="0"/>
    <x v="0"/>
    <x v="3"/>
    <x v="11"/>
    <n v="2539"/>
    <x v="0"/>
    <x v="3"/>
  </r>
  <r>
    <d v="2025-03-14T00:00:00"/>
    <x v="236"/>
    <x v="1"/>
    <x v="8"/>
    <x v="8"/>
    <x v="0"/>
    <x v="3"/>
    <n v="9845"/>
    <x v="4"/>
    <x v="0"/>
  </r>
  <r>
    <d v="2021-10-26T00:00:00"/>
    <x v="237"/>
    <x v="1"/>
    <x v="8"/>
    <x v="11"/>
    <x v="4"/>
    <x v="10"/>
    <n v="2901"/>
    <x v="1"/>
    <x v="3"/>
  </r>
  <r>
    <d v="2023-01-11T00:00:00"/>
    <x v="238"/>
    <x v="1"/>
    <x v="8"/>
    <x v="11"/>
    <x v="3"/>
    <x v="4"/>
    <n v="2901"/>
    <x v="1"/>
    <x v="3"/>
  </r>
  <r>
    <d v="2021-10-26T00:00:00"/>
    <x v="237"/>
    <x v="1"/>
    <x v="2"/>
    <x v="10"/>
    <x v="4"/>
    <x v="10"/>
    <n v="6934"/>
    <x v="3"/>
    <x v="4"/>
  </r>
  <r>
    <d v="2023-01-11T00:00:00"/>
    <x v="238"/>
    <x v="1"/>
    <x v="2"/>
    <x v="10"/>
    <x v="3"/>
    <x v="4"/>
    <n v="6934"/>
    <x v="3"/>
    <x v="4"/>
  </r>
  <r>
    <d v="2021-10-31T00:00:00"/>
    <x v="239"/>
    <x v="2"/>
    <x v="11"/>
    <x v="11"/>
    <x v="1"/>
    <x v="17"/>
    <n v="9640"/>
    <x v="3"/>
    <x v="0"/>
  </r>
  <r>
    <d v="2023-05-04T00:00:00"/>
    <x v="240"/>
    <x v="2"/>
    <x v="5"/>
    <x v="19"/>
    <x v="5"/>
    <x v="14"/>
    <n v="7930"/>
    <x v="3"/>
    <x v="4"/>
  </r>
  <r>
    <d v="2024-08-09T00:00:00"/>
    <x v="241"/>
    <x v="2"/>
    <x v="5"/>
    <x v="19"/>
    <x v="1"/>
    <x v="6"/>
    <n v="7930"/>
    <x v="3"/>
    <x v="4"/>
  </r>
  <r>
    <d v="2022-08-21T00:00:00"/>
    <x v="242"/>
    <x v="1"/>
    <x v="9"/>
    <x v="6"/>
    <x v="3"/>
    <x v="9"/>
    <n v="9894"/>
    <x v="4"/>
    <x v="0"/>
  </r>
  <r>
    <d v="2022-08-21T00:00:00"/>
    <x v="242"/>
    <x v="2"/>
    <x v="4"/>
    <x v="15"/>
    <x v="3"/>
    <x v="9"/>
    <n v="4534"/>
    <x v="4"/>
    <x v="1"/>
  </r>
  <r>
    <d v="2022-06-19T00:00:00"/>
    <x v="243"/>
    <x v="0"/>
    <x v="10"/>
    <x v="12"/>
    <x v="2"/>
    <x v="2"/>
    <n v="4911"/>
    <x v="1"/>
    <x v="1"/>
  </r>
  <r>
    <d v="2022-06-19T00:00:00"/>
    <x v="243"/>
    <x v="2"/>
    <x v="11"/>
    <x v="12"/>
    <x v="2"/>
    <x v="2"/>
    <n v="531"/>
    <x v="1"/>
    <x v="2"/>
  </r>
  <r>
    <d v="2025-01-29T00:00:00"/>
    <x v="244"/>
    <x v="0"/>
    <x v="0"/>
    <x v="3"/>
    <x v="1"/>
    <x v="17"/>
    <n v="9707"/>
    <x v="2"/>
    <x v="0"/>
  </r>
  <r>
    <d v="2025-01-29T00:00:00"/>
    <x v="244"/>
    <x v="1"/>
    <x v="8"/>
    <x v="18"/>
    <x v="1"/>
    <x v="17"/>
    <n v="8521"/>
    <x v="4"/>
    <x v="0"/>
  </r>
  <r>
    <d v="2022-01-14T00:00:00"/>
    <x v="245"/>
    <x v="1"/>
    <x v="9"/>
    <x v="2"/>
    <x v="2"/>
    <x v="2"/>
    <n v="8438"/>
    <x v="3"/>
    <x v="0"/>
  </r>
  <r>
    <d v="2022-01-14T00:00:00"/>
    <x v="245"/>
    <x v="0"/>
    <x v="0"/>
    <x v="8"/>
    <x v="2"/>
    <x v="2"/>
    <n v="1689"/>
    <x v="0"/>
    <x v="2"/>
  </r>
  <r>
    <d v="2022-01-14T00:00:00"/>
    <x v="245"/>
    <x v="1"/>
    <x v="8"/>
    <x v="1"/>
    <x v="2"/>
    <x v="2"/>
    <n v="3936"/>
    <x v="4"/>
    <x v="3"/>
  </r>
  <r>
    <d v="2023-06-15T00:00:00"/>
    <x v="246"/>
    <x v="0"/>
    <x v="10"/>
    <x v="5"/>
    <x v="5"/>
    <x v="13"/>
    <n v="7664"/>
    <x v="1"/>
    <x v="4"/>
  </r>
  <r>
    <d v="2023-10-18T00:00:00"/>
    <x v="247"/>
    <x v="0"/>
    <x v="3"/>
    <x v="19"/>
    <x v="1"/>
    <x v="17"/>
    <n v="721"/>
    <x v="1"/>
    <x v="2"/>
  </r>
  <r>
    <d v="2022-06-13T00:00:00"/>
    <x v="248"/>
    <x v="0"/>
    <x v="3"/>
    <x v="19"/>
    <x v="2"/>
    <x v="2"/>
    <n v="721"/>
    <x v="1"/>
    <x v="2"/>
  </r>
  <r>
    <d v="2023-10-18T00:00:00"/>
    <x v="247"/>
    <x v="0"/>
    <x v="3"/>
    <x v="14"/>
    <x v="1"/>
    <x v="17"/>
    <n v="8364"/>
    <x v="3"/>
    <x v="0"/>
  </r>
  <r>
    <d v="2022-06-13T00:00:00"/>
    <x v="248"/>
    <x v="0"/>
    <x v="3"/>
    <x v="14"/>
    <x v="2"/>
    <x v="2"/>
    <n v="8364"/>
    <x v="3"/>
    <x v="0"/>
  </r>
  <r>
    <d v="2023-10-18T00:00:00"/>
    <x v="247"/>
    <x v="2"/>
    <x v="11"/>
    <x v="7"/>
    <x v="1"/>
    <x v="17"/>
    <n v="5234"/>
    <x v="2"/>
    <x v="1"/>
  </r>
  <r>
    <d v="2022-06-13T00:00:00"/>
    <x v="248"/>
    <x v="2"/>
    <x v="11"/>
    <x v="7"/>
    <x v="2"/>
    <x v="2"/>
    <n v="5234"/>
    <x v="2"/>
    <x v="1"/>
  </r>
  <r>
    <d v="2024-06-12T00:00:00"/>
    <x v="249"/>
    <x v="0"/>
    <x v="10"/>
    <x v="9"/>
    <x v="3"/>
    <x v="11"/>
    <n v="3944"/>
    <x v="3"/>
    <x v="3"/>
  </r>
  <r>
    <d v="2024-06-12T00:00:00"/>
    <x v="249"/>
    <x v="1"/>
    <x v="2"/>
    <x v="2"/>
    <x v="3"/>
    <x v="11"/>
    <n v="6711"/>
    <x v="3"/>
    <x v="4"/>
  </r>
  <r>
    <d v="2024-06-12T00:00:00"/>
    <x v="249"/>
    <x v="2"/>
    <x v="4"/>
    <x v="15"/>
    <x v="3"/>
    <x v="11"/>
    <n v="5031"/>
    <x v="3"/>
    <x v="1"/>
  </r>
  <r>
    <d v="2024-06-12T00:00:00"/>
    <x v="249"/>
    <x v="1"/>
    <x v="9"/>
    <x v="1"/>
    <x v="3"/>
    <x v="11"/>
    <n v="6295"/>
    <x v="2"/>
    <x v="4"/>
  </r>
  <r>
    <d v="2022-06-27T00:00:00"/>
    <x v="250"/>
    <x v="1"/>
    <x v="8"/>
    <x v="6"/>
    <x v="3"/>
    <x v="11"/>
    <n v="9654"/>
    <x v="0"/>
    <x v="0"/>
  </r>
  <r>
    <d v="2022-06-27T00:00:00"/>
    <x v="250"/>
    <x v="1"/>
    <x v="9"/>
    <x v="12"/>
    <x v="3"/>
    <x v="11"/>
    <n v="3112"/>
    <x v="4"/>
    <x v="3"/>
  </r>
  <r>
    <d v="2021-02-18T00:00:00"/>
    <x v="251"/>
    <x v="0"/>
    <x v="10"/>
    <x v="19"/>
    <x v="3"/>
    <x v="11"/>
    <n v="7838"/>
    <x v="0"/>
    <x v="4"/>
  </r>
  <r>
    <d v="2021-02-18T00:00:00"/>
    <x v="251"/>
    <x v="0"/>
    <x v="10"/>
    <x v="10"/>
    <x v="3"/>
    <x v="11"/>
    <n v="9300"/>
    <x v="3"/>
    <x v="0"/>
  </r>
  <r>
    <d v="2021-02-18T00:00:00"/>
    <x v="251"/>
    <x v="1"/>
    <x v="8"/>
    <x v="14"/>
    <x v="3"/>
    <x v="11"/>
    <n v="1733"/>
    <x v="1"/>
    <x v="2"/>
  </r>
  <r>
    <d v="2023-05-29T00:00:00"/>
    <x v="252"/>
    <x v="1"/>
    <x v="9"/>
    <x v="7"/>
    <x v="2"/>
    <x v="7"/>
    <n v="874"/>
    <x v="1"/>
    <x v="2"/>
  </r>
  <r>
    <d v="2021-06-04T00:00:00"/>
    <x v="253"/>
    <x v="1"/>
    <x v="9"/>
    <x v="7"/>
    <x v="0"/>
    <x v="0"/>
    <n v="874"/>
    <x v="1"/>
    <x v="2"/>
  </r>
  <r>
    <d v="2024-01-22T00:00:00"/>
    <x v="254"/>
    <x v="1"/>
    <x v="2"/>
    <x v="19"/>
    <x v="5"/>
    <x v="12"/>
    <n v="1248"/>
    <x v="2"/>
    <x v="2"/>
  </r>
  <r>
    <d v="2022-12-27T00:00:00"/>
    <x v="255"/>
    <x v="1"/>
    <x v="2"/>
    <x v="19"/>
    <x v="3"/>
    <x v="11"/>
    <n v="1248"/>
    <x v="2"/>
    <x v="2"/>
  </r>
  <r>
    <d v="2024-01-22T00:00:00"/>
    <x v="254"/>
    <x v="1"/>
    <x v="6"/>
    <x v="1"/>
    <x v="5"/>
    <x v="12"/>
    <n v="3669"/>
    <x v="2"/>
    <x v="3"/>
  </r>
  <r>
    <d v="2022-12-27T00:00:00"/>
    <x v="255"/>
    <x v="1"/>
    <x v="6"/>
    <x v="1"/>
    <x v="3"/>
    <x v="11"/>
    <n v="3669"/>
    <x v="2"/>
    <x v="3"/>
  </r>
  <r>
    <d v="2024-01-22T00:00:00"/>
    <x v="254"/>
    <x v="1"/>
    <x v="8"/>
    <x v="7"/>
    <x v="5"/>
    <x v="12"/>
    <n v="514"/>
    <x v="1"/>
    <x v="2"/>
  </r>
  <r>
    <d v="2022-12-27T00:00:00"/>
    <x v="255"/>
    <x v="1"/>
    <x v="8"/>
    <x v="7"/>
    <x v="3"/>
    <x v="11"/>
    <n v="514"/>
    <x v="1"/>
    <x v="2"/>
  </r>
  <r>
    <d v="2024-03-30T00:00:00"/>
    <x v="256"/>
    <x v="0"/>
    <x v="10"/>
    <x v="4"/>
    <x v="5"/>
    <x v="13"/>
    <n v="3273"/>
    <x v="0"/>
    <x v="3"/>
  </r>
  <r>
    <d v="2020-04-04T00:00:00"/>
    <x v="257"/>
    <x v="2"/>
    <x v="5"/>
    <x v="11"/>
    <x v="0"/>
    <x v="0"/>
    <n v="5035"/>
    <x v="4"/>
    <x v="1"/>
  </r>
  <r>
    <d v="2020-04-04T00:00:00"/>
    <x v="257"/>
    <x v="0"/>
    <x v="1"/>
    <x v="5"/>
    <x v="0"/>
    <x v="0"/>
    <n v="7702"/>
    <x v="0"/>
    <x v="4"/>
  </r>
  <r>
    <d v="2020-04-04T00:00:00"/>
    <x v="257"/>
    <x v="0"/>
    <x v="1"/>
    <x v="18"/>
    <x v="0"/>
    <x v="0"/>
    <n v="9884"/>
    <x v="2"/>
    <x v="0"/>
  </r>
  <r>
    <d v="2023-01-22T00:00:00"/>
    <x v="258"/>
    <x v="0"/>
    <x v="3"/>
    <x v="13"/>
    <x v="1"/>
    <x v="1"/>
    <n v="5564"/>
    <x v="4"/>
    <x v="1"/>
  </r>
  <r>
    <d v="2022-04-12T00:00:00"/>
    <x v="259"/>
    <x v="0"/>
    <x v="3"/>
    <x v="13"/>
    <x v="4"/>
    <x v="15"/>
    <n v="5564"/>
    <x v="4"/>
    <x v="1"/>
  </r>
  <r>
    <d v="2023-12-13T00:00:00"/>
    <x v="260"/>
    <x v="0"/>
    <x v="3"/>
    <x v="13"/>
    <x v="0"/>
    <x v="0"/>
    <n v="5564"/>
    <x v="4"/>
    <x v="1"/>
  </r>
  <r>
    <d v="2023-01-22T00:00:00"/>
    <x v="258"/>
    <x v="0"/>
    <x v="0"/>
    <x v="7"/>
    <x v="1"/>
    <x v="1"/>
    <n v="3953"/>
    <x v="0"/>
    <x v="3"/>
  </r>
  <r>
    <d v="2022-04-12T00:00:00"/>
    <x v="259"/>
    <x v="0"/>
    <x v="0"/>
    <x v="7"/>
    <x v="4"/>
    <x v="15"/>
    <n v="3953"/>
    <x v="0"/>
    <x v="3"/>
  </r>
  <r>
    <d v="2023-12-13T00:00:00"/>
    <x v="260"/>
    <x v="0"/>
    <x v="0"/>
    <x v="7"/>
    <x v="0"/>
    <x v="0"/>
    <n v="3953"/>
    <x v="0"/>
    <x v="3"/>
  </r>
  <r>
    <d v="2023-05-24T00:00:00"/>
    <x v="261"/>
    <x v="0"/>
    <x v="1"/>
    <x v="9"/>
    <x v="4"/>
    <x v="8"/>
    <n v="6488"/>
    <x v="2"/>
    <x v="4"/>
  </r>
  <r>
    <d v="2020-11-29T00:00:00"/>
    <x v="262"/>
    <x v="0"/>
    <x v="1"/>
    <x v="9"/>
    <x v="4"/>
    <x v="15"/>
    <n v="6488"/>
    <x v="2"/>
    <x v="4"/>
  </r>
  <r>
    <d v="2021-03-24T00:00:00"/>
    <x v="263"/>
    <x v="0"/>
    <x v="0"/>
    <x v="14"/>
    <x v="0"/>
    <x v="3"/>
    <n v="7856"/>
    <x v="0"/>
    <x v="4"/>
  </r>
  <r>
    <d v="2021-03-24T00:00:00"/>
    <x v="263"/>
    <x v="1"/>
    <x v="2"/>
    <x v="16"/>
    <x v="0"/>
    <x v="3"/>
    <n v="1165"/>
    <x v="2"/>
    <x v="2"/>
  </r>
  <r>
    <d v="2020-08-19T00:00:00"/>
    <x v="264"/>
    <x v="1"/>
    <x v="6"/>
    <x v="12"/>
    <x v="3"/>
    <x v="9"/>
    <n v="9386"/>
    <x v="3"/>
    <x v="0"/>
  </r>
  <r>
    <d v="2022-10-20T00:00:00"/>
    <x v="265"/>
    <x v="1"/>
    <x v="6"/>
    <x v="12"/>
    <x v="5"/>
    <x v="14"/>
    <n v="9386"/>
    <x v="3"/>
    <x v="0"/>
  </r>
  <r>
    <d v="2023-09-20T00:00:00"/>
    <x v="266"/>
    <x v="1"/>
    <x v="2"/>
    <x v="2"/>
    <x v="0"/>
    <x v="16"/>
    <n v="3956"/>
    <x v="1"/>
    <x v="3"/>
  </r>
  <r>
    <d v="2024-12-26T00:00:00"/>
    <x v="267"/>
    <x v="1"/>
    <x v="2"/>
    <x v="2"/>
    <x v="4"/>
    <x v="8"/>
    <n v="3956"/>
    <x v="1"/>
    <x v="3"/>
  </r>
  <r>
    <d v="2023-09-20T00:00:00"/>
    <x v="266"/>
    <x v="2"/>
    <x v="11"/>
    <x v="13"/>
    <x v="0"/>
    <x v="16"/>
    <n v="6449"/>
    <x v="2"/>
    <x v="4"/>
  </r>
  <r>
    <d v="2024-12-26T00:00:00"/>
    <x v="267"/>
    <x v="2"/>
    <x v="11"/>
    <x v="13"/>
    <x v="4"/>
    <x v="8"/>
    <n v="6449"/>
    <x v="2"/>
    <x v="4"/>
  </r>
  <r>
    <d v="2021-12-03T00:00:00"/>
    <x v="268"/>
    <x v="1"/>
    <x v="6"/>
    <x v="9"/>
    <x v="2"/>
    <x v="7"/>
    <n v="6255"/>
    <x v="4"/>
    <x v="4"/>
  </r>
  <r>
    <d v="2021-12-03T00:00:00"/>
    <x v="268"/>
    <x v="0"/>
    <x v="0"/>
    <x v="12"/>
    <x v="2"/>
    <x v="7"/>
    <n v="2109"/>
    <x v="0"/>
    <x v="3"/>
  </r>
  <r>
    <d v="2021-09-14T00:00:00"/>
    <x v="269"/>
    <x v="0"/>
    <x v="10"/>
    <x v="12"/>
    <x v="4"/>
    <x v="10"/>
    <n v="6707"/>
    <x v="3"/>
    <x v="4"/>
  </r>
  <r>
    <d v="2021-09-30T00:00:00"/>
    <x v="270"/>
    <x v="1"/>
    <x v="2"/>
    <x v="19"/>
    <x v="1"/>
    <x v="6"/>
    <n v="7633"/>
    <x v="4"/>
    <x v="4"/>
  </r>
  <r>
    <d v="2021-12-22T00:00:00"/>
    <x v="271"/>
    <x v="1"/>
    <x v="2"/>
    <x v="9"/>
    <x v="3"/>
    <x v="9"/>
    <n v="975"/>
    <x v="4"/>
    <x v="2"/>
  </r>
  <r>
    <d v="2021-12-22T00:00:00"/>
    <x v="271"/>
    <x v="2"/>
    <x v="4"/>
    <x v="18"/>
    <x v="3"/>
    <x v="9"/>
    <n v="4492"/>
    <x v="2"/>
    <x v="1"/>
  </r>
  <r>
    <d v="2021-12-22T00:00:00"/>
    <x v="271"/>
    <x v="2"/>
    <x v="5"/>
    <x v="2"/>
    <x v="3"/>
    <x v="9"/>
    <n v="7957"/>
    <x v="0"/>
    <x v="4"/>
  </r>
  <r>
    <d v="2022-05-18T00:00:00"/>
    <x v="272"/>
    <x v="2"/>
    <x v="4"/>
    <x v="18"/>
    <x v="4"/>
    <x v="15"/>
    <n v="4906"/>
    <x v="1"/>
    <x v="1"/>
  </r>
  <r>
    <d v="2020-10-08T00:00:00"/>
    <x v="273"/>
    <x v="1"/>
    <x v="2"/>
    <x v="16"/>
    <x v="2"/>
    <x v="2"/>
    <n v="1379"/>
    <x v="3"/>
    <x v="2"/>
  </r>
  <r>
    <d v="2020-10-08T00:00:00"/>
    <x v="273"/>
    <x v="0"/>
    <x v="3"/>
    <x v="3"/>
    <x v="2"/>
    <x v="2"/>
    <n v="4244"/>
    <x v="1"/>
    <x v="1"/>
  </r>
  <r>
    <d v="2022-08-20T00:00:00"/>
    <x v="274"/>
    <x v="2"/>
    <x v="11"/>
    <x v="1"/>
    <x v="3"/>
    <x v="9"/>
    <n v="5911"/>
    <x v="2"/>
    <x v="1"/>
  </r>
  <r>
    <d v="2024-11-25T00:00:00"/>
    <x v="275"/>
    <x v="2"/>
    <x v="11"/>
    <x v="1"/>
    <x v="3"/>
    <x v="11"/>
    <n v="5911"/>
    <x v="2"/>
    <x v="1"/>
  </r>
  <r>
    <d v="2022-08-20T00:00:00"/>
    <x v="274"/>
    <x v="1"/>
    <x v="6"/>
    <x v="13"/>
    <x v="3"/>
    <x v="9"/>
    <n v="1818"/>
    <x v="2"/>
    <x v="2"/>
  </r>
  <r>
    <d v="2024-11-25T00:00:00"/>
    <x v="275"/>
    <x v="1"/>
    <x v="6"/>
    <x v="13"/>
    <x v="3"/>
    <x v="11"/>
    <n v="1818"/>
    <x v="2"/>
    <x v="2"/>
  </r>
  <r>
    <d v="2020-09-30T00:00:00"/>
    <x v="276"/>
    <x v="1"/>
    <x v="8"/>
    <x v="15"/>
    <x v="3"/>
    <x v="9"/>
    <n v="2140"/>
    <x v="3"/>
    <x v="3"/>
  </r>
  <r>
    <d v="2025-02-20T00:00:00"/>
    <x v="277"/>
    <x v="1"/>
    <x v="8"/>
    <x v="15"/>
    <x v="0"/>
    <x v="3"/>
    <n v="2140"/>
    <x v="3"/>
    <x v="3"/>
  </r>
  <r>
    <d v="2022-03-20T00:00:00"/>
    <x v="278"/>
    <x v="1"/>
    <x v="8"/>
    <x v="15"/>
    <x v="3"/>
    <x v="11"/>
    <n v="2140"/>
    <x v="3"/>
    <x v="3"/>
  </r>
  <r>
    <d v="2020-09-30T00:00:00"/>
    <x v="276"/>
    <x v="0"/>
    <x v="3"/>
    <x v="6"/>
    <x v="3"/>
    <x v="9"/>
    <n v="2670"/>
    <x v="1"/>
    <x v="3"/>
  </r>
  <r>
    <d v="2025-02-20T00:00:00"/>
    <x v="277"/>
    <x v="0"/>
    <x v="3"/>
    <x v="6"/>
    <x v="0"/>
    <x v="3"/>
    <n v="2670"/>
    <x v="1"/>
    <x v="3"/>
  </r>
  <r>
    <d v="2022-03-20T00:00:00"/>
    <x v="278"/>
    <x v="0"/>
    <x v="3"/>
    <x v="6"/>
    <x v="3"/>
    <x v="11"/>
    <n v="2670"/>
    <x v="1"/>
    <x v="3"/>
  </r>
  <r>
    <d v="2025-03-07T00:00:00"/>
    <x v="279"/>
    <x v="0"/>
    <x v="3"/>
    <x v="9"/>
    <x v="1"/>
    <x v="6"/>
    <n v="1108"/>
    <x v="1"/>
    <x v="2"/>
  </r>
  <r>
    <d v="2025-03-07T00:00:00"/>
    <x v="279"/>
    <x v="1"/>
    <x v="9"/>
    <x v="8"/>
    <x v="1"/>
    <x v="6"/>
    <n v="9776"/>
    <x v="0"/>
    <x v="0"/>
  </r>
  <r>
    <d v="2025-03-07T00:00:00"/>
    <x v="279"/>
    <x v="2"/>
    <x v="11"/>
    <x v="10"/>
    <x v="1"/>
    <x v="6"/>
    <n v="535"/>
    <x v="4"/>
    <x v="2"/>
  </r>
  <r>
    <d v="2024-06-16T00:00:00"/>
    <x v="280"/>
    <x v="1"/>
    <x v="8"/>
    <x v="0"/>
    <x v="0"/>
    <x v="16"/>
    <n v="7564"/>
    <x v="3"/>
    <x v="4"/>
  </r>
  <r>
    <d v="2020-11-21T00:00:00"/>
    <x v="281"/>
    <x v="1"/>
    <x v="8"/>
    <x v="0"/>
    <x v="1"/>
    <x v="17"/>
    <n v="7564"/>
    <x v="3"/>
    <x v="4"/>
  </r>
  <r>
    <d v="2024-10-01T00:00:00"/>
    <x v="282"/>
    <x v="1"/>
    <x v="8"/>
    <x v="0"/>
    <x v="0"/>
    <x v="0"/>
    <n v="7564"/>
    <x v="3"/>
    <x v="4"/>
  </r>
  <r>
    <d v="2024-07-01T00:00:00"/>
    <x v="283"/>
    <x v="1"/>
    <x v="8"/>
    <x v="0"/>
    <x v="4"/>
    <x v="15"/>
    <n v="7564"/>
    <x v="3"/>
    <x v="4"/>
  </r>
  <r>
    <d v="2024-06-16T00:00:00"/>
    <x v="280"/>
    <x v="0"/>
    <x v="0"/>
    <x v="12"/>
    <x v="0"/>
    <x v="16"/>
    <n v="3409"/>
    <x v="0"/>
    <x v="3"/>
  </r>
  <r>
    <d v="2020-11-21T00:00:00"/>
    <x v="281"/>
    <x v="0"/>
    <x v="0"/>
    <x v="12"/>
    <x v="1"/>
    <x v="17"/>
    <n v="3409"/>
    <x v="0"/>
    <x v="3"/>
  </r>
  <r>
    <d v="2024-10-01T00:00:00"/>
    <x v="282"/>
    <x v="0"/>
    <x v="0"/>
    <x v="12"/>
    <x v="0"/>
    <x v="0"/>
    <n v="3409"/>
    <x v="0"/>
    <x v="3"/>
  </r>
  <r>
    <d v="2024-07-01T00:00:00"/>
    <x v="283"/>
    <x v="0"/>
    <x v="0"/>
    <x v="12"/>
    <x v="4"/>
    <x v="15"/>
    <n v="3409"/>
    <x v="0"/>
    <x v="3"/>
  </r>
  <r>
    <d v="2020-11-23T00:00:00"/>
    <x v="284"/>
    <x v="1"/>
    <x v="2"/>
    <x v="19"/>
    <x v="2"/>
    <x v="2"/>
    <n v="9751"/>
    <x v="4"/>
    <x v="0"/>
  </r>
  <r>
    <d v="2023-03-18T00:00:00"/>
    <x v="285"/>
    <x v="0"/>
    <x v="1"/>
    <x v="13"/>
    <x v="0"/>
    <x v="3"/>
    <n v="6385"/>
    <x v="3"/>
    <x v="4"/>
  </r>
  <r>
    <d v="2022-10-19T00:00:00"/>
    <x v="286"/>
    <x v="0"/>
    <x v="1"/>
    <x v="13"/>
    <x v="0"/>
    <x v="16"/>
    <n v="6385"/>
    <x v="3"/>
    <x v="4"/>
  </r>
  <r>
    <d v="2023-08-31T00:00:00"/>
    <x v="287"/>
    <x v="0"/>
    <x v="0"/>
    <x v="7"/>
    <x v="4"/>
    <x v="10"/>
    <n v="6355"/>
    <x v="1"/>
    <x v="4"/>
  </r>
  <r>
    <d v="2021-06-06T00:00:00"/>
    <x v="288"/>
    <x v="0"/>
    <x v="0"/>
    <x v="7"/>
    <x v="4"/>
    <x v="10"/>
    <n v="6355"/>
    <x v="1"/>
    <x v="4"/>
  </r>
  <r>
    <d v="2022-12-21T00:00:00"/>
    <x v="289"/>
    <x v="0"/>
    <x v="1"/>
    <x v="7"/>
    <x v="4"/>
    <x v="10"/>
    <n v="7377"/>
    <x v="1"/>
    <x v="4"/>
  </r>
  <r>
    <d v="2022-12-21T00:00:00"/>
    <x v="289"/>
    <x v="1"/>
    <x v="6"/>
    <x v="2"/>
    <x v="4"/>
    <x v="10"/>
    <n v="2054"/>
    <x v="2"/>
    <x v="3"/>
  </r>
  <r>
    <d v="2024-02-12T00:00:00"/>
    <x v="290"/>
    <x v="2"/>
    <x v="5"/>
    <x v="9"/>
    <x v="1"/>
    <x v="17"/>
    <n v="7497"/>
    <x v="4"/>
    <x v="4"/>
  </r>
  <r>
    <d v="2022-12-05T00:00:00"/>
    <x v="291"/>
    <x v="0"/>
    <x v="0"/>
    <x v="12"/>
    <x v="0"/>
    <x v="0"/>
    <n v="2565"/>
    <x v="1"/>
    <x v="3"/>
  </r>
  <r>
    <d v="2022-12-05T00:00:00"/>
    <x v="291"/>
    <x v="1"/>
    <x v="2"/>
    <x v="5"/>
    <x v="0"/>
    <x v="0"/>
    <n v="5024"/>
    <x v="4"/>
    <x v="1"/>
  </r>
  <r>
    <d v="2021-04-04T00:00:00"/>
    <x v="292"/>
    <x v="1"/>
    <x v="9"/>
    <x v="7"/>
    <x v="4"/>
    <x v="15"/>
    <n v="8243"/>
    <x v="1"/>
    <x v="0"/>
  </r>
  <r>
    <d v="2021-02-12T00:00:00"/>
    <x v="293"/>
    <x v="1"/>
    <x v="8"/>
    <x v="19"/>
    <x v="1"/>
    <x v="17"/>
    <n v="7792"/>
    <x v="0"/>
    <x v="4"/>
  </r>
  <r>
    <d v="2022-12-27T00:00:00"/>
    <x v="294"/>
    <x v="1"/>
    <x v="8"/>
    <x v="19"/>
    <x v="2"/>
    <x v="7"/>
    <n v="7792"/>
    <x v="0"/>
    <x v="4"/>
  </r>
  <r>
    <d v="2024-01-19T00:00:00"/>
    <x v="295"/>
    <x v="1"/>
    <x v="8"/>
    <x v="19"/>
    <x v="3"/>
    <x v="9"/>
    <n v="7792"/>
    <x v="0"/>
    <x v="4"/>
  </r>
  <r>
    <d v="2021-02-12T00:00:00"/>
    <x v="293"/>
    <x v="2"/>
    <x v="5"/>
    <x v="1"/>
    <x v="1"/>
    <x v="17"/>
    <n v="2346"/>
    <x v="1"/>
    <x v="3"/>
  </r>
  <r>
    <d v="2022-12-27T00:00:00"/>
    <x v="294"/>
    <x v="2"/>
    <x v="5"/>
    <x v="1"/>
    <x v="2"/>
    <x v="7"/>
    <n v="2346"/>
    <x v="1"/>
    <x v="3"/>
  </r>
  <r>
    <d v="2024-01-19T00:00:00"/>
    <x v="295"/>
    <x v="2"/>
    <x v="5"/>
    <x v="1"/>
    <x v="3"/>
    <x v="9"/>
    <n v="2346"/>
    <x v="1"/>
    <x v="3"/>
  </r>
  <r>
    <d v="2022-12-25T00:00:00"/>
    <x v="296"/>
    <x v="2"/>
    <x v="7"/>
    <x v="3"/>
    <x v="5"/>
    <x v="12"/>
    <n v="7346"/>
    <x v="3"/>
    <x v="4"/>
  </r>
  <r>
    <d v="2022-12-25T00:00:00"/>
    <x v="296"/>
    <x v="0"/>
    <x v="0"/>
    <x v="18"/>
    <x v="5"/>
    <x v="12"/>
    <n v="9770"/>
    <x v="0"/>
    <x v="0"/>
  </r>
  <r>
    <d v="2022-12-25T00:00:00"/>
    <x v="296"/>
    <x v="0"/>
    <x v="3"/>
    <x v="19"/>
    <x v="5"/>
    <x v="12"/>
    <n v="7179"/>
    <x v="3"/>
    <x v="4"/>
  </r>
  <r>
    <d v="2022-10-06T00:00:00"/>
    <x v="297"/>
    <x v="0"/>
    <x v="10"/>
    <x v="11"/>
    <x v="0"/>
    <x v="0"/>
    <n v="5449"/>
    <x v="0"/>
    <x v="1"/>
  </r>
  <r>
    <d v="2020-04-27T00:00:00"/>
    <x v="298"/>
    <x v="2"/>
    <x v="5"/>
    <x v="10"/>
    <x v="2"/>
    <x v="2"/>
    <n v="2895"/>
    <x v="4"/>
    <x v="3"/>
  </r>
  <r>
    <d v="2024-05-13T00:00:00"/>
    <x v="299"/>
    <x v="2"/>
    <x v="5"/>
    <x v="10"/>
    <x v="4"/>
    <x v="15"/>
    <n v="2895"/>
    <x v="4"/>
    <x v="3"/>
  </r>
  <r>
    <d v="2020-04-27T00:00:00"/>
    <x v="298"/>
    <x v="2"/>
    <x v="5"/>
    <x v="6"/>
    <x v="2"/>
    <x v="2"/>
    <n v="697"/>
    <x v="0"/>
    <x v="2"/>
  </r>
  <r>
    <d v="2024-05-13T00:00:00"/>
    <x v="299"/>
    <x v="2"/>
    <x v="5"/>
    <x v="6"/>
    <x v="4"/>
    <x v="15"/>
    <n v="697"/>
    <x v="0"/>
    <x v="2"/>
  </r>
  <r>
    <d v="2020-10-23T00:00:00"/>
    <x v="300"/>
    <x v="2"/>
    <x v="5"/>
    <x v="15"/>
    <x v="3"/>
    <x v="4"/>
    <n v="6145"/>
    <x v="4"/>
    <x v="4"/>
  </r>
  <r>
    <d v="2020-10-23T00:00:00"/>
    <x v="300"/>
    <x v="0"/>
    <x v="1"/>
    <x v="9"/>
    <x v="3"/>
    <x v="4"/>
    <n v="2504"/>
    <x v="0"/>
    <x v="3"/>
  </r>
  <r>
    <d v="2020-10-23T00:00:00"/>
    <x v="300"/>
    <x v="0"/>
    <x v="10"/>
    <x v="4"/>
    <x v="3"/>
    <x v="4"/>
    <n v="3124"/>
    <x v="1"/>
    <x v="3"/>
  </r>
  <r>
    <d v="2021-06-11T00:00:00"/>
    <x v="301"/>
    <x v="0"/>
    <x v="0"/>
    <x v="6"/>
    <x v="5"/>
    <x v="13"/>
    <n v="6934"/>
    <x v="1"/>
    <x v="4"/>
  </r>
  <r>
    <d v="2021-09-08T00:00:00"/>
    <x v="284"/>
    <x v="0"/>
    <x v="0"/>
    <x v="6"/>
    <x v="2"/>
    <x v="7"/>
    <n v="6934"/>
    <x v="1"/>
    <x v="4"/>
  </r>
  <r>
    <d v="2022-11-23T00:00:00"/>
    <x v="302"/>
    <x v="1"/>
    <x v="6"/>
    <x v="16"/>
    <x v="1"/>
    <x v="17"/>
    <n v="4202"/>
    <x v="4"/>
    <x v="1"/>
  </r>
  <r>
    <d v="2022-10-31T00:00:00"/>
    <x v="303"/>
    <x v="1"/>
    <x v="6"/>
    <x v="16"/>
    <x v="2"/>
    <x v="7"/>
    <n v="4202"/>
    <x v="4"/>
    <x v="1"/>
  </r>
  <r>
    <d v="2023-11-06T00:00:00"/>
    <x v="304"/>
    <x v="1"/>
    <x v="6"/>
    <x v="16"/>
    <x v="0"/>
    <x v="16"/>
    <n v="4202"/>
    <x v="4"/>
    <x v="1"/>
  </r>
  <r>
    <d v="2023-11-12T00:00:00"/>
    <x v="305"/>
    <x v="1"/>
    <x v="6"/>
    <x v="16"/>
    <x v="4"/>
    <x v="15"/>
    <n v="4202"/>
    <x v="4"/>
    <x v="1"/>
  </r>
  <r>
    <d v="2023-06-26T00:00:00"/>
    <x v="306"/>
    <x v="0"/>
    <x v="1"/>
    <x v="6"/>
    <x v="3"/>
    <x v="4"/>
    <n v="2239"/>
    <x v="0"/>
    <x v="3"/>
  </r>
  <r>
    <d v="2023-09-30T00:00:00"/>
    <x v="307"/>
    <x v="0"/>
    <x v="1"/>
    <x v="6"/>
    <x v="1"/>
    <x v="1"/>
    <n v="2239"/>
    <x v="0"/>
    <x v="3"/>
  </r>
  <r>
    <d v="2023-06-26T00:00:00"/>
    <x v="306"/>
    <x v="0"/>
    <x v="10"/>
    <x v="15"/>
    <x v="3"/>
    <x v="4"/>
    <n v="2450"/>
    <x v="1"/>
    <x v="3"/>
  </r>
  <r>
    <d v="2023-09-30T00:00:00"/>
    <x v="307"/>
    <x v="0"/>
    <x v="10"/>
    <x v="15"/>
    <x v="1"/>
    <x v="1"/>
    <n v="2450"/>
    <x v="1"/>
    <x v="3"/>
  </r>
  <r>
    <d v="2020-09-12T00:00:00"/>
    <x v="308"/>
    <x v="2"/>
    <x v="5"/>
    <x v="19"/>
    <x v="2"/>
    <x v="5"/>
    <n v="9827"/>
    <x v="1"/>
    <x v="0"/>
  </r>
  <r>
    <d v="2020-09-12T00:00:00"/>
    <x v="308"/>
    <x v="2"/>
    <x v="7"/>
    <x v="7"/>
    <x v="2"/>
    <x v="5"/>
    <n v="8077"/>
    <x v="3"/>
    <x v="0"/>
  </r>
  <r>
    <d v="2020-11-27T00:00:00"/>
    <x v="309"/>
    <x v="0"/>
    <x v="10"/>
    <x v="1"/>
    <x v="1"/>
    <x v="6"/>
    <n v="5152"/>
    <x v="0"/>
    <x v="1"/>
  </r>
  <r>
    <d v="2022-08-25T00:00:00"/>
    <x v="310"/>
    <x v="0"/>
    <x v="10"/>
    <x v="1"/>
    <x v="3"/>
    <x v="4"/>
    <n v="5152"/>
    <x v="0"/>
    <x v="1"/>
  </r>
  <r>
    <d v="2023-08-23T00:00:00"/>
    <x v="311"/>
    <x v="0"/>
    <x v="10"/>
    <x v="1"/>
    <x v="1"/>
    <x v="1"/>
    <n v="5152"/>
    <x v="0"/>
    <x v="1"/>
  </r>
  <r>
    <d v="2023-10-11T00:00:00"/>
    <x v="312"/>
    <x v="0"/>
    <x v="10"/>
    <x v="1"/>
    <x v="2"/>
    <x v="7"/>
    <n v="5152"/>
    <x v="0"/>
    <x v="1"/>
  </r>
  <r>
    <d v="2022-04-21T00:00:00"/>
    <x v="313"/>
    <x v="1"/>
    <x v="6"/>
    <x v="6"/>
    <x v="4"/>
    <x v="15"/>
    <n v="2542"/>
    <x v="3"/>
    <x v="3"/>
  </r>
  <r>
    <d v="2023-09-14T00:00:00"/>
    <x v="314"/>
    <x v="1"/>
    <x v="6"/>
    <x v="0"/>
    <x v="3"/>
    <x v="11"/>
    <n v="8102"/>
    <x v="0"/>
    <x v="0"/>
  </r>
  <r>
    <d v="2020-04-29T00:00:00"/>
    <x v="315"/>
    <x v="1"/>
    <x v="6"/>
    <x v="0"/>
    <x v="2"/>
    <x v="2"/>
    <n v="8102"/>
    <x v="0"/>
    <x v="0"/>
  </r>
  <r>
    <d v="2020-12-15T00:00:00"/>
    <x v="316"/>
    <x v="1"/>
    <x v="6"/>
    <x v="0"/>
    <x v="5"/>
    <x v="14"/>
    <n v="8102"/>
    <x v="0"/>
    <x v="0"/>
  </r>
  <r>
    <d v="2023-09-14T00:00:00"/>
    <x v="314"/>
    <x v="2"/>
    <x v="4"/>
    <x v="3"/>
    <x v="3"/>
    <x v="11"/>
    <n v="3234"/>
    <x v="2"/>
    <x v="3"/>
  </r>
  <r>
    <d v="2020-04-29T00:00:00"/>
    <x v="315"/>
    <x v="2"/>
    <x v="4"/>
    <x v="3"/>
    <x v="2"/>
    <x v="2"/>
    <n v="3234"/>
    <x v="2"/>
    <x v="3"/>
  </r>
  <r>
    <d v="2020-12-15T00:00:00"/>
    <x v="316"/>
    <x v="2"/>
    <x v="4"/>
    <x v="3"/>
    <x v="5"/>
    <x v="14"/>
    <n v="3234"/>
    <x v="2"/>
    <x v="3"/>
  </r>
  <r>
    <d v="2024-07-11T00:00:00"/>
    <x v="317"/>
    <x v="2"/>
    <x v="4"/>
    <x v="9"/>
    <x v="3"/>
    <x v="4"/>
    <n v="6200"/>
    <x v="3"/>
    <x v="4"/>
  </r>
  <r>
    <d v="2024-09-21T00:00:00"/>
    <x v="318"/>
    <x v="2"/>
    <x v="4"/>
    <x v="9"/>
    <x v="0"/>
    <x v="0"/>
    <n v="6200"/>
    <x v="3"/>
    <x v="4"/>
  </r>
  <r>
    <d v="2025-02-02T00:00:00"/>
    <x v="319"/>
    <x v="0"/>
    <x v="3"/>
    <x v="19"/>
    <x v="3"/>
    <x v="4"/>
    <n v="4470"/>
    <x v="0"/>
    <x v="1"/>
  </r>
  <r>
    <d v="2022-10-21T00:00:00"/>
    <x v="320"/>
    <x v="1"/>
    <x v="2"/>
    <x v="18"/>
    <x v="1"/>
    <x v="6"/>
    <n v="916"/>
    <x v="0"/>
    <x v="2"/>
  </r>
  <r>
    <d v="2020-10-21T00:00:00"/>
    <x v="321"/>
    <x v="1"/>
    <x v="2"/>
    <x v="18"/>
    <x v="3"/>
    <x v="11"/>
    <n v="916"/>
    <x v="0"/>
    <x v="2"/>
  </r>
  <r>
    <d v="2022-10-21T00:00:00"/>
    <x v="320"/>
    <x v="2"/>
    <x v="7"/>
    <x v="12"/>
    <x v="1"/>
    <x v="6"/>
    <n v="1165"/>
    <x v="0"/>
    <x v="2"/>
  </r>
  <r>
    <d v="2020-10-21T00:00:00"/>
    <x v="321"/>
    <x v="2"/>
    <x v="7"/>
    <x v="12"/>
    <x v="3"/>
    <x v="11"/>
    <n v="1165"/>
    <x v="0"/>
    <x v="2"/>
  </r>
  <r>
    <d v="2022-10-21T00:00:00"/>
    <x v="320"/>
    <x v="2"/>
    <x v="5"/>
    <x v="2"/>
    <x v="1"/>
    <x v="6"/>
    <n v="7846"/>
    <x v="0"/>
    <x v="4"/>
  </r>
  <r>
    <d v="2020-10-21T00:00:00"/>
    <x v="321"/>
    <x v="2"/>
    <x v="5"/>
    <x v="2"/>
    <x v="3"/>
    <x v="11"/>
    <n v="7846"/>
    <x v="0"/>
    <x v="4"/>
  </r>
  <r>
    <d v="2022-01-11T00:00:00"/>
    <x v="322"/>
    <x v="1"/>
    <x v="2"/>
    <x v="6"/>
    <x v="4"/>
    <x v="10"/>
    <n v="3022"/>
    <x v="3"/>
    <x v="3"/>
  </r>
  <r>
    <d v="2021-02-17T00:00:00"/>
    <x v="323"/>
    <x v="1"/>
    <x v="2"/>
    <x v="6"/>
    <x v="1"/>
    <x v="1"/>
    <n v="3022"/>
    <x v="3"/>
    <x v="3"/>
  </r>
  <r>
    <d v="2022-01-11T00:00:00"/>
    <x v="322"/>
    <x v="0"/>
    <x v="0"/>
    <x v="19"/>
    <x v="4"/>
    <x v="10"/>
    <n v="5266"/>
    <x v="1"/>
    <x v="1"/>
  </r>
  <r>
    <d v="2021-02-17T00:00:00"/>
    <x v="323"/>
    <x v="0"/>
    <x v="0"/>
    <x v="19"/>
    <x v="1"/>
    <x v="1"/>
    <n v="5266"/>
    <x v="1"/>
    <x v="1"/>
  </r>
  <r>
    <d v="2021-11-06T00:00:00"/>
    <x v="324"/>
    <x v="1"/>
    <x v="2"/>
    <x v="8"/>
    <x v="0"/>
    <x v="3"/>
    <n v="4853"/>
    <x v="1"/>
    <x v="1"/>
  </r>
  <r>
    <d v="2022-08-30T00:00:00"/>
    <x v="325"/>
    <x v="1"/>
    <x v="2"/>
    <x v="8"/>
    <x v="4"/>
    <x v="15"/>
    <n v="4853"/>
    <x v="1"/>
    <x v="1"/>
  </r>
  <r>
    <d v="2022-10-07T00:00:00"/>
    <x v="326"/>
    <x v="1"/>
    <x v="2"/>
    <x v="6"/>
    <x v="3"/>
    <x v="11"/>
    <n v="9832"/>
    <x v="4"/>
    <x v="0"/>
  </r>
  <r>
    <d v="2022-10-07T00:00:00"/>
    <x v="326"/>
    <x v="1"/>
    <x v="2"/>
    <x v="7"/>
    <x v="3"/>
    <x v="11"/>
    <n v="796"/>
    <x v="3"/>
    <x v="2"/>
  </r>
  <r>
    <d v="2023-06-04T00:00:00"/>
    <x v="327"/>
    <x v="2"/>
    <x v="5"/>
    <x v="18"/>
    <x v="3"/>
    <x v="11"/>
    <n v="883"/>
    <x v="4"/>
    <x v="2"/>
  </r>
  <r>
    <d v="2023-06-04T00:00:00"/>
    <x v="327"/>
    <x v="2"/>
    <x v="11"/>
    <x v="17"/>
    <x v="3"/>
    <x v="11"/>
    <n v="4539"/>
    <x v="1"/>
    <x v="1"/>
  </r>
  <r>
    <d v="2023-06-04T00:00:00"/>
    <x v="327"/>
    <x v="1"/>
    <x v="9"/>
    <x v="4"/>
    <x v="3"/>
    <x v="11"/>
    <n v="9659"/>
    <x v="1"/>
    <x v="0"/>
  </r>
  <r>
    <d v="2022-05-13T00:00:00"/>
    <x v="328"/>
    <x v="0"/>
    <x v="1"/>
    <x v="11"/>
    <x v="3"/>
    <x v="9"/>
    <n v="9562"/>
    <x v="1"/>
    <x v="0"/>
  </r>
  <r>
    <d v="2023-01-23T00:00:00"/>
    <x v="329"/>
    <x v="0"/>
    <x v="3"/>
    <x v="16"/>
    <x v="3"/>
    <x v="11"/>
    <n v="4688"/>
    <x v="3"/>
    <x v="1"/>
  </r>
  <r>
    <d v="2021-07-25T00:00:00"/>
    <x v="330"/>
    <x v="0"/>
    <x v="3"/>
    <x v="16"/>
    <x v="3"/>
    <x v="9"/>
    <n v="4688"/>
    <x v="3"/>
    <x v="1"/>
  </r>
  <r>
    <d v="2025-03-08T00:00:00"/>
    <x v="331"/>
    <x v="0"/>
    <x v="10"/>
    <x v="15"/>
    <x v="5"/>
    <x v="12"/>
    <n v="7900"/>
    <x v="4"/>
    <x v="4"/>
  </r>
  <r>
    <d v="2022-12-25T00:00:00"/>
    <x v="332"/>
    <x v="2"/>
    <x v="11"/>
    <x v="14"/>
    <x v="5"/>
    <x v="13"/>
    <n v="6967"/>
    <x v="4"/>
    <x v="4"/>
  </r>
  <r>
    <d v="2022-12-25T00:00:00"/>
    <x v="332"/>
    <x v="1"/>
    <x v="8"/>
    <x v="10"/>
    <x v="5"/>
    <x v="13"/>
    <n v="1091"/>
    <x v="4"/>
    <x v="2"/>
  </r>
  <r>
    <d v="2022-12-25T00:00:00"/>
    <x v="332"/>
    <x v="1"/>
    <x v="9"/>
    <x v="11"/>
    <x v="5"/>
    <x v="13"/>
    <n v="6027"/>
    <x v="3"/>
    <x v="4"/>
  </r>
  <r>
    <d v="2024-04-24T00:00:00"/>
    <x v="333"/>
    <x v="2"/>
    <x v="4"/>
    <x v="11"/>
    <x v="4"/>
    <x v="8"/>
    <n v="4852"/>
    <x v="2"/>
    <x v="1"/>
  </r>
  <r>
    <d v="2021-12-24T00:00:00"/>
    <x v="334"/>
    <x v="2"/>
    <x v="4"/>
    <x v="11"/>
    <x v="0"/>
    <x v="16"/>
    <n v="4852"/>
    <x v="2"/>
    <x v="1"/>
  </r>
  <r>
    <d v="2023-09-07T00:00:00"/>
    <x v="335"/>
    <x v="2"/>
    <x v="4"/>
    <x v="11"/>
    <x v="1"/>
    <x v="6"/>
    <n v="4852"/>
    <x v="2"/>
    <x v="1"/>
  </r>
  <r>
    <d v="2021-08-10T00:00:00"/>
    <x v="336"/>
    <x v="2"/>
    <x v="7"/>
    <x v="10"/>
    <x v="0"/>
    <x v="16"/>
    <n v="4314"/>
    <x v="4"/>
    <x v="1"/>
  </r>
  <r>
    <d v="2024-05-26T00:00:00"/>
    <x v="337"/>
    <x v="1"/>
    <x v="2"/>
    <x v="16"/>
    <x v="4"/>
    <x v="10"/>
    <n v="3288"/>
    <x v="2"/>
    <x v="3"/>
  </r>
  <r>
    <d v="2022-02-19T00:00:00"/>
    <x v="338"/>
    <x v="1"/>
    <x v="2"/>
    <x v="16"/>
    <x v="1"/>
    <x v="6"/>
    <n v="3288"/>
    <x v="2"/>
    <x v="3"/>
  </r>
  <r>
    <d v="2024-12-09T00:00:00"/>
    <x v="339"/>
    <x v="1"/>
    <x v="9"/>
    <x v="0"/>
    <x v="2"/>
    <x v="5"/>
    <n v="3977"/>
    <x v="3"/>
    <x v="3"/>
  </r>
  <r>
    <d v="2023-06-01T00:00:00"/>
    <x v="340"/>
    <x v="0"/>
    <x v="1"/>
    <x v="11"/>
    <x v="1"/>
    <x v="1"/>
    <n v="6252"/>
    <x v="2"/>
    <x v="4"/>
  </r>
  <r>
    <d v="2023-11-05T00:00:00"/>
    <x v="341"/>
    <x v="1"/>
    <x v="2"/>
    <x v="2"/>
    <x v="2"/>
    <x v="2"/>
    <n v="9084"/>
    <x v="1"/>
    <x v="0"/>
  </r>
  <r>
    <d v="2020-06-21T00:00:00"/>
    <x v="342"/>
    <x v="0"/>
    <x v="10"/>
    <x v="7"/>
    <x v="3"/>
    <x v="9"/>
    <n v="8994"/>
    <x v="3"/>
    <x v="0"/>
  </r>
  <r>
    <d v="2020-10-26T00:00:00"/>
    <x v="343"/>
    <x v="1"/>
    <x v="6"/>
    <x v="4"/>
    <x v="4"/>
    <x v="8"/>
    <n v="1089"/>
    <x v="2"/>
    <x v="2"/>
  </r>
  <r>
    <d v="2022-06-06T00:00:00"/>
    <x v="344"/>
    <x v="1"/>
    <x v="9"/>
    <x v="5"/>
    <x v="1"/>
    <x v="6"/>
    <n v="6690"/>
    <x v="0"/>
    <x v="4"/>
  </r>
  <r>
    <d v="2021-11-13T00:00:00"/>
    <x v="345"/>
    <x v="1"/>
    <x v="9"/>
    <x v="5"/>
    <x v="1"/>
    <x v="1"/>
    <n v="6690"/>
    <x v="0"/>
    <x v="4"/>
  </r>
  <r>
    <d v="2022-06-06T00:00:00"/>
    <x v="344"/>
    <x v="2"/>
    <x v="11"/>
    <x v="3"/>
    <x v="1"/>
    <x v="6"/>
    <n v="4985"/>
    <x v="3"/>
    <x v="1"/>
  </r>
  <r>
    <d v="2021-11-13T00:00:00"/>
    <x v="345"/>
    <x v="2"/>
    <x v="11"/>
    <x v="3"/>
    <x v="1"/>
    <x v="1"/>
    <n v="4985"/>
    <x v="3"/>
    <x v="1"/>
  </r>
  <r>
    <d v="2021-11-11T00:00:00"/>
    <x v="346"/>
    <x v="0"/>
    <x v="0"/>
    <x v="7"/>
    <x v="0"/>
    <x v="0"/>
    <n v="8590"/>
    <x v="2"/>
    <x v="0"/>
  </r>
  <r>
    <d v="2021-11-11T00:00:00"/>
    <x v="346"/>
    <x v="2"/>
    <x v="4"/>
    <x v="3"/>
    <x v="0"/>
    <x v="0"/>
    <n v="6973"/>
    <x v="4"/>
    <x v="4"/>
  </r>
  <r>
    <d v="2021-07-31T00:00:00"/>
    <x v="214"/>
    <x v="0"/>
    <x v="1"/>
    <x v="5"/>
    <x v="4"/>
    <x v="8"/>
    <n v="4591"/>
    <x v="2"/>
    <x v="1"/>
  </r>
  <r>
    <d v="2021-07-31T00:00:00"/>
    <x v="214"/>
    <x v="1"/>
    <x v="2"/>
    <x v="14"/>
    <x v="4"/>
    <x v="8"/>
    <n v="9612"/>
    <x v="3"/>
    <x v="0"/>
  </r>
  <r>
    <d v="2024-04-13T00:00:00"/>
    <x v="347"/>
    <x v="2"/>
    <x v="5"/>
    <x v="6"/>
    <x v="3"/>
    <x v="9"/>
    <n v="5343"/>
    <x v="2"/>
    <x v="1"/>
  </r>
  <r>
    <d v="2022-04-19T00:00:00"/>
    <x v="348"/>
    <x v="1"/>
    <x v="6"/>
    <x v="12"/>
    <x v="1"/>
    <x v="6"/>
    <n v="6956"/>
    <x v="1"/>
    <x v="4"/>
  </r>
  <r>
    <d v="2024-03-23T00:00:00"/>
    <x v="349"/>
    <x v="2"/>
    <x v="4"/>
    <x v="14"/>
    <x v="2"/>
    <x v="2"/>
    <n v="5306"/>
    <x v="2"/>
    <x v="1"/>
  </r>
  <r>
    <d v="2021-05-07T00:00:00"/>
    <x v="350"/>
    <x v="2"/>
    <x v="7"/>
    <x v="14"/>
    <x v="2"/>
    <x v="5"/>
    <n v="8982"/>
    <x v="0"/>
    <x v="0"/>
  </r>
  <r>
    <d v="2021-05-07T00:00:00"/>
    <x v="350"/>
    <x v="1"/>
    <x v="8"/>
    <x v="0"/>
    <x v="2"/>
    <x v="5"/>
    <n v="4826"/>
    <x v="1"/>
    <x v="1"/>
  </r>
  <r>
    <d v="2022-05-06T00:00:00"/>
    <x v="351"/>
    <x v="1"/>
    <x v="2"/>
    <x v="7"/>
    <x v="5"/>
    <x v="13"/>
    <n v="972"/>
    <x v="2"/>
    <x v="2"/>
  </r>
  <r>
    <d v="2021-08-09T00:00:00"/>
    <x v="352"/>
    <x v="1"/>
    <x v="6"/>
    <x v="15"/>
    <x v="0"/>
    <x v="0"/>
    <n v="3665"/>
    <x v="3"/>
    <x v="3"/>
  </r>
  <r>
    <d v="2025-02-09T00:00:00"/>
    <x v="353"/>
    <x v="1"/>
    <x v="6"/>
    <x v="15"/>
    <x v="0"/>
    <x v="16"/>
    <n v="3665"/>
    <x v="3"/>
    <x v="3"/>
  </r>
  <r>
    <d v="2024-04-23T00:00:00"/>
    <x v="354"/>
    <x v="1"/>
    <x v="2"/>
    <x v="11"/>
    <x v="3"/>
    <x v="4"/>
    <n v="9808"/>
    <x v="0"/>
    <x v="0"/>
  </r>
  <r>
    <d v="2023-02-23T00:00:00"/>
    <x v="355"/>
    <x v="2"/>
    <x v="5"/>
    <x v="14"/>
    <x v="5"/>
    <x v="14"/>
    <n v="1133"/>
    <x v="0"/>
    <x v="2"/>
  </r>
  <r>
    <d v="2024-06-06T00:00:00"/>
    <x v="356"/>
    <x v="2"/>
    <x v="5"/>
    <x v="14"/>
    <x v="3"/>
    <x v="9"/>
    <n v="1133"/>
    <x v="0"/>
    <x v="2"/>
  </r>
  <r>
    <d v="2023-02-23T00:00:00"/>
    <x v="355"/>
    <x v="2"/>
    <x v="11"/>
    <x v="5"/>
    <x v="5"/>
    <x v="14"/>
    <n v="6248"/>
    <x v="4"/>
    <x v="4"/>
  </r>
  <r>
    <d v="2024-06-06T00:00:00"/>
    <x v="356"/>
    <x v="2"/>
    <x v="11"/>
    <x v="5"/>
    <x v="3"/>
    <x v="9"/>
    <n v="6248"/>
    <x v="4"/>
    <x v="4"/>
  </r>
  <r>
    <d v="2025-01-27T00:00:00"/>
    <x v="357"/>
    <x v="0"/>
    <x v="0"/>
    <x v="14"/>
    <x v="0"/>
    <x v="16"/>
    <n v="5666"/>
    <x v="3"/>
    <x v="1"/>
  </r>
  <r>
    <d v="2023-04-07T00:00:00"/>
    <x v="358"/>
    <x v="1"/>
    <x v="6"/>
    <x v="9"/>
    <x v="4"/>
    <x v="8"/>
    <n v="4171"/>
    <x v="4"/>
    <x v="1"/>
  </r>
  <r>
    <d v="2022-01-20T00:00:00"/>
    <x v="359"/>
    <x v="0"/>
    <x v="1"/>
    <x v="18"/>
    <x v="1"/>
    <x v="6"/>
    <n v="6236"/>
    <x v="3"/>
    <x v="4"/>
  </r>
  <r>
    <d v="2022-05-10T00:00:00"/>
    <x v="360"/>
    <x v="0"/>
    <x v="1"/>
    <x v="18"/>
    <x v="0"/>
    <x v="3"/>
    <n v="6236"/>
    <x v="3"/>
    <x v="4"/>
  </r>
  <r>
    <d v="2024-05-29T00:00:00"/>
    <x v="361"/>
    <x v="2"/>
    <x v="5"/>
    <x v="17"/>
    <x v="3"/>
    <x v="4"/>
    <n v="5410"/>
    <x v="3"/>
    <x v="1"/>
  </r>
  <r>
    <d v="2022-01-04T00:00:00"/>
    <x v="362"/>
    <x v="2"/>
    <x v="5"/>
    <x v="17"/>
    <x v="0"/>
    <x v="16"/>
    <n v="5410"/>
    <x v="3"/>
    <x v="1"/>
  </r>
  <r>
    <d v="2024-05-02T00:00:00"/>
    <x v="363"/>
    <x v="2"/>
    <x v="7"/>
    <x v="6"/>
    <x v="3"/>
    <x v="4"/>
    <n v="3024"/>
    <x v="3"/>
    <x v="3"/>
  </r>
  <r>
    <d v="2021-12-28T00:00:00"/>
    <x v="364"/>
    <x v="2"/>
    <x v="7"/>
    <x v="6"/>
    <x v="5"/>
    <x v="12"/>
    <n v="3024"/>
    <x v="3"/>
    <x v="3"/>
  </r>
  <r>
    <d v="2022-12-12T00:00:00"/>
    <x v="365"/>
    <x v="1"/>
    <x v="6"/>
    <x v="0"/>
    <x v="1"/>
    <x v="6"/>
    <n v="7434"/>
    <x v="0"/>
    <x v="4"/>
  </r>
  <r>
    <d v="2023-08-17T00:00:00"/>
    <x v="366"/>
    <x v="0"/>
    <x v="0"/>
    <x v="5"/>
    <x v="4"/>
    <x v="8"/>
    <n v="7213"/>
    <x v="1"/>
    <x v="4"/>
  </r>
  <r>
    <d v="2021-11-29T00:00:00"/>
    <x v="367"/>
    <x v="0"/>
    <x v="0"/>
    <x v="5"/>
    <x v="5"/>
    <x v="13"/>
    <n v="7213"/>
    <x v="1"/>
    <x v="4"/>
  </r>
  <r>
    <d v="2023-08-17T00:00:00"/>
    <x v="366"/>
    <x v="2"/>
    <x v="4"/>
    <x v="8"/>
    <x v="4"/>
    <x v="8"/>
    <n v="3176"/>
    <x v="2"/>
    <x v="3"/>
  </r>
  <r>
    <d v="2021-11-29T00:00:00"/>
    <x v="367"/>
    <x v="2"/>
    <x v="4"/>
    <x v="8"/>
    <x v="5"/>
    <x v="13"/>
    <n v="3176"/>
    <x v="2"/>
    <x v="3"/>
  </r>
  <r>
    <d v="2021-06-13T00:00:00"/>
    <x v="368"/>
    <x v="1"/>
    <x v="9"/>
    <x v="9"/>
    <x v="0"/>
    <x v="0"/>
    <n v="9144"/>
    <x v="3"/>
    <x v="0"/>
  </r>
  <r>
    <d v="2022-07-04T00:00:00"/>
    <x v="369"/>
    <x v="2"/>
    <x v="4"/>
    <x v="5"/>
    <x v="4"/>
    <x v="15"/>
    <n v="4146"/>
    <x v="2"/>
    <x v="1"/>
  </r>
  <r>
    <d v="2022-07-04T00:00:00"/>
    <x v="369"/>
    <x v="2"/>
    <x v="4"/>
    <x v="18"/>
    <x v="4"/>
    <x v="15"/>
    <n v="3793"/>
    <x v="2"/>
    <x v="3"/>
  </r>
  <r>
    <d v="2021-06-27T00:00:00"/>
    <x v="370"/>
    <x v="2"/>
    <x v="7"/>
    <x v="13"/>
    <x v="3"/>
    <x v="4"/>
    <n v="7169"/>
    <x v="4"/>
    <x v="4"/>
  </r>
  <r>
    <d v="2021-06-27T00:00:00"/>
    <x v="370"/>
    <x v="2"/>
    <x v="5"/>
    <x v="9"/>
    <x v="3"/>
    <x v="4"/>
    <n v="4046"/>
    <x v="3"/>
    <x v="1"/>
  </r>
  <r>
    <d v="2023-12-04T00:00:00"/>
    <x v="371"/>
    <x v="0"/>
    <x v="10"/>
    <x v="13"/>
    <x v="3"/>
    <x v="9"/>
    <n v="4164"/>
    <x v="4"/>
    <x v="1"/>
  </r>
  <r>
    <d v="2023-12-04T00:00:00"/>
    <x v="371"/>
    <x v="2"/>
    <x v="4"/>
    <x v="0"/>
    <x v="3"/>
    <x v="9"/>
    <n v="5389"/>
    <x v="0"/>
    <x v="1"/>
  </r>
  <r>
    <d v="2022-08-09T00:00:00"/>
    <x v="372"/>
    <x v="2"/>
    <x v="7"/>
    <x v="0"/>
    <x v="2"/>
    <x v="5"/>
    <n v="5448"/>
    <x v="4"/>
    <x v="1"/>
  </r>
  <r>
    <d v="2020-04-08T00:00:00"/>
    <x v="373"/>
    <x v="2"/>
    <x v="7"/>
    <x v="6"/>
    <x v="0"/>
    <x v="3"/>
    <n v="4115"/>
    <x v="0"/>
    <x v="1"/>
  </r>
  <r>
    <d v="2020-04-08T00:00:00"/>
    <x v="373"/>
    <x v="2"/>
    <x v="4"/>
    <x v="2"/>
    <x v="0"/>
    <x v="3"/>
    <n v="4761"/>
    <x v="0"/>
    <x v="1"/>
  </r>
  <r>
    <d v="2023-10-20T00:00:00"/>
    <x v="374"/>
    <x v="1"/>
    <x v="9"/>
    <x v="10"/>
    <x v="2"/>
    <x v="2"/>
    <n v="5899"/>
    <x v="2"/>
    <x v="1"/>
  </r>
  <r>
    <d v="2022-02-10T00:00:00"/>
    <x v="375"/>
    <x v="2"/>
    <x v="5"/>
    <x v="8"/>
    <x v="2"/>
    <x v="2"/>
    <n v="6109"/>
    <x v="2"/>
    <x v="4"/>
  </r>
  <r>
    <d v="2023-10-05T00:00:00"/>
    <x v="376"/>
    <x v="2"/>
    <x v="5"/>
    <x v="8"/>
    <x v="2"/>
    <x v="7"/>
    <n v="6109"/>
    <x v="2"/>
    <x v="4"/>
  </r>
  <r>
    <d v="2022-02-10T00:00:00"/>
    <x v="375"/>
    <x v="0"/>
    <x v="0"/>
    <x v="14"/>
    <x v="2"/>
    <x v="2"/>
    <n v="4628"/>
    <x v="0"/>
    <x v="1"/>
  </r>
  <r>
    <d v="2023-10-05T00:00:00"/>
    <x v="376"/>
    <x v="0"/>
    <x v="0"/>
    <x v="14"/>
    <x v="2"/>
    <x v="7"/>
    <n v="4628"/>
    <x v="0"/>
    <x v="1"/>
  </r>
  <r>
    <d v="2022-09-22T00:00:00"/>
    <x v="377"/>
    <x v="1"/>
    <x v="2"/>
    <x v="19"/>
    <x v="1"/>
    <x v="17"/>
    <n v="4369"/>
    <x v="3"/>
    <x v="1"/>
  </r>
  <r>
    <d v="2021-04-03T00:00:00"/>
    <x v="378"/>
    <x v="1"/>
    <x v="2"/>
    <x v="19"/>
    <x v="4"/>
    <x v="10"/>
    <n v="4369"/>
    <x v="3"/>
    <x v="1"/>
  </r>
  <r>
    <d v="2021-05-03T00:00:00"/>
    <x v="379"/>
    <x v="2"/>
    <x v="7"/>
    <x v="12"/>
    <x v="3"/>
    <x v="4"/>
    <n v="5632"/>
    <x v="3"/>
    <x v="1"/>
  </r>
  <r>
    <d v="2024-02-11T00:00:00"/>
    <x v="380"/>
    <x v="2"/>
    <x v="7"/>
    <x v="12"/>
    <x v="0"/>
    <x v="0"/>
    <n v="5632"/>
    <x v="3"/>
    <x v="1"/>
  </r>
  <r>
    <d v="2025-02-04T00:00:00"/>
    <x v="381"/>
    <x v="2"/>
    <x v="7"/>
    <x v="12"/>
    <x v="5"/>
    <x v="14"/>
    <n v="5632"/>
    <x v="3"/>
    <x v="1"/>
  </r>
  <r>
    <d v="2022-10-12T00:00:00"/>
    <x v="382"/>
    <x v="1"/>
    <x v="8"/>
    <x v="1"/>
    <x v="3"/>
    <x v="9"/>
    <n v="7519"/>
    <x v="0"/>
    <x v="4"/>
  </r>
  <r>
    <d v="2022-10-12T00:00:00"/>
    <x v="382"/>
    <x v="0"/>
    <x v="0"/>
    <x v="19"/>
    <x v="3"/>
    <x v="9"/>
    <n v="1564"/>
    <x v="1"/>
    <x v="2"/>
  </r>
  <r>
    <d v="2022-02-06T00:00:00"/>
    <x v="383"/>
    <x v="0"/>
    <x v="0"/>
    <x v="3"/>
    <x v="4"/>
    <x v="10"/>
    <n v="2804"/>
    <x v="3"/>
    <x v="3"/>
  </r>
  <r>
    <d v="2020-11-09T00:00:00"/>
    <x v="384"/>
    <x v="0"/>
    <x v="0"/>
    <x v="3"/>
    <x v="0"/>
    <x v="16"/>
    <n v="2804"/>
    <x v="3"/>
    <x v="3"/>
  </r>
  <r>
    <d v="2023-05-03T00:00:00"/>
    <x v="385"/>
    <x v="0"/>
    <x v="0"/>
    <x v="3"/>
    <x v="0"/>
    <x v="16"/>
    <n v="2804"/>
    <x v="3"/>
    <x v="3"/>
  </r>
  <r>
    <d v="2022-10-04T00:00:00"/>
    <x v="386"/>
    <x v="2"/>
    <x v="5"/>
    <x v="10"/>
    <x v="1"/>
    <x v="6"/>
    <n v="2321"/>
    <x v="2"/>
    <x v="3"/>
  </r>
  <r>
    <d v="2024-08-21T00:00:00"/>
    <x v="387"/>
    <x v="0"/>
    <x v="3"/>
    <x v="10"/>
    <x v="0"/>
    <x v="16"/>
    <n v="5730"/>
    <x v="4"/>
    <x v="1"/>
  </r>
  <r>
    <d v="2021-11-20T00:00:00"/>
    <x v="388"/>
    <x v="2"/>
    <x v="7"/>
    <x v="2"/>
    <x v="1"/>
    <x v="1"/>
    <n v="7441"/>
    <x v="4"/>
    <x v="4"/>
  </r>
  <r>
    <d v="2020-05-13T00:00:00"/>
    <x v="389"/>
    <x v="2"/>
    <x v="7"/>
    <x v="2"/>
    <x v="4"/>
    <x v="10"/>
    <n v="7441"/>
    <x v="4"/>
    <x v="4"/>
  </r>
  <r>
    <d v="2023-02-28T00:00:00"/>
    <x v="390"/>
    <x v="1"/>
    <x v="9"/>
    <x v="18"/>
    <x v="2"/>
    <x v="5"/>
    <n v="1732"/>
    <x v="0"/>
    <x v="2"/>
  </r>
  <r>
    <d v="2023-02-28T00:00:00"/>
    <x v="390"/>
    <x v="1"/>
    <x v="8"/>
    <x v="5"/>
    <x v="2"/>
    <x v="5"/>
    <n v="8788"/>
    <x v="2"/>
    <x v="0"/>
  </r>
  <r>
    <d v="2021-01-21T00:00:00"/>
    <x v="391"/>
    <x v="1"/>
    <x v="6"/>
    <x v="13"/>
    <x v="5"/>
    <x v="12"/>
    <n v="838"/>
    <x v="2"/>
    <x v="2"/>
  </r>
  <r>
    <d v="2022-02-28T00:00:00"/>
    <x v="392"/>
    <x v="1"/>
    <x v="6"/>
    <x v="13"/>
    <x v="1"/>
    <x v="17"/>
    <n v="838"/>
    <x v="2"/>
    <x v="2"/>
  </r>
  <r>
    <d v="2021-01-21T00:00:00"/>
    <x v="391"/>
    <x v="2"/>
    <x v="4"/>
    <x v="11"/>
    <x v="5"/>
    <x v="12"/>
    <n v="3577"/>
    <x v="0"/>
    <x v="3"/>
  </r>
  <r>
    <d v="2022-02-28T00:00:00"/>
    <x v="392"/>
    <x v="2"/>
    <x v="4"/>
    <x v="11"/>
    <x v="1"/>
    <x v="17"/>
    <n v="3577"/>
    <x v="0"/>
    <x v="3"/>
  </r>
  <r>
    <d v="2024-04-25T00:00:00"/>
    <x v="393"/>
    <x v="0"/>
    <x v="10"/>
    <x v="10"/>
    <x v="4"/>
    <x v="8"/>
    <n v="7122"/>
    <x v="1"/>
    <x v="4"/>
  </r>
  <r>
    <d v="2023-03-10T00:00:00"/>
    <x v="394"/>
    <x v="0"/>
    <x v="10"/>
    <x v="10"/>
    <x v="4"/>
    <x v="15"/>
    <n v="7122"/>
    <x v="1"/>
    <x v="4"/>
  </r>
  <r>
    <d v="2023-07-10T00:00:00"/>
    <x v="395"/>
    <x v="0"/>
    <x v="10"/>
    <x v="10"/>
    <x v="2"/>
    <x v="5"/>
    <n v="7122"/>
    <x v="1"/>
    <x v="4"/>
  </r>
  <r>
    <d v="2024-04-25T00:00:00"/>
    <x v="393"/>
    <x v="1"/>
    <x v="6"/>
    <x v="7"/>
    <x v="4"/>
    <x v="8"/>
    <n v="7327"/>
    <x v="3"/>
    <x v="4"/>
  </r>
  <r>
    <d v="2023-03-10T00:00:00"/>
    <x v="394"/>
    <x v="1"/>
    <x v="6"/>
    <x v="7"/>
    <x v="4"/>
    <x v="15"/>
    <n v="7327"/>
    <x v="3"/>
    <x v="4"/>
  </r>
  <r>
    <d v="2023-07-10T00:00:00"/>
    <x v="395"/>
    <x v="1"/>
    <x v="6"/>
    <x v="7"/>
    <x v="2"/>
    <x v="5"/>
    <n v="7327"/>
    <x v="3"/>
    <x v="4"/>
  </r>
  <r>
    <d v="2024-07-28T00:00:00"/>
    <x v="396"/>
    <x v="0"/>
    <x v="1"/>
    <x v="9"/>
    <x v="0"/>
    <x v="16"/>
    <n v="2239"/>
    <x v="4"/>
    <x v="3"/>
  </r>
  <r>
    <d v="2024-07-28T00:00:00"/>
    <x v="396"/>
    <x v="1"/>
    <x v="6"/>
    <x v="6"/>
    <x v="0"/>
    <x v="16"/>
    <n v="4932"/>
    <x v="4"/>
    <x v="1"/>
  </r>
  <r>
    <d v="2023-07-30T00:00:00"/>
    <x v="397"/>
    <x v="0"/>
    <x v="1"/>
    <x v="17"/>
    <x v="0"/>
    <x v="3"/>
    <n v="4609"/>
    <x v="0"/>
    <x v="1"/>
  </r>
  <r>
    <d v="2023-07-30T00:00:00"/>
    <x v="397"/>
    <x v="1"/>
    <x v="8"/>
    <x v="15"/>
    <x v="0"/>
    <x v="3"/>
    <n v="2328"/>
    <x v="0"/>
    <x v="3"/>
  </r>
  <r>
    <d v="2023-07-30T00:00:00"/>
    <x v="397"/>
    <x v="0"/>
    <x v="1"/>
    <x v="18"/>
    <x v="0"/>
    <x v="3"/>
    <n v="4734"/>
    <x v="1"/>
    <x v="1"/>
  </r>
  <r>
    <d v="2024-10-05T00:00:00"/>
    <x v="398"/>
    <x v="2"/>
    <x v="7"/>
    <x v="0"/>
    <x v="2"/>
    <x v="5"/>
    <n v="1388"/>
    <x v="0"/>
    <x v="2"/>
  </r>
  <r>
    <d v="2024-10-05T00:00:00"/>
    <x v="398"/>
    <x v="0"/>
    <x v="3"/>
    <x v="17"/>
    <x v="2"/>
    <x v="5"/>
    <n v="8555"/>
    <x v="3"/>
    <x v="0"/>
  </r>
  <r>
    <d v="2024-02-20T00:00:00"/>
    <x v="399"/>
    <x v="2"/>
    <x v="4"/>
    <x v="15"/>
    <x v="4"/>
    <x v="8"/>
    <n v="9024"/>
    <x v="3"/>
    <x v="0"/>
  </r>
  <r>
    <d v="2024-02-20T00:00:00"/>
    <x v="399"/>
    <x v="0"/>
    <x v="3"/>
    <x v="15"/>
    <x v="4"/>
    <x v="8"/>
    <n v="2468"/>
    <x v="3"/>
    <x v="3"/>
  </r>
  <r>
    <d v="2023-04-19T00:00:00"/>
    <x v="400"/>
    <x v="0"/>
    <x v="0"/>
    <x v="15"/>
    <x v="0"/>
    <x v="3"/>
    <n v="9438"/>
    <x v="4"/>
    <x v="0"/>
  </r>
  <r>
    <d v="2023-10-29T00:00:00"/>
    <x v="401"/>
    <x v="0"/>
    <x v="0"/>
    <x v="15"/>
    <x v="4"/>
    <x v="10"/>
    <n v="9438"/>
    <x v="4"/>
    <x v="0"/>
  </r>
  <r>
    <d v="2022-03-08T00:00:00"/>
    <x v="402"/>
    <x v="0"/>
    <x v="10"/>
    <x v="9"/>
    <x v="5"/>
    <x v="14"/>
    <n v="2685"/>
    <x v="0"/>
    <x v="3"/>
  </r>
  <r>
    <d v="2022-12-08T00:00:00"/>
    <x v="403"/>
    <x v="0"/>
    <x v="10"/>
    <x v="9"/>
    <x v="0"/>
    <x v="16"/>
    <n v="2685"/>
    <x v="0"/>
    <x v="3"/>
  </r>
  <r>
    <d v="2022-03-08T00:00:00"/>
    <x v="402"/>
    <x v="2"/>
    <x v="5"/>
    <x v="1"/>
    <x v="5"/>
    <x v="14"/>
    <n v="9916"/>
    <x v="0"/>
    <x v="0"/>
  </r>
  <r>
    <d v="2022-12-08T00:00:00"/>
    <x v="403"/>
    <x v="2"/>
    <x v="5"/>
    <x v="1"/>
    <x v="0"/>
    <x v="16"/>
    <n v="9916"/>
    <x v="0"/>
    <x v="0"/>
  </r>
  <r>
    <d v="2022-03-08T00:00:00"/>
    <x v="402"/>
    <x v="0"/>
    <x v="0"/>
    <x v="1"/>
    <x v="5"/>
    <x v="14"/>
    <n v="6184"/>
    <x v="3"/>
    <x v="4"/>
  </r>
  <r>
    <d v="2022-12-08T00:00:00"/>
    <x v="403"/>
    <x v="0"/>
    <x v="0"/>
    <x v="1"/>
    <x v="0"/>
    <x v="16"/>
    <n v="6184"/>
    <x v="3"/>
    <x v="4"/>
  </r>
  <r>
    <d v="2022-03-08T00:00:00"/>
    <x v="402"/>
    <x v="1"/>
    <x v="6"/>
    <x v="17"/>
    <x v="5"/>
    <x v="14"/>
    <n v="4548"/>
    <x v="1"/>
    <x v="1"/>
  </r>
  <r>
    <d v="2022-12-08T00:00:00"/>
    <x v="403"/>
    <x v="1"/>
    <x v="6"/>
    <x v="17"/>
    <x v="0"/>
    <x v="16"/>
    <n v="4548"/>
    <x v="1"/>
    <x v="1"/>
  </r>
  <r>
    <d v="2024-07-27T00:00:00"/>
    <x v="404"/>
    <x v="1"/>
    <x v="6"/>
    <x v="18"/>
    <x v="2"/>
    <x v="7"/>
    <n v="7195"/>
    <x v="4"/>
    <x v="4"/>
  </r>
  <r>
    <d v="2022-07-05T00:00:00"/>
    <x v="405"/>
    <x v="1"/>
    <x v="6"/>
    <x v="18"/>
    <x v="2"/>
    <x v="2"/>
    <n v="7195"/>
    <x v="4"/>
    <x v="4"/>
  </r>
  <r>
    <d v="2024-07-04T00:00:00"/>
    <x v="406"/>
    <x v="2"/>
    <x v="11"/>
    <x v="9"/>
    <x v="4"/>
    <x v="10"/>
    <n v="3098"/>
    <x v="4"/>
    <x v="3"/>
  </r>
  <r>
    <d v="2024-02-28T00:00:00"/>
    <x v="407"/>
    <x v="2"/>
    <x v="4"/>
    <x v="9"/>
    <x v="3"/>
    <x v="9"/>
    <n v="5412"/>
    <x v="3"/>
    <x v="1"/>
  </r>
  <r>
    <d v="2025-01-03T00:00:00"/>
    <x v="408"/>
    <x v="2"/>
    <x v="4"/>
    <x v="9"/>
    <x v="3"/>
    <x v="4"/>
    <n v="5412"/>
    <x v="3"/>
    <x v="1"/>
  </r>
  <r>
    <d v="2021-12-07T00:00:00"/>
    <x v="409"/>
    <x v="2"/>
    <x v="5"/>
    <x v="13"/>
    <x v="2"/>
    <x v="5"/>
    <n v="1397"/>
    <x v="3"/>
    <x v="2"/>
  </r>
  <r>
    <d v="2021-12-14T00:00:00"/>
    <x v="410"/>
    <x v="2"/>
    <x v="5"/>
    <x v="1"/>
    <x v="2"/>
    <x v="2"/>
    <n v="9279"/>
    <x v="2"/>
    <x v="0"/>
  </r>
  <r>
    <d v="2020-11-30T00:00:00"/>
    <x v="411"/>
    <x v="2"/>
    <x v="5"/>
    <x v="1"/>
    <x v="3"/>
    <x v="11"/>
    <n v="9279"/>
    <x v="2"/>
    <x v="0"/>
  </r>
  <r>
    <d v="2021-12-14T00:00:00"/>
    <x v="410"/>
    <x v="1"/>
    <x v="8"/>
    <x v="5"/>
    <x v="2"/>
    <x v="2"/>
    <n v="2596"/>
    <x v="3"/>
    <x v="3"/>
  </r>
  <r>
    <d v="2020-11-30T00:00:00"/>
    <x v="411"/>
    <x v="1"/>
    <x v="8"/>
    <x v="5"/>
    <x v="3"/>
    <x v="11"/>
    <n v="2596"/>
    <x v="3"/>
    <x v="3"/>
  </r>
  <r>
    <d v="2021-12-29T00:00:00"/>
    <x v="412"/>
    <x v="2"/>
    <x v="11"/>
    <x v="5"/>
    <x v="2"/>
    <x v="2"/>
    <n v="6732"/>
    <x v="2"/>
    <x v="4"/>
  </r>
  <r>
    <d v="2021-12-29T00:00:00"/>
    <x v="412"/>
    <x v="1"/>
    <x v="2"/>
    <x v="1"/>
    <x v="2"/>
    <x v="2"/>
    <n v="4495"/>
    <x v="2"/>
    <x v="1"/>
  </r>
  <r>
    <d v="2024-07-08T00:00:00"/>
    <x v="413"/>
    <x v="1"/>
    <x v="8"/>
    <x v="10"/>
    <x v="2"/>
    <x v="2"/>
    <n v="9653"/>
    <x v="0"/>
    <x v="0"/>
  </r>
  <r>
    <d v="2021-02-10T00:00:00"/>
    <x v="414"/>
    <x v="2"/>
    <x v="4"/>
    <x v="3"/>
    <x v="1"/>
    <x v="17"/>
    <n v="8945"/>
    <x v="0"/>
    <x v="0"/>
  </r>
  <r>
    <d v="2020-10-21T00:00:00"/>
    <x v="415"/>
    <x v="2"/>
    <x v="11"/>
    <x v="19"/>
    <x v="5"/>
    <x v="12"/>
    <n v="4007"/>
    <x v="4"/>
    <x v="1"/>
  </r>
  <r>
    <d v="2023-04-17T00:00:00"/>
    <x v="416"/>
    <x v="2"/>
    <x v="11"/>
    <x v="19"/>
    <x v="4"/>
    <x v="8"/>
    <n v="4007"/>
    <x v="4"/>
    <x v="1"/>
  </r>
  <r>
    <d v="2020-10-21T00:00:00"/>
    <x v="417"/>
    <x v="2"/>
    <x v="11"/>
    <x v="9"/>
    <x v="0"/>
    <x v="16"/>
    <n v="810"/>
    <x v="2"/>
    <x v="2"/>
  </r>
  <r>
    <d v="2023-12-28T00:00:00"/>
    <x v="418"/>
    <x v="2"/>
    <x v="11"/>
    <x v="9"/>
    <x v="2"/>
    <x v="7"/>
    <n v="9789"/>
    <x v="1"/>
    <x v="0"/>
  </r>
  <r>
    <d v="2023-12-28T00:00:00"/>
    <x v="418"/>
    <x v="0"/>
    <x v="0"/>
    <x v="17"/>
    <x v="2"/>
    <x v="7"/>
    <n v="9229"/>
    <x v="4"/>
    <x v="0"/>
  </r>
  <r>
    <d v="2022-12-23T00:00:00"/>
    <x v="419"/>
    <x v="1"/>
    <x v="6"/>
    <x v="9"/>
    <x v="2"/>
    <x v="7"/>
    <n v="8141"/>
    <x v="1"/>
    <x v="0"/>
  </r>
  <r>
    <d v="2022-08-10T00:00:00"/>
    <x v="420"/>
    <x v="1"/>
    <x v="6"/>
    <x v="9"/>
    <x v="1"/>
    <x v="17"/>
    <n v="8141"/>
    <x v="1"/>
    <x v="0"/>
  </r>
  <r>
    <d v="2022-12-23T00:00:00"/>
    <x v="419"/>
    <x v="2"/>
    <x v="7"/>
    <x v="1"/>
    <x v="2"/>
    <x v="7"/>
    <n v="1067"/>
    <x v="2"/>
    <x v="2"/>
  </r>
  <r>
    <d v="2022-08-10T00:00:00"/>
    <x v="420"/>
    <x v="2"/>
    <x v="7"/>
    <x v="1"/>
    <x v="1"/>
    <x v="17"/>
    <n v="1067"/>
    <x v="2"/>
    <x v="2"/>
  </r>
  <r>
    <d v="2023-10-17T00:00:00"/>
    <x v="421"/>
    <x v="1"/>
    <x v="9"/>
    <x v="3"/>
    <x v="3"/>
    <x v="4"/>
    <n v="3839"/>
    <x v="0"/>
    <x v="3"/>
  </r>
  <r>
    <d v="2022-02-28T00:00:00"/>
    <x v="422"/>
    <x v="1"/>
    <x v="9"/>
    <x v="3"/>
    <x v="0"/>
    <x v="3"/>
    <n v="3839"/>
    <x v="0"/>
    <x v="3"/>
  </r>
  <r>
    <d v="2024-05-24T00:00:00"/>
    <x v="423"/>
    <x v="0"/>
    <x v="0"/>
    <x v="19"/>
    <x v="4"/>
    <x v="10"/>
    <n v="2858"/>
    <x v="4"/>
    <x v="3"/>
  </r>
  <r>
    <d v="2020-10-02T00:00:00"/>
    <x v="424"/>
    <x v="2"/>
    <x v="11"/>
    <x v="2"/>
    <x v="2"/>
    <x v="5"/>
    <n v="2137"/>
    <x v="1"/>
    <x v="3"/>
  </r>
  <r>
    <d v="2020-10-02T00:00:00"/>
    <x v="424"/>
    <x v="2"/>
    <x v="5"/>
    <x v="2"/>
    <x v="2"/>
    <x v="5"/>
    <n v="2831"/>
    <x v="1"/>
    <x v="3"/>
  </r>
  <r>
    <d v="2024-02-10T00:00:00"/>
    <x v="425"/>
    <x v="2"/>
    <x v="7"/>
    <x v="7"/>
    <x v="5"/>
    <x v="12"/>
    <n v="3913"/>
    <x v="0"/>
    <x v="3"/>
  </r>
  <r>
    <d v="2021-02-06T00:00:00"/>
    <x v="426"/>
    <x v="2"/>
    <x v="7"/>
    <x v="7"/>
    <x v="3"/>
    <x v="11"/>
    <n v="3913"/>
    <x v="0"/>
    <x v="3"/>
  </r>
  <r>
    <d v="2022-03-16T00:00:00"/>
    <x v="427"/>
    <x v="1"/>
    <x v="8"/>
    <x v="8"/>
    <x v="0"/>
    <x v="16"/>
    <n v="4468"/>
    <x v="4"/>
    <x v="1"/>
  </r>
  <r>
    <d v="2020-05-24T00:00:00"/>
    <x v="428"/>
    <x v="0"/>
    <x v="3"/>
    <x v="8"/>
    <x v="5"/>
    <x v="13"/>
    <n v="1579"/>
    <x v="3"/>
    <x v="2"/>
  </r>
  <r>
    <d v="2025-02-16T00:00:00"/>
    <x v="429"/>
    <x v="0"/>
    <x v="3"/>
    <x v="8"/>
    <x v="4"/>
    <x v="8"/>
    <n v="1579"/>
    <x v="3"/>
    <x v="2"/>
  </r>
  <r>
    <d v="2021-11-16T00:00:00"/>
    <x v="430"/>
    <x v="0"/>
    <x v="3"/>
    <x v="8"/>
    <x v="5"/>
    <x v="13"/>
    <n v="1579"/>
    <x v="3"/>
    <x v="2"/>
  </r>
  <r>
    <d v="2024-09-08T00:00:00"/>
    <x v="431"/>
    <x v="0"/>
    <x v="3"/>
    <x v="8"/>
    <x v="2"/>
    <x v="7"/>
    <n v="1579"/>
    <x v="3"/>
    <x v="2"/>
  </r>
  <r>
    <d v="2020-05-24T00:00:00"/>
    <x v="428"/>
    <x v="2"/>
    <x v="5"/>
    <x v="5"/>
    <x v="5"/>
    <x v="13"/>
    <n v="3760"/>
    <x v="2"/>
    <x v="3"/>
  </r>
  <r>
    <d v="2025-02-16T00:00:00"/>
    <x v="429"/>
    <x v="2"/>
    <x v="5"/>
    <x v="5"/>
    <x v="4"/>
    <x v="8"/>
    <n v="3760"/>
    <x v="2"/>
    <x v="3"/>
  </r>
  <r>
    <d v="2021-11-16T00:00:00"/>
    <x v="430"/>
    <x v="2"/>
    <x v="5"/>
    <x v="5"/>
    <x v="5"/>
    <x v="13"/>
    <n v="3760"/>
    <x v="2"/>
    <x v="3"/>
  </r>
  <r>
    <d v="2024-09-08T00:00:00"/>
    <x v="431"/>
    <x v="2"/>
    <x v="5"/>
    <x v="5"/>
    <x v="2"/>
    <x v="7"/>
    <n v="3760"/>
    <x v="2"/>
    <x v="3"/>
  </r>
  <r>
    <d v="2022-06-29T00:00:00"/>
    <x v="432"/>
    <x v="1"/>
    <x v="2"/>
    <x v="1"/>
    <x v="1"/>
    <x v="1"/>
    <n v="8706"/>
    <x v="3"/>
    <x v="0"/>
  </r>
  <r>
    <d v="2022-06-29T00:00:00"/>
    <x v="432"/>
    <x v="0"/>
    <x v="0"/>
    <x v="1"/>
    <x v="1"/>
    <x v="1"/>
    <n v="4708"/>
    <x v="3"/>
    <x v="1"/>
  </r>
  <r>
    <d v="2022-06-29T00:00:00"/>
    <x v="432"/>
    <x v="2"/>
    <x v="5"/>
    <x v="14"/>
    <x v="1"/>
    <x v="1"/>
    <n v="8089"/>
    <x v="4"/>
    <x v="0"/>
  </r>
  <r>
    <d v="2022-11-03T00:00:00"/>
    <x v="433"/>
    <x v="0"/>
    <x v="1"/>
    <x v="2"/>
    <x v="4"/>
    <x v="10"/>
    <n v="5462"/>
    <x v="1"/>
    <x v="1"/>
  </r>
  <r>
    <d v="2023-11-28T00:00:00"/>
    <x v="434"/>
    <x v="0"/>
    <x v="0"/>
    <x v="9"/>
    <x v="0"/>
    <x v="16"/>
    <n v="6392"/>
    <x v="3"/>
    <x v="4"/>
  </r>
  <r>
    <d v="2020-04-25T00:00:00"/>
    <x v="435"/>
    <x v="0"/>
    <x v="0"/>
    <x v="16"/>
    <x v="0"/>
    <x v="3"/>
    <n v="8706"/>
    <x v="1"/>
    <x v="0"/>
  </r>
  <r>
    <d v="2022-01-18T00:00:00"/>
    <x v="436"/>
    <x v="1"/>
    <x v="2"/>
    <x v="15"/>
    <x v="0"/>
    <x v="0"/>
    <n v="2349"/>
    <x v="0"/>
    <x v="3"/>
  </r>
  <r>
    <d v="2022-01-18T00:00:00"/>
    <x v="436"/>
    <x v="2"/>
    <x v="5"/>
    <x v="1"/>
    <x v="0"/>
    <x v="0"/>
    <n v="8220"/>
    <x v="0"/>
    <x v="0"/>
  </r>
  <r>
    <d v="2022-01-18T00:00:00"/>
    <x v="436"/>
    <x v="2"/>
    <x v="5"/>
    <x v="18"/>
    <x v="0"/>
    <x v="0"/>
    <n v="2379"/>
    <x v="1"/>
    <x v="3"/>
  </r>
  <r>
    <d v="2022-01-18T00:00:00"/>
    <x v="436"/>
    <x v="1"/>
    <x v="6"/>
    <x v="15"/>
    <x v="0"/>
    <x v="0"/>
    <n v="7377"/>
    <x v="0"/>
    <x v="4"/>
  </r>
  <r>
    <d v="2022-03-23T00:00:00"/>
    <x v="437"/>
    <x v="2"/>
    <x v="4"/>
    <x v="4"/>
    <x v="5"/>
    <x v="14"/>
    <n v="717"/>
    <x v="3"/>
    <x v="2"/>
  </r>
  <r>
    <d v="2020-06-24T00:00:00"/>
    <x v="438"/>
    <x v="2"/>
    <x v="4"/>
    <x v="4"/>
    <x v="0"/>
    <x v="0"/>
    <n v="717"/>
    <x v="3"/>
    <x v="2"/>
  </r>
  <r>
    <d v="2022-12-23T00:00:00"/>
    <x v="439"/>
    <x v="2"/>
    <x v="4"/>
    <x v="4"/>
    <x v="2"/>
    <x v="2"/>
    <n v="717"/>
    <x v="3"/>
    <x v="2"/>
  </r>
  <r>
    <d v="2024-11-24T00:00:00"/>
    <x v="440"/>
    <x v="2"/>
    <x v="4"/>
    <x v="4"/>
    <x v="2"/>
    <x v="5"/>
    <n v="717"/>
    <x v="3"/>
    <x v="2"/>
  </r>
  <r>
    <d v="2020-11-06T00:00:00"/>
    <x v="441"/>
    <x v="2"/>
    <x v="4"/>
    <x v="4"/>
    <x v="0"/>
    <x v="3"/>
    <n v="717"/>
    <x v="3"/>
    <x v="2"/>
  </r>
  <r>
    <d v="2023-10-24T00:00:00"/>
    <x v="442"/>
    <x v="2"/>
    <x v="4"/>
    <x v="4"/>
    <x v="2"/>
    <x v="7"/>
    <n v="717"/>
    <x v="3"/>
    <x v="2"/>
  </r>
  <r>
    <d v="2022-03-23T00:00:00"/>
    <x v="437"/>
    <x v="2"/>
    <x v="7"/>
    <x v="14"/>
    <x v="5"/>
    <x v="14"/>
    <n v="508"/>
    <x v="0"/>
    <x v="2"/>
  </r>
  <r>
    <d v="2020-06-24T00:00:00"/>
    <x v="438"/>
    <x v="2"/>
    <x v="7"/>
    <x v="14"/>
    <x v="0"/>
    <x v="0"/>
    <n v="508"/>
    <x v="0"/>
    <x v="2"/>
  </r>
  <r>
    <d v="2022-12-23T00:00:00"/>
    <x v="439"/>
    <x v="2"/>
    <x v="7"/>
    <x v="14"/>
    <x v="2"/>
    <x v="2"/>
    <n v="508"/>
    <x v="0"/>
    <x v="2"/>
  </r>
  <r>
    <d v="2024-11-24T00:00:00"/>
    <x v="440"/>
    <x v="2"/>
    <x v="7"/>
    <x v="14"/>
    <x v="2"/>
    <x v="5"/>
    <n v="508"/>
    <x v="0"/>
    <x v="2"/>
  </r>
  <r>
    <d v="2020-11-06T00:00:00"/>
    <x v="441"/>
    <x v="2"/>
    <x v="7"/>
    <x v="14"/>
    <x v="0"/>
    <x v="3"/>
    <n v="508"/>
    <x v="0"/>
    <x v="2"/>
  </r>
  <r>
    <d v="2023-10-24T00:00:00"/>
    <x v="442"/>
    <x v="2"/>
    <x v="7"/>
    <x v="14"/>
    <x v="2"/>
    <x v="7"/>
    <n v="508"/>
    <x v="0"/>
    <x v="2"/>
  </r>
  <r>
    <d v="2023-07-18T00:00:00"/>
    <x v="443"/>
    <x v="0"/>
    <x v="1"/>
    <x v="16"/>
    <x v="1"/>
    <x v="1"/>
    <n v="9382"/>
    <x v="1"/>
    <x v="0"/>
  </r>
  <r>
    <d v="2022-05-16T00:00:00"/>
    <x v="444"/>
    <x v="0"/>
    <x v="1"/>
    <x v="16"/>
    <x v="2"/>
    <x v="7"/>
    <n v="9382"/>
    <x v="1"/>
    <x v="0"/>
  </r>
  <r>
    <d v="2023-07-18T00:00:00"/>
    <x v="443"/>
    <x v="2"/>
    <x v="4"/>
    <x v="5"/>
    <x v="1"/>
    <x v="1"/>
    <n v="4936"/>
    <x v="4"/>
    <x v="1"/>
  </r>
  <r>
    <d v="2022-05-16T00:00:00"/>
    <x v="444"/>
    <x v="2"/>
    <x v="4"/>
    <x v="5"/>
    <x v="2"/>
    <x v="7"/>
    <n v="4936"/>
    <x v="4"/>
    <x v="1"/>
  </r>
  <r>
    <d v="2024-06-16T00:00:00"/>
    <x v="445"/>
    <x v="2"/>
    <x v="7"/>
    <x v="5"/>
    <x v="3"/>
    <x v="11"/>
    <n v="2663"/>
    <x v="4"/>
    <x v="3"/>
  </r>
  <r>
    <d v="2021-10-23T00:00:00"/>
    <x v="446"/>
    <x v="2"/>
    <x v="7"/>
    <x v="5"/>
    <x v="5"/>
    <x v="14"/>
    <n v="2663"/>
    <x v="4"/>
    <x v="3"/>
  </r>
  <r>
    <d v="2022-10-22T00:00:00"/>
    <x v="447"/>
    <x v="0"/>
    <x v="1"/>
    <x v="0"/>
    <x v="4"/>
    <x v="15"/>
    <n v="5151"/>
    <x v="2"/>
    <x v="1"/>
  </r>
  <r>
    <d v="2023-07-17T00:00:00"/>
    <x v="448"/>
    <x v="1"/>
    <x v="2"/>
    <x v="17"/>
    <x v="2"/>
    <x v="7"/>
    <n v="2514"/>
    <x v="0"/>
    <x v="3"/>
  </r>
  <r>
    <d v="2025-02-24T00:00:00"/>
    <x v="449"/>
    <x v="0"/>
    <x v="3"/>
    <x v="11"/>
    <x v="2"/>
    <x v="5"/>
    <n v="6129"/>
    <x v="2"/>
    <x v="4"/>
  </r>
  <r>
    <d v="2025-02-24T00:00:00"/>
    <x v="449"/>
    <x v="2"/>
    <x v="11"/>
    <x v="16"/>
    <x v="2"/>
    <x v="5"/>
    <n v="4395"/>
    <x v="4"/>
    <x v="1"/>
  </r>
  <r>
    <d v="2021-03-07T00:00:00"/>
    <x v="450"/>
    <x v="2"/>
    <x v="5"/>
    <x v="17"/>
    <x v="5"/>
    <x v="13"/>
    <n v="5393"/>
    <x v="0"/>
    <x v="1"/>
  </r>
  <r>
    <d v="2021-01-03T00:00:00"/>
    <x v="451"/>
    <x v="0"/>
    <x v="10"/>
    <x v="17"/>
    <x v="2"/>
    <x v="2"/>
    <n v="2280"/>
    <x v="3"/>
    <x v="3"/>
  </r>
  <r>
    <d v="2023-05-03T00:00:00"/>
    <x v="452"/>
    <x v="1"/>
    <x v="8"/>
    <x v="8"/>
    <x v="5"/>
    <x v="13"/>
    <n v="6596"/>
    <x v="1"/>
    <x v="4"/>
  </r>
  <r>
    <d v="2023-10-25T00:00:00"/>
    <x v="453"/>
    <x v="1"/>
    <x v="8"/>
    <x v="0"/>
    <x v="3"/>
    <x v="4"/>
    <n v="4510"/>
    <x v="2"/>
    <x v="1"/>
  </r>
  <r>
    <d v="2022-08-21T00:00:00"/>
    <x v="454"/>
    <x v="0"/>
    <x v="10"/>
    <x v="9"/>
    <x v="2"/>
    <x v="5"/>
    <n v="6077"/>
    <x v="4"/>
    <x v="4"/>
  </r>
  <r>
    <d v="2022-04-16T00:00:00"/>
    <x v="455"/>
    <x v="0"/>
    <x v="1"/>
    <x v="14"/>
    <x v="5"/>
    <x v="12"/>
    <n v="5379"/>
    <x v="4"/>
    <x v="1"/>
  </r>
  <r>
    <d v="2023-04-02T00:00:00"/>
    <x v="456"/>
    <x v="1"/>
    <x v="6"/>
    <x v="4"/>
    <x v="3"/>
    <x v="9"/>
    <n v="4629"/>
    <x v="2"/>
    <x v="1"/>
  </r>
  <r>
    <d v="2024-10-21T00:00:00"/>
    <x v="457"/>
    <x v="0"/>
    <x v="3"/>
    <x v="12"/>
    <x v="1"/>
    <x v="1"/>
    <n v="2710"/>
    <x v="1"/>
    <x v="3"/>
  </r>
  <r>
    <d v="2024-10-21T00:00:00"/>
    <x v="457"/>
    <x v="1"/>
    <x v="9"/>
    <x v="1"/>
    <x v="1"/>
    <x v="1"/>
    <n v="3224"/>
    <x v="0"/>
    <x v="3"/>
  </r>
  <r>
    <d v="2021-07-09T00:00:00"/>
    <x v="458"/>
    <x v="1"/>
    <x v="6"/>
    <x v="7"/>
    <x v="1"/>
    <x v="6"/>
    <n v="8042"/>
    <x v="2"/>
    <x v="0"/>
  </r>
  <r>
    <d v="2022-04-08T00:00:00"/>
    <x v="459"/>
    <x v="1"/>
    <x v="6"/>
    <x v="7"/>
    <x v="3"/>
    <x v="4"/>
    <n v="8042"/>
    <x v="2"/>
    <x v="0"/>
  </r>
  <r>
    <d v="2022-04-30T00:00:00"/>
    <x v="460"/>
    <x v="1"/>
    <x v="9"/>
    <x v="3"/>
    <x v="4"/>
    <x v="10"/>
    <n v="3957"/>
    <x v="2"/>
    <x v="3"/>
  </r>
  <r>
    <d v="2023-01-20T00:00:00"/>
    <x v="461"/>
    <x v="1"/>
    <x v="6"/>
    <x v="4"/>
    <x v="1"/>
    <x v="1"/>
    <n v="8769"/>
    <x v="1"/>
    <x v="0"/>
  </r>
  <r>
    <d v="2024-11-17T00:00:00"/>
    <x v="462"/>
    <x v="1"/>
    <x v="2"/>
    <x v="4"/>
    <x v="1"/>
    <x v="1"/>
    <n v="2957"/>
    <x v="1"/>
    <x v="3"/>
  </r>
  <r>
    <d v="2022-04-23T00:00:00"/>
    <x v="463"/>
    <x v="1"/>
    <x v="8"/>
    <x v="10"/>
    <x v="4"/>
    <x v="8"/>
    <n v="5344"/>
    <x v="1"/>
    <x v="1"/>
  </r>
  <r>
    <d v="2025-02-18T00:00:00"/>
    <x v="464"/>
    <x v="1"/>
    <x v="8"/>
    <x v="10"/>
    <x v="2"/>
    <x v="7"/>
    <n v="5344"/>
    <x v="1"/>
    <x v="1"/>
  </r>
  <r>
    <d v="2021-05-27T00:00:00"/>
    <x v="465"/>
    <x v="0"/>
    <x v="3"/>
    <x v="5"/>
    <x v="5"/>
    <x v="14"/>
    <n v="6061"/>
    <x v="2"/>
    <x v="4"/>
  </r>
  <r>
    <d v="2022-01-17T00:00:00"/>
    <x v="466"/>
    <x v="0"/>
    <x v="3"/>
    <x v="5"/>
    <x v="3"/>
    <x v="9"/>
    <n v="6061"/>
    <x v="2"/>
    <x v="4"/>
  </r>
  <r>
    <d v="2025-01-15T00:00:00"/>
    <x v="467"/>
    <x v="2"/>
    <x v="4"/>
    <x v="18"/>
    <x v="2"/>
    <x v="5"/>
    <n v="5376"/>
    <x v="3"/>
    <x v="1"/>
  </r>
  <r>
    <d v="2021-02-14T00:00:00"/>
    <x v="468"/>
    <x v="0"/>
    <x v="1"/>
    <x v="17"/>
    <x v="0"/>
    <x v="0"/>
    <n v="2792"/>
    <x v="4"/>
    <x v="3"/>
  </r>
  <r>
    <d v="2024-08-31T00:00:00"/>
    <x v="469"/>
    <x v="1"/>
    <x v="9"/>
    <x v="0"/>
    <x v="5"/>
    <x v="12"/>
    <n v="2944"/>
    <x v="3"/>
    <x v="3"/>
  </r>
  <r>
    <d v="2022-12-26T00:00:00"/>
    <x v="470"/>
    <x v="1"/>
    <x v="9"/>
    <x v="0"/>
    <x v="4"/>
    <x v="8"/>
    <n v="2944"/>
    <x v="3"/>
    <x v="3"/>
  </r>
  <r>
    <d v="2024-03-21T00:00:00"/>
    <x v="471"/>
    <x v="1"/>
    <x v="6"/>
    <x v="19"/>
    <x v="1"/>
    <x v="6"/>
    <n v="4220"/>
    <x v="2"/>
    <x v="1"/>
  </r>
  <r>
    <d v="2020-12-15T00:00:00"/>
    <x v="472"/>
    <x v="1"/>
    <x v="6"/>
    <x v="19"/>
    <x v="1"/>
    <x v="17"/>
    <n v="4220"/>
    <x v="2"/>
    <x v="1"/>
  </r>
  <r>
    <d v="2023-03-21T00:00:00"/>
    <x v="473"/>
    <x v="1"/>
    <x v="9"/>
    <x v="15"/>
    <x v="4"/>
    <x v="10"/>
    <n v="8526"/>
    <x v="1"/>
    <x v="0"/>
  </r>
  <r>
    <d v="2023-06-08T00:00:00"/>
    <x v="474"/>
    <x v="2"/>
    <x v="11"/>
    <x v="5"/>
    <x v="3"/>
    <x v="11"/>
    <n v="8218"/>
    <x v="3"/>
    <x v="0"/>
  </r>
  <r>
    <d v="2022-07-17T00:00:00"/>
    <x v="475"/>
    <x v="0"/>
    <x v="10"/>
    <x v="15"/>
    <x v="2"/>
    <x v="2"/>
    <n v="599"/>
    <x v="3"/>
    <x v="2"/>
  </r>
  <r>
    <d v="2024-12-05T00:00:00"/>
    <x v="476"/>
    <x v="0"/>
    <x v="10"/>
    <x v="15"/>
    <x v="2"/>
    <x v="7"/>
    <n v="599"/>
    <x v="3"/>
    <x v="2"/>
  </r>
  <r>
    <d v="2022-07-17T00:00:00"/>
    <x v="475"/>
    <x v="2"/>
    <x v="11"/>
    <x v="3"/>
    <x v="2"/>
    <x v="2"/>
    <n v="2727"/>
    <x v="3"/>
    <x v="3"/>
  </r>
  <r>
    <d v="2024-12-05T00:00:00"/>
    <x v="476"/>
    <x v="2"/>
    <x v="11"/>
    <x v="3"/>
    <x v="2"/>
    <x v="7"/>
    <n v="2727"/>
    <x v="3"/>
    <x v="3"/>
  </r>
  <r>
    <d v="2023-11-02T00:00:00"/>
    <x v="477"/>
    <x v="1"/>
    <x v="2"/>
    <x v="13"/>
    <x v="3"/>
    <x v="11"/>
    <n v="2589"/>
    <x v="2"/>
    <x v="3"/>
  </r>
  <r>
    <d v="2024-10-05T00:00:00"/>
    <x v="478"/>
    <x v="1"/>
    <x v="2"/>
    <x v="13"/>
    <x v="5"/>
    <x v="14"/>
    <n v="2589"/>
    <x v="2"/>
    <x v="3"/>
  </r>
  <r>
    <d v="2022-11-13T00:00:00"/>
    <x v="479"/>
    <x v="0"/>
    <x v="0"/>
    <x v="8"/>
    <x v="4"/>
    <x v="10"/>
    <n v="3776"/>
    <x v="2"/>
    <x v="3"/>
  </r>
  <r>
    <d v="2022-12-28T00:00:00"/>
    <x v="480"/>
    <x v="0"/>
    <x v="0"/>
    <x v="8"/>
    <x v="1"/>
    <x v="17"/>
    <n v="3776"/>
    <x v="2"/>
    <x v="3"/>
  </r>
  <r>
    <d v="2025-02-26T00:00:00"/>
    <x v="481"/>
    <x v="2"/>
    <x v="11"/>
    <x v="2"/>
    <x v="5"/>
    <x v="14"/>
    <n v="5402"/>
    <x v="2"/>
    <x v="1"/>
  </r>
  <r>
    <d v="2022-11-12T00:00:00"/>
    <x v="482"/>
    <x v="1"/>
    <x v="2"/>
    <x v="4"/>
    <x v="1"/>
    <x v="17"/>
    <n v="5165"/>
    <x v="2"/>
    <x v="1"/>
  </r>
  <r>
    <d v="2022-11-12T00:00:00"/>
    <x v="482"/>
    <x v="2"/>
    <x v="11"/>
    <x v="15"/>
    <x v="1"/>
    <x v="17"/>
    <n v="4863"/>
    <x v="2"/>
    <x v="1"/>
  </r>
  <r>
    <d v="2021-06-07T00:00:00"/>
    <x v="483"/>
    <x v="1"/>
    <x v="2"/>
    <x v="7"/>
    <x v="0"/>
    <x v="3"/>
    <n v="1626"/>
    <x v="2"/>
    <x v="2"/>
  </r>
  <r>
    <d v="2020-09-26T00:00:00"/>
    <x v="484"/>
    <x v="2"/>
    <x v="4"/>
    <x v="18"/>
    <x v="0"/>
    <x v="0"/>
    <n v="8851"/>
    <x v="2"/>
    <x v="0"/>
  </r>
  <r>
    <d v="2024-04-29T00:00:00"/>
    <x v="485"/>
    <x v="2"/>
    <x v="4"/>
    <x v="8"/>
    <x v="2"/>
    <x v="7"/>
    <n v="9680"/>
    <x v="4"/>
    <x v="0"/>
  </r>
  <r>
    <d v="2024-04-29T00:00:00"/>
    <x v="485"/>
    <x v="1"/>
    <x v="2"/>
    <x v="17"/>
    <x v="2"/>
    <x v="7"/>
    <n v="8468"/>
    <x v="0"/>
    <x v="0"/>
  </r>
  <r>
    <d v="2024-04-29T00:00:00"/>
    <x v="485"/>
    <x v="2"/>
    <x v="5"/>
    <x v="1"/>
    <x v="2"/>
    <x v="7"/>
    <n v="4441"/>
    <x v="1"/>
    <x v="1"/>
  </r>
  <r>
    <d v="2024-04-10T00:00:00"/>
    <x v="486"/>
    <x v="2"/>
    <x v="7"/>
    <x v="17"/>
    <x v="2"/>
    <x v="5"/>
    <n v="6622"/>
    <x v="4"/>
    <x v="4"/>
  </r>
  <r>
    <d v="2023-12-21T00:00:00"/>
    <x v="487"/>
    <x v="2"/>
    <x v="4"/>
    <x v="14"/>
    <x v="3"/>
    <x v="9"/>
    <n v="3260"/>
    <x v="0"/>
    <x v="3"/>
  </r>
  <r>
    <d v="2024-05-02T00:00:00"/>
    <x v="488"/>
    <x v="2"/>
    <x v="4"/>
    <x v="17"/>
    <x v="4"/>
    <x v="10"/>
    <n v="8709"/>
    <x v="1"/>
    <x v="0"/>
  </r>
  <r>
    <d v="2024-11-21T00:00:00"/>
    <x v="489"/>
    <x v="2"/>
    <x v="4"/>
    <x v="17"/>
    <x v="3"/>
    <x v="11"/>
    <n v="8709"/>
    <x v="1"/>
    <x v="0"/>
  </r>
  <r>
    <d v="2022-03-17T00:00:00"/>
    <x v="490"/>
    <x v="1"/>
    <x v="9"/>
    <x v="6"/>
    <x v="5"/>
    <x v="13"/>
    <n v="5250"/>
    <x v="4"/>
    <x v="1"/>
  </r>
  <r>
    <d v="2023-05-14T00:00:00"/>
    <x v="491"/>
    <x v="1"/>
    <x v="9"/>
    <x v="6"/>
    <x v="4"/>
    <x v="15"/>
    <n v="5250"/>
    <x v="4"/>
    <x v="1"/>
  </r>
  <r>
    <d v="2024-10-07T00:00:00"/>
    <x v="492"/>
    <x v="1"/>
    <x v="8"/>
    <x v="12"/>
    <x v="3"/>
    <x v="4"/>
    <n v="4116"/>
    <x v="0"/>
    <x v="1"/>
  </r>
  <r>
    <d v="2020-09-08T00:00:00"/>
    <x v="493"/>
    <x v="1"/>
    <x v="8"/>
    <x v="12"/>
    <x v="1"/>
    <x v="6"/>
    <n v="4116"/>
    <x v="0"/>
    <x v="1"/>
  </r>
  <r>
    <d v="2021-08-19T00:00:00"/>
    <x v="494"/>
    <x v="1"/>
    <x v="8"/>
    <x v="7"/>
    <x v="3"/>
    <x v="4"/>
    <n v="1109"/>
    <x v="0"/>
    <x v="2"/>
  </r>
  <r>
    <d v="2022-10-12T00:00:00"/>
    <x v="201"/>
    <x v="1"/>
    <x v="2"/>
    <x v="18"/>
    <x v="2"/>
    <x v="7"/>
    <n v="3573"/>
    <x v="2"/>
    <x v="3"/>
  </r>
  <r>
    <d v="2020-05-23T00:00:00"/>
    <x v="495"/>
    <x v="1"/>
    <x v="2"/>
    <x v="18"/>
    <x v="3"/>
    <x v="9"/>
    <n v="3573"/>
    <x v="2"/>
    <x v="3"/>
  </r>
  <r>
    <d v="2020-04-18T00:00:00"/>
    <x v="496"/>
    <x v="1"/>
    <x v="2"/>
    <x v="18"/>
    <x v="0"/>
    <x v="16"/>
    <n v="3573"/>
    <x v="2"/>
    <x v="3"/>
  </r>
  <r>
    <d v="2022-10-12T00:00:00"/>
    <x v="201"/>
    <x v="0"/>
    <x v="10"/>
    <x v="3"/>
    <x v="2"/>
    <x v="7"/>
    <n v="8055"/>
    <x v="2"/>
    <x v="0"/>
  </r>
  <r>
    <d v="2020-05-23T00:00:00"/>
    <x v="495"/>
    <x v="0"/>
    <x v="10"/>
    <x v="3"/>
    <x v="3"/>
    <x v="9"/>
    <n v="8055"/>
    <x v="2"/>
    <x v="0"/>
  </r>
  <r>
    <d v="2020-04-18T00:00:00"/>
    <x v="496"/>
    <x v="0"/>
    <x v="10"/>
    <x v="3"/>
    <x v="0"/>
    <x v="16"/>
    <n v="8055"/>
    <x v="2"/>
    <x v="0"/>
  </r>
  <r>
    <d v="2022-06-04T00:00:00"/>
    <x v="497"/>
    <x v="0"/>
    <x v="3"/>
    <x v="11"/>
    <x v="3"/>
    <x v="11"/>
    <n v="6829"/>
    <x v="2"/>
    <x v="4"/>
  </r>
  <r>
    <d v="2022-06-04T00:00:00"/>
    <x v="497"/>
    <x v="1"/>
    <x v="8"/>
    <x v="2"/>
    <x v="3"/>
    <x v="11"/>
    <n v="6390"/>
    <x v="4"/>
    <x v="4"/>
  </r>
  <r>
    <d v="2022-11-16T00:00:00"/>
    <x v="498"/>
    <x v="1"/>
    <x v="2"/>
    <x v="14"/>
    <x v="3"/>
    <x v="11"/>
    <n v="5831"/>
    <x v="1"/>
    <x v="1"/>
  </r>
  <r>
    <d v="2024-07-18T00:00:00"/>
    <x v="499"/>
    <x v="1"/>
    <x v="2"/>
    <x v="14"/>
    <x v="3"/>
    <x v="9"/>
    <n v="5831"/>
    <x v="1"/>
    <x v="1"/>
  </r>
  <r>
    <d v="2023-07-16T00:00:00"/>
    <x v="500"/>
    <x v="1"/>
    <x v="2"/>
    <x v="14"/>
    <x v="0"/>
    <x v="0"/>
    <n v="5831"/>
    <x v="1"/>
    <x v="1"/>
  </r>
  <r>
    <d v="2020-08-10T00:00:00"/>
    <x v="501"/>
    <x v="2"/>
    <x v="7"/>
    <x v="17"/>
    <x v="1"/>
    <x v="17"/>
    <n v="7952"/>
    <x v="1"/>
    <x v="4"/>
  </r>
  <r>
    <d v="2024-06-22T00:00:00"/>
    <x v="502"/>
    <x v="2"/>
    <x v="11"/>
    <x v="0"/>
    <x v="3"/>
    <x v="4"/>
    <n v="3659"/>
    <x v="0"/>
    <x v="3"/>
  </r>
  <r>
    <d v="2020-07-13T00:00:00"/>
    <x v="503"/>
    <x v="1"/>
    <x v="2"/>
    <x v="15"/>
    <x v="1"/>
    <x v="6"/>
    <n v="4183"/>
    <x v="1"/>
    <x v="1"/>
  </r>
  <r>
    <d v="2024-04-16T00:00:00"/>
    <x v="504"/>
    <x v="0"/>
    <x v="10"/>
    <x v="13"/>
    <x v="4"/>
    <x v="15"/>
    <n v="7478"/>
    <x v="2"/>
    <x v="4"/>
  </r>
  <r>
    <d v="2021-03-13T00:00:00"/>
    <x v="505"/>
    <x v="0"/>
    <x v="10"/>
    <x v="8"/>
    <x v="0"/>
    <x v="16"/>
    <n v="702"/>
    <x v="4"/>
    <x v="2"/>
  </r>
  <r>
    <d v="2023-04-01T00:00:00"/>
    <x v="506"/>
    <x v="2"/>
    <x v="5"/>
    <x v="7"/>
    <x v="3"/>
    <x v="11"/>
    <n v="4037"/>
    <x v="2"/>
    <x v="1"/>
  </r>
  <r>
    <d v="2020-11-10T00:00:00"/>
    <x v="507"/>
    <x v="2"/>
    <x v="5"/>
    <x v="11"/>
    <x v="1"/>
    <x v="1"/>
    <n v="5014"/>
    <x v="4"/>
    <x v="1"/>
  </r>
  <r>
    <d v="2023-06-08T00:00:00"/>
    <x v="508"/>
    <x v="0"/>
    <x v="3"/>
    <x v="7"/>
    <x v="2"/>
    <x v="7"/>
    <n v="9879"/>
    <x v="1"/>
    <x v="0"/>
  </r>
  <r>
    <d v="2021-08-17T00:00:00"/>
    <x v="509"/>
    <x v="0"/>
    <x v="10"/>
    <x v="6"/>
    <x v="0"/>
    <x v="16"/>
    <n v="8762"/>
    <x v="1"/>
    <x v="0"/>
  </r>
  <r>
    <d v="2020-05-24T00:00:00"/>
    <x v="510"/>
    <x v="1"/>
    <x v="2"/>
    <x v="6"/>
    <x v="2"/>
    <x v="5"/>
    <n v="8490"/>
    <x v="2"/>
    <x v="0"/>
  </r>
  <r>
    <d v="2021-08-12T00:00:00"/>
    <x v="511"/>
    <x v="2"/>
    <x v="7"/>
    <x v="3"/>
    <x v="2"/>
    <x v="2"/>
    <n v="6951"/>
    <x v="0"/>
    <x v="4"/>
  </r>
  <r>
    <d v="2022-09-03T00:00:00"/>
    <x v="512"/>
    <x v="0"/>
    <x v="10"/>
    <x v="16"/>
    <x v="5"/>
    <x v="14"/>
    <n v="1078"/>
    <x v="3"/>
    <x v="2"/>
  </r>
  <r>
    <d v="2020-10-01T00:00:00"/>
    <x v="513"/>
    <x v="0"/>
    <x v="10"/>
    <x v="16"/>
    <x v="1"/>
    <x v="1"/>
    <n v="1078"/>
    <x v="3"/>
    <x v="2"/>
  </r>
  <r>
    <d v="2022-05-27T00:00:00"/>
    <x v="514"/>
    <x v="1"/>
    <x v="9"/>
    <x v="5"/>
    <x v="0"/>
    <x v="16"/>
    <n v="8560"/>
    <x v="2"/>
    <x v="0"/>
  </r>
  <r>
    <d v="2022-05-27T00:00:00"/>
    <x v="514"/>
    <x v="0"/>
    <x v="0"/>
    <x v="12"/>
    <x v="0"/>
    <x v="16"/>
    <n v="1031"/>
    <x v="0"/>
    <x v="2"/>
  </r>
  <r>
    <d v="2024-03-10T00:00:00"/>
    <x v="515"/>
    <x v="1"/>
    <x v="6"/>
    <x v="5"/>
    <x v="0"/>
    <x v="3"/>
    <n v="6402"/>
    <x v="1"/>
    <x v="4"/>
  </r>
  <r>
    <d v="2023-10-05T00:00:00"/>
    <x v="516"/>
    <x v="1"/>
    <x v="6"/>
    <x v="5"/>
    <x v="0"/>
    <x v="3"/>
    <n v="6402"/>
    <x v="1"/>
    <x v="4"/>
  </r>
  <r>
    <d v="2024-03-10T00:00:00"/>
    <x v="515"/>
    <x v="0"/>
    <x v="1"/>
    <x v="5"/>
    <x v="0"/>
    <x v="3"/>
    <n v="5916"/>
    <x v="1"/>
    <x v="1"/>
  </r>
  <r>
    <d v="2023-10-05T00:00:00"/>
    <x v="516"/>
    <x v="0"/>
    <x v="1"/>
    <x v="5"/>
    <x v="0"/>
    <x v="3"/>
    <n v="5916"/>
    <x v="1"/>
    <x v="1"/>
  </r>
  <r>
    <d v="2022-08-28T00:00:00"/>
    <x v="517"/>
    <x v="2"/>
    <x v="5"/>
    <x v="7"/>
    <x v="3"/>
    <x v="11"/>
    <n v="4015"/>
    <x v="1"/>
    <x v="1"/>
  </r>
  <r>
    <d v="2020-09-08T00:00:00"/>
    <x v="518"/>
    <x v="2"/>
    <x v="5"/>
    <x v="7"/>
    <x v="2"/>
    <x v="5"/>
    <n v="4015"/>
    <x v="1"/>
    <x v="1"/>
  </r>
  <r>
    <d v="2021-04-27T00:00:00"/>
    <x v="519"/>
    <x v="0"/>
    <x v="0"/>
    <x v="13"/>
    <x v="3"/>
    <x v="4"/>
    <n v="9335"/>
    <x v="4"/>
    <x v="0"/>
  </r>
  <r>
    <d v="2021-08-21T00:00:00"/>
    <x v="520"/>
    <x v="1"/>
    <x v="9"/>
    <x v="13"/>
    <x v="5"/>
    <x v="14"/>
    <n v="4706"/>
    <x v="4"/>
    <x v="1"/>
  </r>
  <r>
    <d v="2021-05-16T00:00:00"/>
    <x v="521"/>
    <x v="1"/>
    <x v="9"/>
    <x v="13"/>
    <x v="5"/>
    <x v="12"/>
    <n v="4706"/>
    <x v="4"/>
    <x v="1"/>
  </r>
  <r>
    <d v="2021-08-21T00:00:00"/>
    <x v="520"/>
    <x v="1"/>
    <x v="6"/>
    <x v="10"/>
    <x v="5"/>
    <x v="14"/>
    <n v="6584"/>
    <x v="0"/>
    <x v="4"/>
  </r>
  <r>
    <d v="2021-05-16T00:00:00"/>
    <x v="521"/>
    <x v="1"/>
    <x v="6"/>
    <x v="10"/>
    <x v="5"/>
    <x v="12"/>
    <n v="6584"/>
    <x v="0"/>
    <x v="4"/>
  </r>
  <r>
    <d v="2022-01-15T00:00:00"/>
    <x v="522"/>
    <x v="2"/>
    <x v="7"/>
    <x v="6"/>
    <x v="4"/>
    <x v="8"/>
    <n v="6389"/>
    <x v="2"/>
    <x v="4"/>
  </r>
  <r>
    <d v="2023-03-21T00:00:00"/>
    <x v="523"/>
    <x v="0"/>
    <x v="1"/>
    <x v="2"/>
    <x v="3"/>
    <x v="9"/>
    <n v="9869"/>
    <x v="1"/>
    <x v="0"/>
  </r>
  <r>
    <d v="2023-12-28T00:00:00"/>
    <x v="524"/>
    <x v="0"/>
    <x v="1"/>
    <x v="2"/>
    <x v="2"/>
    <x v="2"/>
    <n v="9869"/>
    <x v="1"/>
    <x v="0"/>
  </r>
  <r>
    <d v="2022-02-15T00:00:00"/>
    <x v="525"/>
    <x v="1"/>
    <x v="6"/>
    <x v="15"/>
    <x v="2"/>
    <x v="2"/>
    <n v="655"/>
    <x v="1"/>
    <x v="2"/>
  </r>
  <r>
    <d v="2023-11-30T00:00:00"/>
    <x v="526"/>
    <x v="1"/>
    <x v="6"/>
    <x v="15"/>
    <x v="0"/>
    <x v="3"/>
    <n v="655"/>
    <x v="1"/>
    <x v="2"/>
  </r>
  <r>
    <d v="2023-01-12T00:00:00"/>
    <x v="527"/>
    <x v="0"/>
    <x v="10"/>
    <x v="3"/>
    <x v="2"/>
    <x v="2"/>
    <n v="798"/>
    <x v="1"/>
    <x v="2"/>
  </r>
  <r>
    <d v="2023-05-19T00:00:00"/>
    <x v="528"/>
    <x v="0"/>
    <x v="10"/>
    <x v="3"/>
    <x v="5"/>
    <x v="14"/>
    <n v="798"/>
    <x v="1"/>
    <x v="2"/>
  </r>
  <r>
    <d v="2023-01-12T00:00:00"/>
    <x v="527"/>
    <x v="0"/>
    <x v="1"/>
    <x v="19"/>
    <x v="2"/>
    <x v="2"/>
    <n v="7967"/>
    <x v="2"/>
    <x v="4"/>
  </r>
  <r>
    <d v="2023-05-19T00:00:00"/>
    <x v="528"/>
    <x v="0"/>
    <x v="1"/>
    <x v="19"/>
    <x v="5"/>
    <x v="14"/>
    <n v="7967"/>
    <x v="2"/>
    <x v="4"/>
  </r>
  <r>
    <d v="2024-02-19T00:00:00"/>
    <x v="529"/>
    <x v="2"/>
    <x v="4"/>
    <x v="0"/>
    <x v="0"/>
    <x v="0"/>
    <n v="3756"/>
    <x v="0"/>
    <x v="3"/>
  </r>
  <r>
    <d v="2021-12-01T00:00:00"/>
    <x v="530"/>
    <x v="1"/>
    <x v="6"/>
    <x v="6"/>
    <x v="4"/>
    <x v="10"/>
    <n v="5196"/>
    <x v="0"/>
    <x v="1"/>
  </r>
  <r>
    <d v="2021-12-01T00:00:00"/>
    <x v="530"/>
    <x v="2"/>
    <x v="11"/>
    <x v="5"/>
    <x v="4"/>
    <x v="10"/>
    <n v="6586"/>
    <x v="1"/>
    <x v="4"/>
  </r>
  <r>
    <d v="2024-12-19T00:00:00"/>
    <x v="531"/>
    <x v="1"/>
    <x v="6"/>
    <x v="5"/>
    <x v="2"/>
    <x v="2"/>
    <n v="6673"/>
    <x v="2"/>
    <x v="4"/>
  </r>
  <r>
    <d v="2023-01-18T00:00:00"/>
    <x v="532"/>
    <x v="2"/>
    <x v="4"/>
    <x v="1"/>
    <x v="5"/>
    <x v="12"/>
    <n v="714"/>
    <x v="0"/>
    <x v="2"/>
  </r>
  <r>
    <d v="2020-12-23T00:00:00"/>
    <x v="533"/>
    <x v="2"/>
    <x v="4"/>
    <x v="1"/>
    <x v="4"/>
    <x v="10"/>
    <n v="714"/>
    <x v="0"/>
    <x v="2"/>
  </r>
  <r>
    <d v="2021-02-28T00:00:00"/>
    <x v="534"/>
    <x v="1"/>
    <x v="2"/>
    <x v="10"/>
    <x v="4"/>
    <x v="10"/>
    <n v="1083"/>
    <x v="4"/>
    <x v="2"/>
  </r>
  <r>
    <d v="2023-05-04T00:00:00"/>
    <x v="535"/>
    <x v="2"/>
    <x v="11"/>
    <x v="3"/>
    <x v="5"/>
    <x v="14"/>
    <n v="2401"/>
    <x v="0"/>
    <x v="3"/>
  </r>
  <r>
    <d v="2020-04-22T00:00:00"/>
    <x v="536"/>
    <x v="2"/>
    <x v="11"/>
    <x v="3"/>
    <x v="3"/>
    <x v="4"/>
    <n v="2401"/>
    <x v="0"/>
    <x v="3"/>
  </r>
  <r>
    <d v="2021-08-13T00:00:00"/>
    <x v="537"/>
    <x v="2"/>
    <x v="11"/>
    <x v="3"/>
    <x v="2"/>
    <x v="7"/>
    <n v="2401"/>
    <x v="0"/>
    <x v="3"/>
  </r>
  <r>
    <d v="2023-05-04T00:00:00"/>
    <x v="535"/>
    <x v="0"/>
    <x v="10"/>
    <x v="13"/>
    <x v="5"/>
    <x v="14"/>
    <n v="1045"/>
    <x v="1"/>
    <x v="2"/>
  </r>
  <r>
    <d v="2020-04-22T00:00:00"/>
    <x v="536"/>
    <x v="0"/>
    <x v="10"/>
    <x v="13"/>
    <x v="3"/>
    <x v="4"/>
    <n v="1045"/>
    <x v="1"/>
    <x v="2"/>
  </r>
  <r>
    <d v="2021-08-13T00:00:00"/>
    <x v="537"/>
    <x v="0"/>
    <x v="10"/>
    <x v="13"/>
    <x v="2"/>
    <x v="7"/>
    <n v="1045"/>
    <x v="1"/>
    <x v="2"/>
  </r>
  <r>
    <d v="2023-07-20T00:00:00"/>
    <x v="538"/>
    <x v="1"/>
    <x v="6"/>
    <x v="6"/>
    <x v="4"/>
    <x v="8"/>
    <n v="7806"/>
    <x v="3"/>
    <x v="4"/>
  </r>
  <r>
    <d v="2022-08-28T00:00:00"/>
    <x v="539"/>
    <x v="2"/>
    <x v="7"/>
    <x v="5"/>
    <x v="0"/>
    <x v="0"/>
    <n v="5263"/>
    <x v="3"/>
    <x v="1"/>
  </r>
  <r>
    <d v="2023-03-14T00:00:00"/>
    <x v="540"/>
    <x v="1"/>
    <x v="2"/>
    <x v="10"/>
    <x v="4"/>
    <x v="8"/>
    <n v="6147"/>
    <x v="1"/>
    <x v="4"/>
  </r>
  <r>
    <d v="2023-11-07T00:00:00"/>
    <x v="541"/>
    <x v="0"/>
    <x v="10"/>
    <x v="7"/>
    <x v="0"/>
    <x v="3"/>
    <n v="7484"/>
    <x v="0"/>
    <x v="4"/>
  </r>
  <r>
    <d v="2024-04-16T00:00:00"/>
    <x v="542"/>
    <x v="0"/>
    <x v="10"/>
    <x v="7"/>
    <x v="1"/>
    <x v="1"/>
    <n v="7484"/>
    <x v="0"/>
    <x v="4"/>
  </r>
  <r>
    <d v="2023-11-07T00:00:00"/>
    <x v="541"/>
    <x v="2"/>
    <x v="7"/>
    <x v="6"/>
    <x v="0"/>
    <x v="3"/>
    <n v="7700"/>
    <x v="3"/>
    <x v="4"/>
  </r>
  <r>
    <d v="2024-04-16T00:00:00"/>
    <x v="542"/>
    <x v="2"/>
    <x v="7"/>
    <x v="6"/>
    <x v="1"/>
    <x v="1"/>
    <n v="7700"/>
    <x v="3"/>
    <x v="4"/>
  </r>
  <r>
    <d v="2022-09-16T00:00:00"/>
    <x v="543"/>
    <x v="1"/>
    <x v="6"/>
    <x v="19"/>
    <x v="2"/>
    <x v="7"/>
    <n v="8537"/>
    <x v="0"/>
    <x v="0"/>
  </r>
  <r>
    <d v="2024-10-31T00:00:00"/>
    <x v="544"/>
    <x v="2"/>
    <x v="5"/>
    <x v="10"/>
    <x v="3"/>
    <x v="9"/>
    <n v="8858"/>
    <x v="4"/>
    <x v="0"/>
  </r>
  <r>
    <d v="2024-11-25T00:00:00"/>
    <x v="545"/>
    <x v="0"/>
    <x v="1"/>
    <x v="18"/>
    <x v="3"/>
    <x v="11"/>
    <n v="5313"/>
    <x v="1"/>
    <x v="1"/>
  </r>
  <r>
    <d v="2021-10-29T00:00:00"/>
    <x v="546"/>
    <x v="0"/>
    <x v="1"/>
    <x v="18"/>
    <x v="4"/>
    <x v="15"/>
    <n v="5313"/>
    <x v="1"/>
    <x v="1"/>
  </r>
  <r>
    <d v="2023-12-27T00:00:00"/>
    <x v="547"/>
    <x v="2"/>
    <x v="7"/>
    <x v="18"/>
    <x v="3"/>
    <x v="4"/>
    <n v="3281"/>
    <x v="2"/>
    <x v="3"/>
  </r>
  <r>
    <d v="2023-06-25T00:00:00"/>
    <x v="548"/>
    <x v="2"/>
    <x v="7"/>
    <x v="18"/>
    <x v="1"/>
    <x v="17"/>
    <n v="3281"/>
    <x v="2"/>
    <x v="3"/>
  </r>
  <r>
    <d v="2020-09-01T00:00:00"/>
    <x v="549"/>
    <x v="1"/>
    <x v="2"/>
    <x v="8"/>
    <x v="2"/>
    <x v="5"/>
    <n v="8681"/>
    <x v="3"/>
    <x v="0"/>
  </r>
  <r>
    <d v="2025-02-01T00:00:00"/>
    <x v="550"/>
    <x v="2"/>
    <x v="7"/>
    <x v="9"/>
    <x v="1"/>
    <x v="6"/>
    <n v="6195"/>
    <x v="2"/>
    <x v="4"/>
  </r>
  <r>
    <d v="2023-07-22T00:00:00"/>
    <x v="551"/>
    <x v="2"/>
    <x v="5"/>
    <x v="4"/>
    <x v="2"/>
    <x v="7"/>
    <n v="3877"/>
    <x v="1"/>
    <x v="3"/>
  </r>
  <r>
    <d v="2022-02-04T00:00:00"/>
    <x v="552"/>
    <x v="2"/>
    <x v="5"/>
    <x v="4"/>
    <x v="2"/>
    <x v="5"/>
    <n v="3877"/>
    <x v="1"/>
    <x v="3"/>
  </r>
  <r>
    <d v="2023-09-27T00:00:00"/>
    <x v="553"/>
    <x v="0"/>
    <x v="1"/>
    <x v="10"/>
    <x v="0"/>
    <x v="3"/>
    <n v="9369"/>
    <x v="1"/>
    <x v="0"/>
  </r>
  <r>
    <d v="2025-01-30T00:00:00"/>
    <x v="554"/>
    <x v="0"/>
    <x v="1"/>
    <x v="10"/>
    <x v="2"/>
    <x v="5"/>
    <n v="9369"/>
    <x v="1"/>
    <x v="0"/>
  </r>
  <r>
    <d v="2023-09-27T00:00:00"/>
    <x v="553"/>
    <x v="0"/>
    <x v="1"/>
    <x v="12"/>
    <x v="0"/>
    <x v="3"/>
    <n v="8680"/>
    <x v="3"/>
    <x v="0"/>
  </r>
  <r>
    <d v="2025-01-30T00:00:00"/>
    <x v="554"/>
    <x v="0"/>
    <x v="1"/>
    <x v="12"/>
    <x v="2"/>
    <x v="5"/>
    <n v="8680"/>
    <x v="3"/>
    <x v="0"/>
  </r>
  <r>
    <d v="2023-09-27T00:00:00"/>
    <x v="553"/>
    <x v="0"/>
    <x v="3"/>
    <x v="17"/>
    <x v="0"/>
    <x v="3"/>
    <n v="3067"/>
    <x v="0"/>
    <x v="3"/>
  </r>
  <r>
    <d v="2025-01-30T00:00:00"/>
    <x v="554"/>
    <x v="0"/>
    <x v="3"/>
    <x v="17"/>
    <x v="2"/>
    <x v="5"/>
    <n v="3067"/>
    <x v="0"/>
    <x v="3"/>
  </r>
  <r>
    <d v="2025-01-15T00:00:00"/>
    <x v="555"/>
    <x v="1"/>
    <x v="6"/>
    <x v="11"/>
    <x v="5"/>
    <x v="13"/>
    <n v="9002"/>
    <x v="2"/>
    <x v="0"/>
  </r>
  <r>
    <d v="2021-03-28T00:00:00"/>
    <x v="556"/>
    <x v="1"/>
    <x v="6"/>
    <x v="11"/>
    <x v="5"/>
    <x v="12"/>
    <n v="9002"/>
    <x v="2"/>
    <x v="0"/>
  </r>
  <r>
    <d v="2021-12-25T00:00:00"/>
    <x v="557"/>
    <x v="1"/>
    <x v="2"/>
    <x v="5"/>
    <x v="5"/>
    <x v="12"/>
    <n v="7105"/>
    <x v="4"/>
    <x v="4"/>
  </r>
  <r>
    <d v="2023-02-03T00:00:00"/>
    <x v="558"/>
    <x v="2"/>
    <x v="5"/>
    <x v="9"/>
    <x v="5"/>
    <x v="12"/>
    <n v="5317"/>
    <x v="1"/>
    <x v="1"/>
  </r>
  <r>
    <d v="2023-04-28T00:00:00"/>
    <x v="559"/>
    <x v="2"/>
    <x v="5"/>
    <x v="9"/>
    <x v="0"/>
    <x v="3"/>
    <n v="5317"/>
    <x v="1"/>
    <x v="1"/>
  </r>
  <r>
    <d v="2024-11-22T00:00:00"/>
    <x v="560"/>
    <x v="2"/>
    <x v="5"/>
    <x v="9"/>
    <x v="3"/>
    <x v="11"/>
    <n v="5317"/>
    <x v="1"/>
    <x v="1"/>
  </r>
  <r>
    <d v="2023-02-03T00:00:00"/>
    <x v="558"/>
    <x v="2"/>
    <x v="4"/>
    <x v="1"/>
    <x v="5"/>
    <x v="12"/>
    <n v="6304"/>
    <x v="2"/>
    <x v="4"/>
  </r>
  <r>
    <d v="2023-04-28T00:00:00"/>
    <x v="559"/>
    <x v="2"/>
    <x v="4"/>
    <x v="1"/>
    <x v="0"/>
    <x v="3"/>
    <n v="6304"/>
    <x v="2"/>
    <x v="4"/>
  </r>
  <r>
    <d v="2024-11-22T00:00:00"/>
    <x v="560"/>
    <x v="2"/>
    <x v="4"/>
    <x v="1"/>
    <x v="3"/>
    <x v="11"/>
    <n v="6304"/>
    <x v="2"/>
    <x v="4"/>
  </r>
  <r>
    <d v="2024-07-02T00:00:00"/>
    <x v="561"/>
    <x v="1"/>
    <x v="8"/>
    <x v="16"/>
    <x v="1"/>
    <x v="6"/>
    <n v="9565"/>
    <x v="1"/>
    <x v="0"/>
  </r>
  <r>
    <d v="2024-07-02T00:00:00"/>
    <x v="561"/>
    <x v="1"/>
    <x v="8"/>
    <x v="13"/>
    <x v="1"/>
    <x v="6"/>
    <n v="8245"/>
    <x v="2"/>
    <x v="0"/>
  </r>
  <r>
    <d v="2022-01-18T00:00:00"/>
    <x v="562"/>
    <x v="0"/>
    <x v="3"/>
    <x v="19"/>
    <x v="5"/>
    <x v="14"/>
    <n v="1592"/>
    <x v="1"/>
    <x v="2"/>
  </r>
  <r>
    <d v="2024-10-08T00:00:00"/>
    <x v="563"/>
    <x v="0"/>
    <x v="10"/>
    <x v="0"/>
    <x v="5"/>
    <x v="12"/>
    <n v="8400"/>
    <x v="1"/>
    <x v="0"/>
  </r>
  <r>
    <d v="2024-10-08T00:00:00"/>
    <x v="563"/>
    <x v="1"/>
    <x v="8"/>
    <x v="7"/>
    <x v="5"/>
    <x v="12"/>
    <n v="4963"/>
    <x v="2"/>
    <x v="1"/>
  </r>
  <r>
    <d v="2020-06-21T00:00:00"/>
    <x v="564"/>
    <x v="0"/>
    <x v="1"/>
    <x v="0"/>
    <x v="3"/>
    <x v="9"/>
    <n v="2472"/>
    <x v="4"/>
    <x v="3"/>
  </r>
  <r>
    <d v="2023-12-14T00:00:00"/>
    <x v="565"/>
    <x v="2"/>
    <x v="5"/>
    <x v="1"/>
    <x v="0"/>
    <x v="16"/>
    <n v="9132"/>
    <x v="1"/>
    <x v="0"/>
  </r>
  <r>
    <d v="2020-12-16T00:00:00"/>
    <x v="566"/>
    <x v="1"/>
    <x v="9"/>
    <x v="10"/>
    <x v="2"/>
    <x v="7"/>
    <n v="8305"/>
    <x v="1"/>
    <x v="0"/>
  </r>
  <r>
    <d v="2025-03-15T00:00:00"/>
    <x v="567"/>
    <x v="0"/>
    <x v="0"/>
    <x v="5"/>
    <x v="0"/>
    <x v="16"/>
    <n v="1010"/>
    <x v="4"/>
    <x v="2"/>
  </r>
  <r>
    <d v="2024-08-21T00:00:00"/>
    <x v="568"/>
    <x v="0"/>
    <x v="10"/>
    <x v="8"/>
    <x v="4"/>
    <x v="8"/>
    <n v="4544"/>
    <x v="2"/>
    <x v="1"/>
  </r>
  <r>
    <d v="2024-08-21T00:00:00"/>
    <x v="568"/>
    <x v="0"/>
    <x v="10"/>
    <x v="12"/>
    <x v="4"/>
    <x v="8"/>
    <n v="5900"/>
    <x v="0"/>
    <x v="1"/>
  </r>
  <r>
    <d v="2021-05-27T00:00:00"/>
    <x v="569"/>
    <x v="1"/>
    <x v="6"/>
    <x v="5"/>
    <x v="3"/>
    <x v="9"/>
    <n v="8861"/>
    <x v="3"/>
    <x v="0"/>
  </r>
  <r>
    <d v="2020-09-21T00:00:00"/>
    <x v="570"/>
    <x v="0"/>
    <x v="10"/>
    <x v="19"/>
    <x v="5"/>
    <x v="13"/>
    <n v="8158"/>
    <x v="1"/>
    <x v="0"/>
  </r>
  <r>
    <d v="2025-01-11T00:00:00"/>
    <x v="571"/>
    <x v="1"/>
    <x v="2"/>
    <x v="1"/>
    <x v="3"/>
    <x v="4"/>
    <n v="3411"/>
    <x v="0"/>
    <x v="3"/>
  </r>
  <r>
    <d v="2021-10-20T00:00:00"/>
    <x v="572"/>
    <x v="1"/>
    <x v="6"/>
    <x v="4"/>
    <x v="4"/>
    <x v="15"/>
    <n v="9406"/>
    <x v="0"/>
    <x v="0"/>
  </r>
  <r>
    <d v="2021-10-20T00:00:00"/>
    <x v="572"/>
    <x v="0"/>
    <x v="1"/>
    <x v="7"/>
    <x v="4"/>
    <x v="15"/>
    <n v="1156"/>
    <x v="2"/>
    <x v="2"/>
  </r>
  <r>
    <d v="2021-10-19T00:00:00"/>
    <x v="573"/>
    <x v="2"/>
    <x v="11"/>
    <x v="3"/>
    <x v="1"/>
    <x v="6"/>
    <n v="5354"/>
    <x v="0"/>
    <x v="1"/>
  </r>
  <r>
    <d v="2024-07-07T00:00:00"/>
    <x v="574"/>
    <x v="0"/>
    <x v="0"/>
    <x v="15"/>
    <x v="4"/>
    <x v="10"/>
    <n v="8780"/>
    <x v="3"/>
    <x v="0"/>
  </r>
  <r>
    <d v="2023-07-25T00:00:00"/>
    <x v="575"/>
    <x v="0"/>
    <x v="0"/>
    <x v="15"/>
    <x v="4"/>
    <x v="10"/>
    <n v="8780"/>
    <x v="3"/>
    <x v="0"/>
  </r>
  <r>
    <d v="2020-04-16T00:00:00"/>
    <x v="576"/>
    <x v="2"/>
    <x v="7"/>
    <x v="17"/>
    <x v="5"/>
    <x v="12"/>
    <n v="6783"/>
    <x v="1"/>
    <x v="4"/>
  </r>
  <r>
    <d v="2020-07-04T00:00:00"/>
    <x v="577"/>
    <x v="1"/>
    <x v="2"/>
    <x v="15"/>
    <x v="2"/>
    <x v="5"/>
    <n v="1778"/>
    <x v="3"/>
    <x v="2"/>
  </r>
  <r>
    <d v="2022-05-16T00:00:00"/>
    <x v="578"/>
    <x v="0"/>
    <x v="1"/>
    <x v="2"/>
    <x v="2"/>
    <x v="7"/>
    <n v="9399"/>
    <x v="0"/>
    <x v="0"/>
  </r>
  <r>
    <d v="2022-05-16T00:00:00"/>
    <x v="578"/>
    <x v="2"/>
    <x v="7"/>
    <x v="15"/>
    <x v="2"/>
    <x v="7"/>
    <n v="7957"/>
    <x v="3"/>
    <x v="4"/>
  </r>
  <r>
    <d v="2023-11-25T00:00:00"/>
    <x v="579"/>
    <x v="2"/>
    <x v="5"/>
    <x v="19"/>
    <x v="1"/>
    <x v="6"/>
    <n v="1638"/>
    <x v="2"/>
    <x v="2"/>
  </r>
  <r>
    <d v="2021-08-17T00:00:00"/>
    <x v="580"/>
    <x v="2"/>
    <x v="4"/>
    <x v="15"/>
    <x v="4"/>
    <x v="8"/>
    <n v="1786"/>
    <x v="4"/>
    <x v="2"/>
  </r>
  <r>
    <d v="2023-07-02T00:00:00"/>
    <x v="581"/>
    <x v="1"/>
    <x v="8"/>
    <x v="8"/>
    <x v="2"/>
    <x v="2"/>
    <n v="4751"/>
    <x v="2"/>
    <x v="1"/>
  </r>
  <r>
    <d v="2020-08-24T00:00:00"/>
    <x v="582"/>
    <x v="1"/>
    <x v="8"/>
    <x v="15"/>
    <x v="1"/>
    <x v="1"/>
    <n v="8979"/>
    <x v="3"/>
    <x v="0"/>
  </r>
  <r>
    <d v="2022-11-07T00:00:00"/>
    <x v="583"/>
    <x v="0"/>
    <x v="10"/>
    <x v="17"/>
    <x v="0"/>
    <x v="0"/>
    <n v="2727"/>
    <x v="3"/>
    <x v="3"/>
  </r>
  <r>
    <d v="2024-03-27T00:00:00"/>
    <x v="584"/>
    <x v="0"/>
    <x v="1"/>
    <x v="14"/>
    <x v="1"/>
    <x v="17"/>
    <n v="1093"/>
    <x v="3"/>
    <x v="2"/>
  </r>
  <r>
    <d v="2024-09-01T00:00:00"/>
    <x v="585"/>
    <x v="0"/>
    <x v="1"/>
    <x v="14"/>
    <x v="2"/>
    <x v="2"/>
    <n v="1093"/>
    <x v="3"/>
    <x v="2"/>
  </r>
  <r>
    <d v="2022-02-22T00:00:00"/>
    <x v="586"/>
    <x v="0"/>
    <x v="1"/>
    <x v="14"/>
    <x v="5"/>
    <x v="12"/>
    <n v="1093"/>
    <x v="3"/>
    <x v="2"/>
  </r>
  <r>
    <d v="2024-03-27T00:00:00"/>
    <x v="584"/>
    <x v="1"/>
    <x v="8"/>
    <x v="13"/>
    <x v="1"/>
    <x v="17"/>
    <n v="2636"/>
    <x v="1"/>
    <x v="3"/>
  </r>
  <r>
    <d v="2024-09-01T00:00:00"/>
    <x v="585"/>
    <x v="1"/>
    <x v="8"/>
    <x v="13"/>
    <x v="2"/>
    <x v="2"/>
    <n v="2636"/>
    <x v="1"/>
    <x v="3"/>
  </r>
  <r>
    <d v="2022-02-22T00:00:00"/>
    <x v="586"/>
    <x v="1"/>
    <x v="8"/>
    <x v="13"/>
    <x v="5"/>
    <x v="12"/>
    <n v="2636"/>
    <x v="1"/>
    <x v="3"/>
  </r>
  <r>
    <d v="2022-02-11T00:00:00"/>
    <x v="587"/>
    <x v="0"/>
    <x v="0"/>
    <x v="18"/>
    <x v="0"/>
    <x v="0"/>
    <n v="7344"/>
    <x v="1"/>
    <x v="4"/>
  </r>
  <r>
    <d v="2022-02-11T00:00:00"/>
    <x v="587"/>
    <x v="1"/>
    <x v="8"/>
    <x v="16"/>
    <x v="0"/>
    <x v="0"/>
    <n v="7306"/>
    <x v="4"/>
    <x v="4"/>
  </r>
  <r>
    <d v="2022-02-11T00:00:00"/>
    <x v="587"/>
    <x v="0"/>
    <x v="1"/>
    <x v="3"/>
    <x v="0"/>
    <x v="0"/>
    <n v="5832"/>
    <x v="4"/>
    <x v="1"/>
  </r>
  <r>
    <d v="2021-05-27T00:00:00"/>
    <x v="588"/>
    <x v="2"/>
    <x v="4"/>
    <x v="17"/>
    <x v="1"/>
    <x v="6"/>
    <n v="8572"/>
    <x v="2"/>
    <x v="0"/>
  </r>
  <r>
    <d v="2023-07-05T00:00:00"/>
    <x v="589"/>
    <x v="2"/>
    <x v="4"/>
    <x v="17"/>
    <x v="1"/>
    <x v="6"/>
    <n v="8572"/>
    <x v="2"/>
    <x v="0"/>
  </r>
  <r>
    <d v="2020-10-27T00:00:00"/>
    <x v="590"/>
    <x v="2"/>
    <x v="4"/>
    <x v="17"/>
    <x v="3"/>
    <x v="9"/>
    <n v="8572"/>
    <x v="2"/>
    <x v="0"/>
  </r>
  <r>
    <d v="2021-05-27T00:00:00"/>
    <x v="588"/>
    <x v="0"/>
    <x v="1"/>
    <x v="3"/>
    <x v="1"/>
    <x v="6"/>
    <n v="8059"/>
    <x v="3"/>
    <x v="0"/>
  </r>
  <r>
    <d v="2023-07-05T00:00:00"/>
    <x v="589"/>
    <x v="0"/>
    <x v="1"/>
    <x v="3"/>
    <x v="1"/>
    <x v="6"/>
    <n v="8059"/>
    <x v="3"/>
    <x v="0"/>
  </r>
  <r>
    <d v="2020-10-27T00:00:00"/>
    <x v="590"/>
    <x v="0"/>
    <x v="1"/>
    <x v="3"/>
    <x v="3"/>
    <x v="9"/>
    <n v="8059"/>
    <x v="3"/>
    <x v="0"/>
  </r>
  <r>
    <d v="2023-01-26T00:00:00"/>
    <x v="591"/>
    <x v="2"/>
    <x v="7"/>
    <x v="19"/>
    <x v="4"/>
    <x v="10"/>
    <n v="3661"/>
    <x v="2"/>
    <x v="3"/>
  </r>
  <r>
    <d v="2021-09-06T00:00:00"/>
    <x v="592"/>
    <x v="1"/>
    <x v="8"/>
    <x v="17"/>
    <x v="3"/>
    <x v="4"/>
    <n v="2451"/>
    <x v="2"/>
    <x v="3"/>
  </r>
  <r>
    <d v="2021-11-12T00:00:00"/>
    <x v="593"/>
    <x v="1"/>
    <x v="8"/>
    <x v="17"/>
    <x v="5"/>
    <x v="13"/>
    <n v="2451"/>
    <x v="2"/>
    <x v="3"/>
  </r>
  <r>
    <d v="2024-07-30T00:00:00"/>
    <x v="594"/>
    <x v="1"/>
    <x v="8"/>
    <x v="17"/>
    <x v="4"/>
    <x v="15"/>
    <n v="2451"/>
    <x v="2"/>
    <x v="3"/>
  </r>
  <r>
    <d v="2022-03-15T00:00:00"/>
    <x v="595"/>
    <x v="2"/>
    <x v="4"/>
    <x v="4"/>
    <x v="3"/>
    <x v="11"/>
    <n v="7067"/>
    <x v="3"/>
    <x v="4"/>
  </r>
  <r>
    <d v="2024-03-15T00:00:00"/>
    <x v="596"/>
    <x v="0"/>
    <x v="0"/>
    <x v="16"/>
    <x v="2"/>
    <x v="5"/>
    <n v="4307"/>
    <x v="0"/>
    <x v="1"/>
  </r>
  <r>
    <d v="2020-11-10T00:00:00"/>
    <x v="597"/>
    <x v="0"/>
    <x v="0"/>
    <x v="16"/>
    <x v="1"/>
    <x v="6"/>
    <n v="4307"/>
    <x v="0"/>
    <x v="1"/>
  </r>
  <r>
    <d v="2024-03-15T00:00:00"/>
    <x v="596"/>
    <x v="2"/>
    <x v="5"/>
    <x v="0"/>
    <x v="2"/>
    <x v="5"/>
    <n v="5694"/>
    <x v="2"/>
    <x v="1"/>
  </r>
  <r>
    <d v="2020-11-10T00:00:00"/>
    <x v="597"/>
    <x v="2"/>
    <x v="5"/>
    <x v="0"/>
    <x v="1"/>
    <x v="6"/>
    <n v="5694"/>
    <x v="2"/>
    <x v="1"/>
  </r>
  <r>
    <d v="2022-07-23T00:00:00"/>
    <x v="598"/>
    <x v="1"/>
    <x v="9"/>
    <x v="9"/>
    <x v="1"/>
    <x v="6"/>
    <n v="962"/>
    <x v="3"/>
    <x v="2"/>
  </r>
  <r>
    <d v="2024-09-13T00:00:00"/>
    <x v="599"/>
    <x v="2"/>
    <x v="11"/>
    <x v="1"/>
    <x v="2"/>
    <x v="2"/>
    <n v="2995"/>
    <x v="3"/>
    <x v="3"/>
  </r>
  <r>
    <d v="2024-09-13T00:00:00"/>
    <x v="599"/>
    <x v="1"/>
    <x v="6"/>
    <x v="0"/>
    <x v="2"/>
    <x v="2"/>
    <n v="2047"/>
    <x v="1"/>
    <x v="3"/>
  </r>
  <r>
    <d v="2022-01-25T00:00:00"/>
    <x v="600"/>
    <x v="0"/>
    <x v="3"/>
    <x v="10"/>
    <x v="4"/>
    <x v="10"/>
    <n v="2078"/>
    <x v="4"/>
    <x v="3"/>
  </r>
  <r>
    <d v="2021-04-19T00:00:00"/>
    <x v="601"/>
    <x v="0"/>
    <x v="1"/>
    <x v="16"/>
    <x v="2"/>
    <x v="5"/>
    <n v="2737"/>
    <x v="2"/>
    <x v="3"/>
  </r>
  <r>
    <d v="2021-07-18T00:00:00"/>
    <x v="602"/>
    <x v="1"/>
    <x v="8"/>
    <x v="10"/>
    <x v="4"/>
    <x v="15"/>
    <n v="8194"/>
    <x v="1"/>
    <x v="0"/>
  </r>
  <r>
    <d v="2022-06-24T00:00:00"/>
    <x v="603"/>
    <x v="2"/>
    <x v="7"/>
    <x v="4"/>
    <x v="2"/>
    <x v="2"/>
    <n v="9914"/>
    <x v="3"/>
    <x v="0"/>
  </r>
  <r>
    <d v="2024-06-08T00:00:00"/>
    <x v="604"/>
    <x v="2"/>
    <x v="7"/>
    <x v="4"/>
    <x v="2"/>
    <x v="7"/>
    <n v="9914"/>
    <x v="3"/>
    <x v="0"/>
  </r>
  <r>
    <d v="2022-06-24T00:00:00"/>
    <x v="603"/>
    <x v="1"/>
    <x v="2"/>
    <x v="18"/>
    <x v="2"/>
    <x v="2"/>
    <n v="5470"/>
    <x v="1"/>
    <x v="1"/>
  </r>
  <r>
    <d v="2024-06-08T00:00:00"/>
    <x v="604"/>
    <x v="1"/>
    <x v="2"/>
    <x v="18"/>
    <x v="2"/>
    <x v="7"/>
    <n v="5470"/>
    <x v="1"/>
    <x v="1"/>
  </r>
  <r>
    <d v="2022-06-24T00:00:00"/>
    <x v="603"/>
    <x v="2"/>
    <x v="11"/>
    <x v="14"/>
    <x v="2"/>
    <x v="2"/>
    <n v="1496"/>
    <x v="0"/>
    <x v="2"/>
  </r>
  <r>
    <d v="2024-06-08T00:00:00"/>
    <x v="604"/>
    <x v="2"/>
    <x v="11"/>
    <x v="14"/>
    <x v="2"/>
    <x v="7"/>
    <n v="1496"/>
    <x v="0"/>
    <x v="2"/>
  </r>
  <r>
    <d v="2022-09-29T00:00:00"/>
    <x v="605"/>
    <x v="1"/>
    <x v="8"/>
    <x v="8"/>
    <x v="2"/>
    <x v="5"/>
    <n v="3228"/>
    <x v="4"/>
    <x v="3"/>
  </r>
  <r>
    <d v="2023-05-10T00:00:00"/>
    <x v="606"/>
    <x v="0"/>
    <x v="3"/>
    <x v="17"/>
    <x v="3"/>
    <x v="9"/>
    <n v="3918"/>
    <x v="3"/>
    <x v="3"/>
  </r>
  <r>
    <d v="2020-05-02T00:00:00"/>
    <x v="607"/>
    <x v="0"/>
    <x v="3"/>
    <x v="17"/>
    <x v="4"/>
    <x v="15"/>
    <n v="3918"/>
    <x v="3"/>
    <x v="3"/>
  </r>
  <r>
    <d v="2021-04-12T00:00:00"/>
    <x v="608"/>
    <x v="2"/>
    <x v="7"/>
    <x v="7"/>
    <x v="1"/>
    <x v="1"/>
    <n v="9921"/>
    <x v="2"/>
    <x v="0"/>
  </r>
  <r>
    <d v="2023-11-04T00:00:00"/>
    <x v="609"/>
    <x v="2"/>
    <x v="5"/>
    <x v="6"/>
    <x v="1"/>
    <x v="6"/>
    <n v="9694"/>
    <x v="2"/>
    <x v="0"/>
  </r>
  <r>
    <d v="2020-05-04T00:00:00"/>
    <x v="610"/>
    <x v="1"/>
    <x v="8"/>
    <x v="19"/>
    <x v="0"/>
    <x v="16"/>
    <n v="5028"/>
    <x v="2"/>
    <x v="1"/>
  </r>
  <r>
    <d v="2023-09-10T00:00:00"/>
    <x v="611"/>
    <x v="1"/>
    <x v="8"/>
    <x v="5"/>
    <x v="2"/>
    <x v="2"/>
    <n v="594"/>
    <x v="1"/>
    <x v="2"/>
  </r>
  <r>
    <d v="2024-01-05T00:00:00"/>
    <x v="612"/>
    <x v="1"/>
    <x v="8"/>
    <x v="5"/>
    <x v="0"/>
    <x v="0"/>
    <n v="594"/>
    <x v="1"/>
    <x v="2"/>
  </r>
  <r>
    <d v="2024-05-08T00:00:00"/>
    <x v="613"/>
    <x v="1"/>
    <x v="8"/>
    <x v="5"/>
    <x v="4"/>
    <x v="10"/>
    <n v="594"/>
    <x v="1"/>
    <x v="2"/>
  </r>
  <r>
    <d v="2024-03-30T00:00:00"/>
    <x v="614"/>
    <x v="2"/>
    <x v="4"/>
    <x v="13"/>
    <x v="5"/>
    <x v="13"/>
    <n v="5954"/>
    <x v="4"/>
    <x v="1"/>
  </r>
  <r>
    <d v="2020-09-10T00:00:00"/>
    <x v="615"/>
    <x v="2"/>
    <x v="11"/>
    <x v="16"/>
    <x v="3"/>
    <x v="11"/>
    <n v="3518"/>
    <x v="0"/>
    <x v="3"/>
  </r>
  <r>
    <d v="2020-09-10T00:00:00"/>
    <x v="615"/>
    <x v="0"/>
    <x v="3"/>
    <x v="17"/>
    <x v="3"/>
    <x v="11"/>
    <n v="4157"/>
    <x v="2"/>
    <x v="1"/>
  </r>
  <r>
    <d v="2020-07-12T00:00:00"/>
    <x v="616"/>
    <x v="1"/>
    <x v="6"/>
    <x v="0"/>
    <x v="1"/>
    <x v="6"/>
    <n v="3747"/>
    <x v="3"/>
    <x v="3"/>
  </r>
  <r>
    <d v="2022-12-08T00:00:00"/>
    <x v="617"/>
    <x v="1"/>
    <x v="6"/>
    <x v="0"/>
    <x v="2"/>
    <x v="2"/>
    <n v="3747"/>
    <x v="3"/>
    <x v="3"/>
  </r>
  <r>
    <d v="2024-03-27T00:00:00"/>
    <x v="618"/>
    <x v="1"/>
    <x v="6"/>
    <x v="0"/>
    <x v="5"/>
    <x v="12"/>
    <n v="3747"/>
    <x v="3"/>
    <x v="3"/>
  </r>
  <r>
    <d v="2023-02-17T00:00:00"/>
    <x v="619"/>
    <x v="1"/>
    <x v="6"/>
    <x v="0"/>
    <x v="1"/>
    <x v="1"/>
    <n v="3747"/>
    <x v="3"/>
    <x v="3"/>
  </r>
  <r>
    <d v="2021-07-21T00:00:00"/>
    <x v="620"/>
    <x v="1"/>
    <x v="6"/>
    <x v="0"/>
    <x v="3"/>
    <x v="4"/>
    <n v="3747"/>
    <x v="3"/>
    <x v="3"/>
  </r>
  <r>
    <d v="2020-07-12T00:00:00"/>
    <x v="616"/>
    <x v="1"/>
    <x v="9"/>
    <x v="15"/>
    <x v="1"/>
    <x v="6"/>
    <n v="3194"/>
    <x v="0"/>
    <x v="3"/>
  </r>
  <r>
    <d v="2022-12-08T00:00:00"/>
    <x v="617"/>
    <x v="1"/>
    <x v="9"/>
    <x v="15"/>
    <x v="2"/>
    <x v="2"/>
    <n v="3194"/>
    <x v="0"/>
    <x v="3"/>
  </r>
  <r>
    <d v="2024-03-27T00:00:00"/>
    <x v="618"/>
    <x v="1"/>
    <x v="9"/>
    <x v="15"/>
    <x v="5"/>
    <x v="12"/>
    <n v="3194"/>
    <x v="0"/>
    <x v="3"/>
  </r>
  <r>
    <d v="2023-02-17T00:00:00"/>
    <x v="619"/>
    <x v="1"/>
    <x v="9"/>
    <x v="15"/>
    <x v="1"/>
    <x v="1"/>
    <n v="3194"/>
    <x v="0"/>
    <x v="3"/>
  </r>
  <r>
    <d v="2021-07-21T00:00:00"/>
    <x v="620"/>
    <x v="1"/>
    <x v="9"/>
    <x v="15"/>
    <x v="3"/>
    <x v="4"/>
    <n v="3194"/>
    <x v="0"/>
    <x v="3"/>
  </r>
  <r>
    <d v="2022-10-30T00:00:00"/>
    <x v="621"/>
    <x v="1"/>
    <x v="9"/>
    <x v="6"/>
    <x v="0"/>
    <x v="16"/>
    <n v="8548"/>
    <x v="4"/>
    <x v="0"/>
  </r>
  <r>
    <d v="2020-12-31T00:00:00"/>
    <x v="622"/>
    <x v="2"/>
    <x v="4"/>
    <x v="5"/>
    <x v="5"/>
    <x v="13"/>
    <n v="6089"/>
    <x v="1"/>
    <x v="4"/>
  </r>
  <r>
    <d v="2022-04-15T00:00:00"/>
    <x v="623"/>
    <x v="2"/>
    <x v="4"/>
    <x v="5"/>
    <x v="5"/>
    <x v="14"/>
    <n v="6089"/>
    <x v="1"/>
    <x v="4"/>
  </r>
  <r>
    <d v="2023-04-05T00:00:00"/>
    <x v="624"/>
    <x v="2"/>
    <x v="4"/>
    <x v="5"/>
    <x v="1"/>
    <x v="1"/>
    <n v="6089"/>
    <x v="1"/>
    <x v="4"/>
  </r>
  <r>
    <d v="2020-12-31T00:00:00"/>
    <x v="622"/>
    <x v="2"/>
    <x v="4"/>
    <x v="4"/>
    <x v="5"/>
    <x v="13"/>
    <n v="2586"/>
    <x v="0"/>
    <x v="3"/>
  </r>
  <r>
    <d v="2022-04-15T00:00:00"/>
    <x v="623"/>
    <x v="2"/>
    <x v="4"/>
    <x v="4"/>
    <x v="5"/>
    <x v="14"/>
    <n v="2586"/>
    <x v="0"/>
    <x v="3"/>
  </r>
  <r>
    <d v="2023-04-05T00:00:00"/>
    <x v="624"/>
    <x v="2"/>
    <x v="4"/>
    <x v="4"/>
    <x v="1"/>
    <x v="1"/>
    <n v="2586"/>
    <x v="0"/>
    <x v="3"/>
  </r>
  <r>
    <d v="2020-12-31T00:00:00"/>
    <x v="622"/>
    <x v="1"/>
    <x v="8"/>
    <x v="8"/>
    <x v="5"/>
    <x v="13"/>
    <n v="3757"/>
    <x v="0"/>
    <x v="3"/>
  </r>
  <r>
    <d v="2022-04-15T00:00:00"/>
    <x v="623"/>
    <x v="1"/>
    <x v="8"/>
    <x v="8"/>
    <x v="5"/>
    <x v="14"/>
    <n v="3757"/>
    <x v="0"/>
    <x v="3"/>
  </r>
  <r>
    <d v="2023-04-05T00:00:00"/>
    <x v="624"/>
    <x v="1"/>
    <x v="8"/>
    <x v="8"/>
    <x v="1"/>
    <x v="1"/>
    <n v="3757"/>
    <x v="0"/>
    <x v="3"/>
  </r>
  <r>
    <d v="2021-10-29T00:00:00"/>
    <x v="625"/>
    <x v="2"/>
    <x v="7"/>
    <x v="0"/>
    <x v="3"/>
    <x v="9"/>
    <n v="5193"/>
    <x v="1"/>
    <x v="1"/>
  </r>
  <r>
    <d v="2024-12-29T00:00:00"/>
    <x v="626"/>
    <x v="2"/>
    <x v="7"/>
    <x v="0"/>
    <x v="0"/>
    <x v="0"/>
    <n v="5193"/>
    <x v="1"/>
    <x v="1"/>
  </r>
  <r>
    <d v="2020-08-11T00:00:00"/>
    <x v="627"/>
    <x v="0"/>
    <x v="0"/>
    <x v="16"/>
    <x v="5"/>
    <x v="14"/>
    <n v="7493"/>
    <x v="0"/>
    <x v="4"/>
  </r>
  <r>
    <d v="2024-03-04T00:00:00"/>
    <x v="628"/>
    <x v="1"/>
    <x v="6"/>
    <x v="10"/>
    <x v="0"/>
    <x v="16"/>
    <n v="2062"/>
    <x v="3"/>
    <x v="3"/>
  </r>
  <r>
    <d v="2023-10-17T00:00:00"/>
    <x v="629"/>
    <x v="0"/>
    <x v="10"/>
    <x v="6"/>
    <x v="3"/>
    <x v="9"/>
    <n v="7163"/>
    <x v="2"/>
    <x v="4"/>
  </r>
  <r>
    <d v="2023-07-28T00:00:00"/>
    <x v="630"/>
    <x v="0"/>
    <x v="10"/>
    <x v="10"/>
    <x v="2"/>
    <x v="5"/>
    <n v="4026"/>
    <x v="4"/>
    <x v="1"/>
  </r>
  <r>
    <d v="2021-11-27T00:00:00"/>
    <x v="631"/>
    <x v="2"/>
    <x v="5"/>
    <x v="0"/>
    <x v="0"/>
    <x v="0"/>
    <n v="1894"/>
    <x v="3"/>
    <x v="2"/>
  </r>
  <r>
    <d v="2021-11-27T00:00:00"/>
    <x v="631"/>
    <x v="0"/>
    <x v="0"/>
    <x v="19"/>
    <x v="0"/>
    <x v="0"/>
    <n v="7144"/>
    <x v="3"/>
    <x v="4"/>
  </r>
  <r>
    <d v="2020-09-09T00:00:00"/>
    <x v="632"/>
    <x v="0"/>
    <x v="3"/>
    <x v="7"/>
    <x v="5"/>
    <x v="12"/>
    <n v="3482"/>
    <x v="1"/>
    <x v="3"/>
  </r>
  <r>
    <d v="2021-06-02T00:00:00"/>
    <x v="633"/>
    <x v="1"/>
    <x v="8"/>
    <x v="0"/>
    <x v="5"/>
    <x v="14"/>
    <n v="4172"/>
    <x v="2"/>
    <x v="1"/>
  </r>
  <r>
    <d v="2022-08-22T00:00:00"/>
    <x v="634"/>
    <x v="1"/>
    <x v="8"/>
    <x v="0"/>
    <x v="0"/>
    <x v="3"/>
    <n v="4172"/>
    <x v="2"/>
    <x v="1"/>
  </r>
  <r>
    <d v="2024-04-16T00:00:00"/>
    <x v="635"/>
    <x v="1"/>
    <x v="8"/>
    <x v="0"/>
    <x v="1"/>
    <x v="6"/>
    <n v="4172"/>
    <x v="2"/>
    <x v="1"/>
  </r>
  <r>
    <d v="2022-08-23T00:00:00"/>
    <x v="636"/>
    <x v="2"/>
    <x v="7"/>
    <x v="17"/>
    <x v="5"/>
    <x v="13"/>
    <n v="6265"/>
    <x v="4"/>
    <x v="4"/>
  </r>
  <r>
    <d v="2021-03-12T00:00:00"/>
    <x v="637"/>
    <x v="2"/>
    <x v="7"/>
    <x v="17"/>
    <x v="5"/>
    <x v="14"/>
    <n v="6265"/>
    <x v="4"/>
    <x v="4"/>
  </r>
  <r>
    <d v="2024-06-26T00:00:00"/>
    <x v="638"/>
    <x v="0"/>
    <x v="0"/>
    <x v="18"/>
    <x v="1"/>
    <x v="17"/>
    <n v="2931"/>
    <x v="3"/>
    <x v="3"/>
  </r>
  <r>
    <d v="2023-12-08T00:00:00"/>
    <x v="639"/>
    <x v="0"/>
    <x v="0"/>
    <x v="18"/>
    <x v="0"/>
    <x v="16"/>
    <n v="2931"/>
    <x v="3"/>
    <x v="3"/>
  </r>
  <r>
    <d v="2024-11-27T00:00:00"/>
    <x v="640"/>
    <x v="2"/>
    <x v="5"/>
    <x v="8"/>
    <x v="0"/>
    <x v="16"/>
    <n v="1146"/>
    <x v="1"/>
    <x v="2"/>
  </r>
  <r>
    <d v="2022-01-10T00:00:00"/>
    <x v="641"/>
    <x v="0"/>
    <x v="1"/>
    <x v="19"/>
    <x v="0"/>
    <x v="16"/>
    <n v="9215"/>
    <x v="4"/>
    <x v="0"/>
  </r>
  <r>
    <d v="2021-11-01T00:00:00"/>
    <x v="642"/>
    <x v="0"/>
    <x v="1"/>
    <x v="19"/>
    <x v="3"/>
    <x v="11"/>
    <n v="9215"/>
    <x v="4"/>
    <x v="0"/>
  </r>
  <r>
    <d v="2023-10-28T00:00:00"/>
    <x v="643"/>
    <x v="2"/>
    <x v="5"/>
    <x v="6"/>
    <x v="5"/>
    <x v="13"/>
    <n v="7895"/>
    <x v="3"/>
    <x v="4"/>
  </r>
  <r>
    <d v="2025-03-01T00:00:00"/>
    <x v="644"/>
    <x v="2"/>
    <x v="5"/>
    <x v="6"/>
    <x v="3"/>
    <x v="9"/>
    <n v="7895"/>
    <x v="3"/>
    <x v="4"/>
  </r>
  <r>
    <d v="2023-10-28T00:00:00"/>
    <x v="643"/>
    <x v="1"/>
    <x v="2"/>
    <x v="17"/>
    <x v="5"/>
    <x v="13"/>
    <n v="2740"/>
    <x v="0"/>
    <x v="3"/>
  </r>
  <r>
    <d v="2025-03-01T00:00:00"/>
    <x v="644"/>
    <x v="1"/>
    <x v="2"/>
    <x v="17"/>
    <x v="3"/>
    <x v="9"/>
    <n v="2740"/>
    <x v="0"/>
    <x v="3"/>
  </r>
  <r>
    <d v="2024-08-01T00:00:00"/>
    <x v="645"/>
    <x v="1"/>
    <x v="6"/>
    <x v="4"/>
    <x v="1"/>
    <x v="17"/>
    <n v="5338"/>
    <x v="0"/>
    <x v="1"/>
  </r>
  <r>
    <d v="2023-06-07T00:00:00"/>
    <x v="646"/>
    <x v="1"/>
    <x v="6"/>
    <x v="4"/>
    <x v="2"/>
    <x v="2"/>
    <n v="5338"/>
    <x v="0"/>
    <x v="1"/>
  </r>
  <r>
    <d v="2024-10-21T00:00:00"/>
    <x v="647"/>
    <x v="1"/>
    <x v="6"/>
    <x v="4"/>
    <x v="0"/>
    <x v="3"/>
    <n v="5338"/>
    <x v="0"/>
    <x v="1"/>
  </r>
  <r>
    <d v="2021-01-04T00:00:00"/>
    <x v="648"/>
    <x v="1"/>
    <x v="6"/>
    <x v="4"/>
    <x v="2"/>
    <x v="2"/>
    <n v="5338"/>
    <x v="0"/>
    <x v="1"/>
  </r>
  <r>
    <d v="2022-04-19T00:00:00"/>
    <x v="649"/>
    <x v="1"/>
    <x v="2"/>
    <x v="11"/>
    <x v="5"/>
    <x v="14"/>
    <n v="3095"/>
    <x v="2"/>
    <x v="3"/>
  </r>
  <r>
    <d v="2022-08-11T00:00:00"/>
    <x v="650"/>
    <x v="1"/>
    <x v="2"/>
    <x v="11"/>
    <x v="4"/>
    <x v="10"/>
    <n v="3095"/>
    <x v="2"/>
    <x v="3"/>
  </r>
  <r>
    <d v="2023-08-04T00:00:00"/>
    <x v="651"/>
    <x v="0"/>
    <x v="1"/>
    <x v="19"/>
    <x v="1"/>
    <x v="17"/>
    <n v="6017"/>
    <x v="1"/>
    <x v="4"/>
  </r>
  <r>
    <d v="2020-04-25T00:00:00"/>
    <x v="652"/>
    <x v="1"/>
    <x v="2"/>
    <x v="11"/>
    <x v="4"/>
    <x v="8"/>
    <n v="4904"/>
    <x v="1"/>
    <x v="1"/>
  </r>
  <r>
    <d v="2020-04-25T00:00:00"/>
    <x v="652"/>
    <x v="1"/>
    <x v="9"/>
    <x v="10"/>
    <x v="4"/>
    <x v="8"/>
    <n v="3080"/>
    <x v="0"/>
    <x v="3"/>
  </r>
  <r>
    <d v="2024-12-14T00:00:00"/>
    <x v="653"/>
    <x v="0"/>
    <x v="10"/>
    <x v="11"/>
    <x v="0"/>
    <x v="16"/>
    <n v="1992"/>
    <x v="4"/>
    <x v="2"/>
  </r>
  <r>
    <d v="2022-07-25T00:00:00"/>
    <x v="654"/>
    <x v="2"/>
    <x v="7"/>
    <x v="14"/>
    <x v="0"/>
    <x v="3"/>
    <n v="5346"/>
    <x v="2"/>
    <x v="1"/>
  </r>
  <r>
    <d v="2022-05-07T00:00:00"/>
    <x v="655"/>
    <x v="2"/>
    <x v="7"/>
    <x v="14"/>
    <x v="0"/>
    <x v="0"/>
    <n v="5346"/>
    <x v="2"/>
    <x v="1"/>
  </r>
  <r>
    <d v="2022-08-11T00:00:00"/>
    <x v="656"/>
    <x v="0"/>
    <x v="1"/>
    <x v="9"/>
    <x v="3"/>
    <x v="11"/>
    <n v="8422"/>
    <x v="1"/>
    <x v="0"/>
  </r>
  <r>
    <d v="2022-08-12T00:00:00"/>
    <x v="657"/>
    <x v="0"/>
    <x v="1"/>
    <x v="9"/>
    <x v="5"/>
    <x v="12"/>
    <n v="8422"/>
    <x v="1"/>
    <x v="0"/>
  </r>
  <r>
    <d v="2022-08-11T00:00:00"/>
    <x v="656"/>
    <x v="2"/>
    <x v="11"/>
    <x v="17"/>
    <x v="3"/>
    <x v="11"/>
    <n v="6105"/>
    <x v="3"/>
    <x v="4"/>
  </r>
  <r>
    <d v="2022-08-12T00:00:00"/>
    <x v="657"/>
    <x v="2"/>
    <x v="11"/>
    <x v="17"/>
    <x v="5"/>
    <x v="12"/>
    <n v="6105"/>
    <x v="3"/>
    <x v="4"/>
  </r>
  <r>
    <d v="2023-08-21T00:00:00"/>
    <x v="658"/>
    <x v="1"/>
    <x v="2"/>
    <x v="8"/>
    <x v="4"/>
    <x v="15"/>
    <n v="670"/>
    <x v="2"/>
    <x v="2"/>
  </r>
  <r>
    <d v="2022-09-12T00:00:00"/>
    <x v="659"/>
    <x v="0"/>
    <x v="3"/>
    <x v="10"/>
    <x v="3"/>
    <x v="9"/>
    <n v="4057"/>
    <x v="3"/>
    <x v="1"/>
  </r>
  <r>
    <d v="2023-08-20T00:00:00"/>
    <x v="660"/>
    <x v="1"/>
    <x v="2"/>
    <x v="3"/>
    <x v="3"/>
    <x v="4"/>
    <n v="8178"/>
    <x v="0"/>
    <x v="0"/>
  </r>
  <r>
    <d v="2020-12-27T00:00:00"/>
    <x v="661"/>
    <x v="2"/>
    <x v="4"/>
    <x v="8"/>
    <x v="5"/>
    <x v="13"/>
    <n v="8752"/>
    <x v="1"/>
    <x v="0"/>
  </r>
  <r>
    <d v="2023-09-04T00:00:00"/>
    <x v="662"/>
    <x v="2"/>
    <x v="4"/>
    <x v="8"/>
    <x v="1"/>
    <x v="17"/>
    <n v="8752"/>
    <x v="1"/>
    <x v="0"/>
  </r>
  <r>
    <d v="2022-01-08T00:00:00"/>
    <x v="663"/>
    <x v="2"/>
    <x v="4"/>
    <x v="8"/>
    <x v="1"/>
    <x v="1"/>
    <n v="8752"/>
    <x v="1"/>
    <x v="0"/>
  </r>
  <r>
    <d v="2023-06-05T00:00:00"/>
    <x v="664"/>
    <x v="0"/>
    <x v="1"/>
    <x v="4"/>
    <x v="2"/>
    <x v="5"/>
    <n v="8974"/>
    <x v="2"/>
    <x v="0"/>
  </r>
  <r>
    <d v="2021-04-01T00:00:00"/>
    <x v="665"/>
    <x v="0"/>
    <x v="10"/>
    <x v="4"/>
    <x v="4"/>
    <x v="8"/>
    <n v="9090"/>
    <x v="3"/>
    <x v="0"/>
  </r>
  <r>
    <d v="2024-05-28T00:00:00"/>
    <x v="666"/>
    <x v="0"/>
    <x v="10"/>
    <x v="4"/>
    <x v="1"/>
    <x v="6"/>
    <n v="9090"/>
    <x v="3"/>
    <x v="0"/>
  </r>
  <r>
    <d v="2021-04-01T00:00:00"/>
    <x v="665"/>
    <x v="0"/>
    <x v="0"/>
    <x v="13"/>
    <x v="4"/>
    <x v="8"/>
    <n v="851"/>
    <x v="3"/>
    <x v="2"/>
  </r>
  <r>
    <d v="2024-05-28T00:00:00"/>
    <x v="666"/>
    <x v="0"/>
    <x v="0"/>
    <x v="13"/>
    <x v="1"/>
    <x v="6"/>
    <n v="851"/>
    <x v="3"/>
    <x v="2"/>
  </r>
  <r>
    <d v="2023-03-09T00:00:00"/>
    <x v="667"/>
    <x v="0"/>
    <x v="10"/>
    <x v="16"/>
    <x v="0"/>
    <x v="0"/>
    <n v="5427"/>
    <x v="0"/>
    <x v="1"/>
  </r>
  <r>
    <d v="2022-07-28T00:00:00"/>
    <x v="668"/>
    <x v="2"/>
    <x v="11"/>
    <x v="7"/>
    <x v="1"/>
    <x v="17"/>
    <n v="2695"/>
    <x v="1"/>
    <x v="3"/>
  </r>
  <r>
    <d v="2021-06-17T00:00:00"/>
    <x v="669"/>
    <x v="2"/>
    <x v="11"/>
    <x v="7"/>
    <x v="3"/>
    <x v="4"/>
    <n v="2695"/>
    <x v="1"/>
    <x v="3"/>
  </r>
  <r>
    <d v="2024-02-13T00:00:00"/>
    <x v="670"/>
    <x v="1"/>
    <x v="2"/>
    <x v="16"/>
    <x v="0"/>
    <x v="0"/>
    <n v="2386"/>
    <x v="4"/>
    <x v="3"/>
  </r>
  <r>
    <d v="2021-08-06T00:00:00"/>
    <x v="671"/>
    <x v="1"/>
    <x v="2"/>
    <x v="12"/>
    <x v="2"/>
    <x v="7"/>
    <n v="2284"/>
    <x v="1"/>
    <x v="3"/>
  </r>
  <r>
    <d v="2022-05-01T00:00:00"/>
    <x v="672"/>
    <x v="0"/>
    <x v="10"/>
    <x v="17"/>
    <x v="4"/>
    <x v="15"/>
    <n v="6034"/>
    <x v="2"/>
    <x v="4"/>
  </r>
  <r>
    <d v="2022-05-01T00:00:00"/>
    <x v="672"/>
    <x v="2"/>
    <x v="11"/>
    <x v="19"/>
    <x v="4"/>
    <x v="15"/>
    <n v="8956"/>
    <x v="3"/>
    <x v="0"/>
  </r>
  <r>
    <d v="2024-03-11T00:00:00"/>
    <x v="673"/>
    <x v="1"/>
    <x v="6"/>
    <x v="18"/>
    <x v="1"/>
    <x v="17"/>
    <n v="7122"/>
    <x v="2"/>
    <x v="4"/>
  </r>
  <r>
    <d v="2020-07-06T00:00:00"/>
    <x v="674"/>
    <x v="1"/>
    <x v="6"/>
    <x v="0"/>
    <x v="5"/>
    <x v="13"/>
    <n v="9775"/>
    <x v="0"/>
    <x v="0"/>
  </r>
  <r>
    <d v="2020-12-17T00:00:00"/>
    <x v="675"/>
    <x v="2"/>
    <x v="11"/>
    <x v="19"/>
    <x v="5"/>
    <x v="14"/>
    <n v="3309"/>
    <x v="2"/>
    <x v="3"/>
  </r>
  <r>
    <d v="2022-08-30T00:00:00"/>
    <x v="676"/>
    <x v="0"/>
    <x v="0"/>
    <x v="1"/>
    <x v="1"/>
    <x v="6"/>
    <n v="4163"/>
    <x v="4"/>
    <x v="1"/>
  </r>
  <r>
    <d v="2025-02-27T00:00:00"/>
    <x v="677"/>
    <x v="0"/>
    <x v="0"/>
    <x v="1"/>
    <x v="5"/>
    <x v="14"/>
    <n v="4163"/>
    <x v="4"/>
    <x v="1"/>
  </r>
  <r>
    <d v="2021-06-05T00:00:00"/>
    <x v="678"/>
    <x v="0"/>
    <x v="0"/>
    <x v="1"/>
    <x v="0"/>
    <x v="3"/>
    <n v="4163"/>
    <x v="4"/>
    <x v="1"/>
  </r>
  <r>
    <d v="2022-12-22T00:00:00"/>
    <x v="679"/>
    <x v="2"/>
    <x v="7"/>
    <x v="18"/>
    <x v="4"/>
    <x v="15"/>
    <n v="5518"/>
    <x v="0"/>
    <x v="1"/>
  </r>
  <r>
    <d v="2025-01-25T00:00:00"/>
    <x v="680"/>
    <x v="0"/>
    <x v="10"/>
    <x v="10"/>
    <x v="5"/>
    <x v="12"/>
    <n v="7566"/>
    <x v="1"/>
    <x v="4"/>
  </r>
  <r>
    <d v="2025-02-14T00:00:00"/>
    <x v="681"/>
    <x v="0"/>
    <x v="10"/>
    <x v="10"/>
    <x v="3"/>
    <x v="9"/>
    <n v="7566"/>
    <x v="1"/>
    <x v="4"/>
  </r>
  <r>
    <d v="2023-01-06T00:00:00"/>
    <x v="682"/>
    <x v="0"/>
    <x v="1"/>
    <x v="13"/>
    <x v="1"/>
    <x v="6"/>
    <n v="762"/>
    <x v="4"/>
    <x v="2"/>
  </r>
  <r>
    <d v="2020-10-11T00:00:00"/>
    <x v="683"/>
    <x v="0"/>
    <x v="3"/>
    <x v="10"/>
    <x v="5"/>
    <x v="13"/>
    <n v="3316"/>
    <x v="4"/>
    <x v="3"/>
  </r>
  <r>
    <d v="2023-05-24T00:00:00"/>
    <x v="684"/>
    <x v="2"/>
    <x v="11"/>
    <x v="8"/>
    <x v="3"/>
    <x v="11"/>
    <n v="5994"/>
    <x v="2"/>
    <x v="1"/>
  </r>
  <r>
    <d v="2024-03-12T00:00:00"/>
    <x v="685"/>
    <x v="2"/>
    <x v="11"/>
    <x v="8"/>
    <x v="3"/>
    <x v="4"/>
    <n v="5994"/>
    <x v="2"/>
    <x v="1"/>
  </r>
  <r>
    <d v="2024-03-17T00:00:00"/>
    <x v="686"/>
    <x v="2"/>
    <x v="11"/>
    <x v="8"/>
    <x v="2"/>
    <x v="5"/>
    <n v="5994"/>
    <x v="2"/>
    <x v="1"/>
  </r>
  <r>
    <d v="2022-05-17T00:00:00"/>
    <x v="687"/>
    <x v="0"/>
    <x v="3"/>
    <x v="5"/>
    <x v="5"/>
    <x v="12"/>
    <n v="3854"/>
    <x v="4"/>
    <x v="3"/>
  </r>
  <r>
    <d v="2020-12-21T00:00:00"/>
    <x v="688"/>
    <x v="1"/>
    <x v="6"/>
    <x v="7"/>
    <x v="0"/>
    <x v="0"/>
    <n v="7019"/>
    <x v="0"/>
    <x v="4"/>
  </r>
  <r>
    <d v="2021-08-24T00:00:00"/>
    <x v="689"/>
    <x v="0"/>
    <x v="3"/>
    <x v="1"/>
    <x v="2"/>
    <x v="5"/>
    <n v="5954"/>
    <x v="3"/>
    <x v="1"/>
  </r>
  <r>
    <d v="2022-10-22T00:00:00"/>
    <x v="690"/>
    <x v="0"/>
    <x v="3"/>
    <x v="1"/>
    <x v="4"/>
    <x v="8"/>
    <n v="5954"/>
    <x v="3"/>
    <x v="1"/>
  </r>
  <r>
    <d v="2024-02-21T00:00:00"/>
    <x v="691"/>
    <x v="2"/>
    <x v="11"/>
    <x v="0"/>
    <x v="2"/>
    <x v="7"/>
    <n v="9752"/>
    <x v="1"/>
    <x v="0"/>
  </r>
  <r>
    <d v="2022-10-31T00:00:00"/>
    <x v="692"/>
    <x v="2"/>
    <x v="11"/>
    <x v="0"/>
    <x v="1"/>
    <x v="17"/>
    <n v="9752"/>
    <x v="1"/>
    <x v="0"/>
  </r>
  <r>
    <d v="2022-05-15T00:00:00"/>
    <x v="693"/>
    <x v="0"/>
    <x v="0"/>
    <x v="7"/>
    <x v="2"/>
    <x v="5"/>
    <n v="5335"/>
    <x v="4"/>
    <x v="1"/>
  </r>
  <r>
    <d v="2022-07-22T00:00:00"/>
    <x v="694"/>
    <x v="0"/>
    <x v="0"/>
    <x v="12"/>
    <x v="2"/>
    <x v="7"/>
    <n v="1454"/>
    <x v="3"/>
    <x v="2"/>
  </r>
  <r>
    <d v="2021-12-13T00:00:00"/>
    <x v="695"/>
    <x v="2"/>
    <x v="11"/>
    <x v="5"/>
    <x v="3"/>
    <x v="11"/>
    <n v="6724"/>
    <x v="4"/>
    <x v="4"/>
  </r>
  <r>
    <d v="2021-06-03T00:00:00"/>
    <x v="696"/>
    <x v="2"/>
    <x v="11"/>
    <x v="5"/>
    <x v="4"/>
    <x v="8"/>
    <n v="6724"/>
    <x v="4"/>
    <x v="4"/>
  </r>
  <r>
    <d v="2025-02-24T00:00:00"/>
    <x v="697"/>
    <x v="1"/>
    <x v="9"/>
    <x v="15"/>
    <x v="5"/>
    <x v="14"/>
    <n v="9874"/>
    <x v="2"/>
    <x v="0"/>
  </r>
  <r>
    <d v="2023-02-02T00:00:00"/>
    <x v="698"/>
    <x v="0"/>
    <x v="10"/>
    <x v="18"/>
    <x v="0"/>
    <x v="16"/>
    <n v="4918"/>
    <x v="0"/>
    <x v="1"/>
  </r>
  <r>
    <d v="2021-12-31T00:00:00"/>
    <x v="699"/>
    <x v="1"/>
    <x v="8"/>
    <x v="5"/>
    <x v="2"/>
    <x v="5"/>
    <n v="3189"/>
    <x v="3"/>
    <x v="3"/>
  </r>
  <r>
    <d v="2024-06-15T00:00:00"/>
    <x v="700"/>
    <x v="0"/>
    <x v="0"/>
    <x v="11"/>
    <x v="2"/>
    <x v="5"/>
    <n v="2684"/>
    <x v="0"/>
    <x v="3"/>
  </r>
  <r>
    <d v="2022-06-05T00:00:00"/>
    <x v="701"/>
    <x v="0"/>
    <x v="0"/>
    <x v="11"/>
    <x v="2"/>
    <x v="2"/>
    <n v="2684"/>
    <x v="0"/>
    <x v="3"/>
  </r>
  <r>
    <d v="2020-05-11T00:00:00"/>
    <x v="702"/>
    <x v="0"/>
    <x v="0"/>
    <x v="11"/>
    <x v="4"/>
    <x v="8"/>
    <n v="2684"/>
    <x v="0"/>
    <x v="3"/>
  </r>
  <r>
    <d v="2024-02-11T00:00:00"/>
    <x v="703"/>
    <x v="1"/>
    <x v="2"/>
    <x v="0"/>
    <x v="1"/>
    <x v="6"/>
    <n v="7626"/>
    <x v="2"/>
    <x v="4"/>
  </r>
  <r>
    <d v="2020-11-25T00:00:00"/>
    <x v="704"/>
    <x v="1"/>
    <x v="2"/>
    <x v="0"/>
    <x v="5"/>
    <x v="12"/>
    <n v="7626"/>
    <x v="2"/>
    <x v="4"/>
  </r>
  <r>
    <d v="2023-08-12T00:00:00"/>
    <x v="705"/>
    <x v="0"/>
    <x v="1"/>
    <x v="5"/>
    <x v="5"/>
    <x v="13"/>
    <n v="6669"/>
    <x v="0"/>
    <x v="4"/>
  </r>
  <r>
    <d v="2022-05-06T00:00:00"/>
    <x v="706"/>
    <x v="1"/>
    <x v="6"/>
    <x v="16"/>
    <x v="5"/>
    <x v="13"/>
    <n v="6123"/>
    <x v="3"/>
    <x v="4"/>
  </r>
  <r>
    <d v="2024-01-17T00:00:00"/>
    <x v="707"/>
    <x v="1"/>
    <x v="8"/>
    <x v="4"/>
    <x v="3"/>
    <x v="4"/>
    <n v="3265"/>
    <x v="3"/>
    <x v="3"/>
  </r>
  <r>
    <d v="2021-11-24T00:00:00"/>
    <x v="708"/>
    <x v="1"/>
    <x v="6"/>
    <x v="10"/>
    <x v="0"/>
    <x v="3"/>
    <n v="8104"/>
    <x v="4"/>
    <x v="0"/>
  </r>
  <r>
    <d v="2021-10-06T00:00:00"/>
    <x v="709"/>
    <x v="1"/>
    <x v="6"/>
    <x v="10"/>
    <x v="0"/>
    <x v="0"/>
    <n v="8104"/>
    <x v="4"/>
    <x v="0"/>
  </r>
  <r>
    <d v="2025-01-27T00:00:00"/>
    <x v="710"/>
    <x v="1"/>
    <x v="6"/>
    <x v="10"/>
    <x v="3"/>
    <x v="11"/>
    <n v="8104"/>
    <x v="4"/>
    <x v="0"/>
  </r>
  <r>
    <d v="2022-05-23T00:00:00"/>
    <x v="711"/>
    <x v="2"/>
    <x v="4"/>
    <x v="14"/>
    <x v="2"/>
    <x v="2"/>
    <n v="847"/>
    <x v="4"/>
    <x v="2"/>
  </r>
  <r>
    <d v="2023-11-28T00:00:00"/>
    <x v="712"/>
    <x v="2"/>
    <x v="4"/>
    <x v="14"/>
    <x v="4"/>
    <x v="10"/>
    <n v="847"/>
    <x v="4"/>
    <x v="2"/>
  </r>
  <r>
    <d v="2023-01-18T00:00:00"/>
    <x v="713"/>
    <x v="2"/>
    <x v="4"/>
    <x v="14"/>
    <x v="3"/>
    <x v="11"/>
    <n v="847"/>
    <x v="4"/>
    <x v="2"/>
  </r>
  <r>
    <d v="2021-09-06T00:00:00"/>
    <x v="714"/>
    <x v="2"/>
    <x v="11"/>
    <x v="8"/>
    <x v="1"/>
    <x v="17"/>
    <n v="3129"/>
    <x v="1"/>
    <x v="3"/>
  </r>
  <r>
    <d v="2021-09-06T00:00:00"/>
    <x v="714"/>
    <x v="0"/>
    <x v="3"/>
    <x v="19"/>
    <x v="1"/>
    <x v="17"/>
    <n v="7821"/>
    <x v="2"/>
    <x v="4"/>
  </r>
  <r>
    <d v="2021-02-22T00:00:00"/>
    <x v="715"/>
    <x v="0"/>
    <x v="10"/>
    <x v="2"/>
    <x v="1"/>
    <x v="17"/>
    <n v="9498"/>
    <x v="4"/>
    <x v="0"/>
  </r>
  <r>
    <d v="2021-10-06T00:00:00"/>
    <x v="716"/>
    <x v="0"/>
    <x v="10"/>
    <x v="2"/>
    <x v="2"/>
    <x v="5"/>
    <n v="9498"/>
    <x v="4"/>
    <x v="0"/>
  </r>
  <r>
    <d v="2020-06-07T00:00:00"/>
    <x v="717"/>
    <x v="2"/>
    <x v="7"/>
    <x v="18"/>
    <x v="2"/>
    <x v="7"/>
    <n v="5461"/>
    <x v="3"/>
    <x v="1"/>
  </r>
  <r>
    <d v="2024-05-21T00:00:00"/>
    <x v="718"/>
    <x v="2"/>
    <x v="11"/>
    <x v="5"/>
    <x v="4"/>
    <x v="8"/>
    <n v="3084"/>
    <x v="0"/>
    <x v="3"/>
  </r>
  <r>
    <d v="2020-08-05T00:00:00"/>
    <x v="719"/>
    <x v="2"/>
    <x v="7"/>
    <x v="6"/>
    <x v="2"/>
    <x v="2"/>
    <n v="6087"/>
    <x v="4"/>
    <x v="4"/>
  </r>
  <r>
    <d v="2020-10-15T00:00:00"/>
    <x v="720"/>
    <x v="2"/>
    <x v="11"/>
    <x v="16"/>
    <x v="1"/>
    <x v="17"/>
    <n v="611"/>
    <x v="3"/>
    <x v="2"/>
  </r>
  <r>
    <d v="2021-05-15T00:00:00"/>
    <x v="721"/>
    <x v="1"/>
    <x v="6"/>
    <x v="9"/>
    <x v="5"/>
    <x v="14"/>
    <n v="9909"/>
    <x v="4"/>
    <x v="0"/>
  </r>
  <r>
    <d v="2022-01-13T00:00:00"/>
    <x v="722"/>
    <x v="1"/>
    <x v="6"/>
    <x v="9"/>
    <x v="4"/>
    <x v="10"/>
    <n v="9909"/>
    <x v="4"/>
    <x v="0"/>
  </r>
  <r>
    <d v="2023-07-18T00:00:00"/>
    <x v="723"/>
    <x v="2"/>
    <x v="7"/>
    <x v="9"/>
    <x v="5"/>
    <x v="12"/>
    <n v="6485"/>
    <x v="0"/>
    <x v="4"/>
  </r>
  <r>
    <d v="2022-12-08T00:00:00"/>
    <x v="724"/>
    <x v="0"/>
    <x v="3"/>
    <x v="3"/>
    <x v="1"/>
    <x v="6"/>
    <n v="7259"/>
    <x v="3"/>
    <x v="4"/>
  </r>
  <r>
    <d v="2023-04-17T00:00:00"/>
    <x v="725"/>
    <x v="0"/>
    <x v="1"/>
    <x v="9"/>
    <x v="0"/>
    <x v="0"/>
    <n v="3333"/>
    <x v="4"/>
    <x v="3"/>
  </r>
  <r>
    <d v="2020-06-23T00:00:00"/>
    <x v="726"/>
    <x v="2"/>
    <x v="7"/>
    <x v="15"/>
    <x v="1"/>
    <x v="17"/>
    <n v="7786"/>
    <x v="2"/>
    <x v="4"/>
  </r>
  <r>
    <d v="2022-01-20T00:00:00"/>
    <x v="727"/>
    <x v="0"/>
    <x v="10"/>
    <x v="10"/>
    <x v="1"/>
    <x v="6"/>
    <n v="7644"/>
    <x v="1"/>
    <x v="4"/>
  </r>
  <r>
    <d v="2023-11-18T00:00:00"/>
    <x v="728"/>
    <x v="2"/>
    <x v="11"/>
    <x v="0"/>
    <x v="3"/>
    <x v="4"/>
    <n v="1476"/>
    <x v="4"/>
    <x v="2"/>
  </r>
  <r>
    <d v="2022-01-19T00:00:00"/>
    <x v="729"/>
    <x v="2"/>
    <x v="11"/>
    <x v="0"/>
    <x v="3"/>
    <x v="9"/>
    <n v="1476"/>
    <x v="4"/>
    <x v="2"/>
  </r>
  <r>
    <d v="2020-09-21T00:00:00"/>
    <x v="730"/>
    <x v="2"/>
    <x v="7"/>
    <x v="4"/>
    <x v="3"/>
    <x v="11"/>
    <n v="3445"/>
    <x v="2"/>
    <x v="3"/>
  </r>
  <r>
    <d v="2020-09-21T00:00:00"/>
    <x v="730"/>
    <x v="0"/>
    <x v="3"/>
    <x v="6"/>
    <x v="3"/>
    <x v="11"/>
    <n v="9837"/>
    <x v="0"/>
    <x v="0"/>
  </r>
  <r>
    <d v="2021-06-11T00:00:00"/>
    <x v="731"/>
    <x v="2"/>
    <x v="7"/>
    <x v="17"/>
    <x v="3"/>
    <x v="9"/>
    <n v="1314"/>
    <x v="2"/>
    <x v="2"/>
  </r>
  <r>
    <d v="2024-08-07T00:00:00"/>
    <x v="732"/>
    <x v="0"/>
    <x v="3"/>
    <x v="10"/>
    <x v="4"/>
    <x v="8"/>
    <n v="5951"/>
    <x v="1"/>
    <x v="1"/>
  </r>
  <r>
    <d v="2022-07-26T00:00:00"/>
    <x v="733"/>
    <x v="0"/>
    <x v="3"/>
    <x v="10"/>
    <x v="5"/>
    <x v="12"/>
    <n v="5951"/>
    <x v="1"/>
    <x v="1"/>
  </r>
  <r>
    <d v="2024-01-13T00:00:00"/>
    <x v="734"/>
    <x v="0"/>
    <x v="10"/>
    <x v="10"/>
    <x v="3"/>
    <x v="4"/>
    <n v="992"/>
    <x v="0"/>
    <x v="2"/>
  </r>
  <r>
    <d v="2024-01-13T00:00:00"/>
    <x v="734"/>
    <x v="1"/>
    <x v="6"/>
    <x v="9"/>
    <x v="3"/>
    <x v="4"/>
    <n v="4699"/>
    <x v="2"/>
    <x v="1"/>
  </r>
  <r>
    <d v="2021-05-28T00:00:00"/>
    <x v="735"/>
    <x v="0"/>
    <x v="3"/>
    <x v="14"/>
    <x v="5"/>
    <x v="14"/>
    <n v="5557"/>
    <x v="2"/>
    <x v="1"/>
  </r>
  <r>
    <d v="2021-06-13T00:00:00"/>
    <x v="736"/>
    <x v="0"/>
    <x v="0"/>
    <x v="16"/>
    <x v="4"/>
    <x v="8"/>
    <n v="3436"/>
    <x v="3"/>
    <x v="3"/>
  </r>
  <r>
    <d v="2023-04-25T00:00:00"/>
    <x v="737"/>
    <x v="0"/>
    <x v="1"/>
    <x v="13"/>
    <x v="4"/>
    <x v="10"/>
    <n v="9840"/>
    <x v="1"/>
    <x v="0"/>
  </r>
  <r>
    <d v="2021-07-05T00:00:00"/>
    <x v="738"/>
    <x v="1"/>
    <x v="8"/>
    <x v="15"/>
    <x v="3"/>
    <x v="11"/>
    <n v="7620"/>
    <x v="2"/>
    <x v="4"/>
  </r>
  <r>
    <d v="2024-10-12T00:00:00"/>
    <x v="739"/>
    <x v="1"/>
    <x v="8"/>
    <x v="15"/>
    <x v="3"/>
    <x v="11"/>
    <n v="7620"/>
    <x v="2"/>
    <x v="4"/>
  </r>
  <r>
    <d v="2021-10-04T00:00:00"/>
    <x v="740"/>
    <x v="2"/>
    <x v="4"/>
    <x v="0"/>
    <x v="2"/>
    <x v="2"/>
    <n v="4314"/>
    <x v="1"/>
    <x v="1"/>
  </r>
  <r>
    <d v="2024-02-07T00:00:00"/>
    <x v="741"/>
    <x v="0"/>
    <x v="3"/>
    <x v="2"/>
    <x v="5"/>
    <x v="13"/>
    <n v="8851"/>
    <x v="0"/>
    <x v="0"/>
  </r>
  <r>
    <d v="2021-03-05T00:00:00"/>
    <x v="742"/>
    <x v="0"/>
    <x v="3"/>
    <x v="11"/>
    <x v="4"/>
    <x v="15"/>
    <n v="544"/>
    <x v="1"/>
    <x v="2"/>
  </r>
  <r>
    <d v="2023-06-25T00:00:00"/>
    <x v="743"/>
    <x v="0"/>
    <x v="3"/>
    <x v="11"/>
    <x v="2"/>
    <x v="2"/>
    <n v="544"/>
    <x v="1"/>
    <x v="2"/>
  </r>
  <r>
    <d v="2021-08-02T00:00:00"/>
    <x v="744"/>
    <x v="1"/>
    <x v="6"/>
    <x v="12"/>
    <x v="1"/>
    <x v="17"/>
    <n v="537"/>
    <x v="2"/>
    <x v="2"/>
  </r>
  <r>
    <d v="2022-03-17T00:00:00"/>
    <x v="745"/>
    <x v="0"/>
    <x v="3"/>
    <x v="18"/>
    <x v="4"/>
    <x v="10"/>
    <n v="5944"/>
    <x v="2"/>
    <x v="1"/>
  </r>
  <r>
    <d v="2024-02-07T00:00:00"/>
    <x v="746"/>
    <x v="0"/>
    <x v="1"/>
    <x v="9"/>
    <x v="0"/>
    <x v="0"/>
    <n v="2258"/>
    <x v="3"/>
    <x v="3"/>
  </r>
  <r>
    <d v="2022-08-19T00:00:00"/>
    <x v="747"/>
    <x v="0"/>
    <x v="1"/>
    <x v="9"/>
    <x v="3"/>
    <x v="9"/>
    <n v="2258"/>
    <x v="3"/>
    <x v="3"/>
  </r>
  <r>
    <d v="2024-09-19T00:00:00"/>
    <x v="748"/>
    <x v="2"/>
    <x v="7"/>
    <x v="16"/>
    <x v="4"/>
    <x v="15"/>
    <n v="9609"/>
    <x v="1"/>
    <x v="0"/>
  </r>
  <r>
    <d v="2020-04-05T00:00:00"/>
    <x v="749"/>
    <x v="2"/>
    <x v="7"/>
    <x v="16"/>
    <x v="5"/>
    <x v="13"/>
    <n v="9609"/>
    <x v="1"/>
    <x v="0"/>
  </r>
  <r>
    <d v="2023-03-10T00:00:00"/>
    <x v="750"/>
    <x v="0"/>
    <x v="0"/>
    <x v="7"/>
    <x v="4"/>
    <x v="8"/>
    <n v="9952"/>
    <x v="1"/>
    <x v="0"/>
  </r>
  <r>
    <d v="2020-08-10T00:00:00"/>
    <x v="751"/>
    <x v="1"/>
    <x v="8"/>
    <x v="18"/>
    <x v="5"/>
    <x v="12"/>
    <n v="9873"/>
    <x v="3"/>
    <x v="0"/>
  </r>
  <r>
    <d v="2020-04-29T00:00:00"/>
    <x v="752"/>
    <x v="0"/>
    <x v="0"/>
    <x v="7"/>
    <x v="2"/>
    <x v="5"/>
    <n v="3560"/>
    <x v="4"/>
    <x v="3"/>
  </r>
  <r>
    <d v="2023-03-16T00:00:00"/>
    <x v="753"/>
    <x v="0"/>
    <x v="0"/>
    <x v="7"/>
    <x v="1"/>
    <x v="6"/>
    <n v="3560"/>
    <x v="4"/>
    <x v="3"/>
  </r>
  <r>
    <d v="2020-05-04T00:00:00"/>
    <x v="754"/>
    <x v="0"/>
    <x v="10"/>
    <x v="8"/>
    <x v="2"/>
    <x v="2"/>
    <n v="6528"/>
    <x v="1"/>
    <x v="4"/>
  </r>
  <r>
    <d v="2020-05-04T00:00:00"/>
    <x v="754"/>
    <x v="2"/>
    <x v="7"/>
    <x v="2"/>
    <x v="2"/>
    <x v="2"/>
    <n v="8930"/>
    <x v="1"/>
    <x v="0"/>
  </r>
  <r>
    <d v="2024-10-15T00:00:00"/>
    <x v="755"/>
    <x v="1"/>
    <x v="8"/>
    <x v="8"/>
    <x v="0"/>
    <x v="16"/>
    <n v="4521"/>
    <x v="1"/>
    <x v="1"/>
  </r>
  <r>
    <d v="2022-06-09T00:00:00"/>
    <x v="756"/>
    <x v="2"/>
    <x v="7"/>
    <x v="3"/>
    <x v="3"/>
    <x v="9"/>
    <n v="7091"/>
    <x v="3"/>
    <x v="4"/>
  </r>
  <r>
    <d v="2020-07-04T00:00:00"/>
    <x v="349"/>
    <x v="1"/>
    <x v="2"/>
    <x v="17"/>
    <x v="5"/>
    <x v="14"/>
    <n v="2101"/>
    <x v="4"/>
    <x v="3"/>
  </r>
  <r>
    <d v="2023-04-09T00:00:00"/>
    <x v="757"/>
    <x v="1"/>
    <x v="2"/>
    <x v="17"/>
    <x v="1"/>
    <x v="1"/>
    <n v="2101"/>
    <x v="4"/>
    <x v="3"/>
  </r>
  <r>
    <d v="2023-11-24T00:00:00"/>
    <x v="758"/>
    <x v="1"/>
    <x v="8"/>
    <x v="8"/>
    <x v="1"/>
    <x v="1"/>
    <n v="8644"/>
    <x v="1"/>
    <x v="0"/>
  </r>
  <r>
    <d v="2023-11-29T00:00:00"/>
    <x v="759"/>
    <x v="2"/>
    <x v="4"/>
    <x v="15"/>
    <x v="4"/>
    <x v="8"/>
    <n v="6672"/>
    <x v="0"/>
    <x v="4"/>
  </r>
  <r>
    <d v="2024-05-20T00:00:00"/>
    <x v="760"/>
    <x v="2"/>
    <x v="4"/>
    <x v="15"/>
    <x v="3"/>
    <x v="9"/>
    <n v="6672"/>
    <x v="0"/>
    <x v="4"/>
  </r>
  <r>
    <d v="2024-05-21T00:00:00"/>
    <x v="761"/>
    <x v="1"/>
    <x v="9"/>
    <x v="2"/>
    <x v="5"/>
    <x v="13"/>
    <n v="4699"/>
    <x v="0"/>
    <x v="1"/>
  </r>
  <r>
    <d v="2021-12-07T00:00:00"/>
    <x v="762"/>
    <x v="2"/>
    <x v="7"/>
    <x v="1"/>
    <x v="4"/>
    <x v="15"/>
    <n v="4897"/>
    <x v="1"/>
    <x v="1"/>
  </r>
  <r>
    <d v="2025-01-06T00:00:00"/>
    <x v="763"/>
    <x v="2"/>
    <x v="7"/>
    <x v="1"/>
    <x v="5"/>
    <x v="13"/>
    <n v="4897"/>
    <x v="1"/>
    <x v="1"/>
  </r>
  <r>
    <d v="2022-07-13T00:00:00"/>
    <x v="764"/>
    <x v="2"/>
    <x v="4"/>
    <x v="1"/>
    <x v="2"/>
    <x v="2"/>
    <n v="5460"/>
    <x v="1"/>
    <x v="1"/>
  </r>
  <r>
    <d v="2020-04-19T00:00:00"/>
    <x v="765"/>
    <x v="2"/>
    <x v="4"/>
    <x v="1"/>
    <x v="5"/>
    <x v="13"/>
    <n v="5460"/>
    <x v="1"/>
    <x v="1"/>
  </r>
  <r>
    <d v="2024-11-14T00:00:00"/>
    <x v="766"/>
    <x v="1"/>
    <x v="6"/>
    <x v="5"/>
    <x v="1"/>
    <x v="6"/>
    <n v="9272"/>
    <x v="0"/>
    <x v="0"/>
  </r>
  <r>
    <d v="2020-04-18T00:00:00"/>
    <x v="767"/>
    <x v="1"/>
    <x v="6"/>
    <x v="5"/>
    <x v="4"/>
    <x v="8"/>
    <n v="9272"/>
    <x v="0"/>
    <x v="0"/>
  </r>
  <r>
    <d v="2023-10-18T00:00:00"/>
    <x v="768"/>
    <x v="1"/>
    <x v="2"/>
    <x v="7"/>
    <x v="4"/>
    <x v="15"/>
    <n v="7870"/>
    <x v="3"/>
    <x v="4"/>
  </r>
  <r>
    <d v="2021-03-21T00:00:00"/>
    <x v="769"/>
    <x v="1"/>
    <x v="2"/>
    <x v="7"/>
    <x v="5"/>
    <x v="14"/>
    <n v="7870"/>
    <x v="3"/>
    <x v="4"/>
  </r>
  <r>
    <d v="2024-09-13T00:00:00"/>
    <x v="770"/>
    <x v="0"/>
    <x v="3"/>
    <x v="2"/>
    <x v="5"/>
    <x v="14"/>
    <n v="7992"/>
    <x v="3"/>
    <x v="4"/>
  </r>
  <r>
    <d v="2023-05-04T00:00:00"/>
    <x v="771"/>
    <x v="0"/>
    <x v="3"/>
    <x v="2"/>
    <x v="2"/>
    <x v="5"/>
    <n v="7992"/>
    <x v="3"/>
    <x v="4"/>
  </r>
  <r>
    <d v="2023-05-31T00:00:00"/>
    <x v="772"/>
    <x v="0"/>
    <x v="3"/>
    <x v="2"/>
    <x v="1"/>
    <x v="1"/>
    <n v="7992"/>
    <x v="3"/>
    <x v="4"/>
  </r>
  <r>
    <d v="2024-06-15T00:00:00"/>
    <x v="773"/>
    <x v="0"/>
    <x v="0"/>
    <x v="9"/>
    <x v="2"/>
    <x v="5"/>
    <n v="6499"/>
    <x v="2"/>
    <x v="4"/>
  </r>
  <r>
    <d v="2021-04-03T00:00:00"/>
    <x v="774"/>
    <x v="0"/>
    <x v="0"/>
    <x v="9"/>
    <x v="0"/>
    <x v="3"/>
    <n v="6499"/>
    <x v="2"/>
    <x v="4"/>
  </r>
  <r>
    <d v="2025-01-14T00:00:00"/>
    <x v="775"/>
    <x v="1"/>
    <x v="2"/>
    <x v="8"/>
    <x v="3"/>
    <x v="9"/>
    <n v="8848"/>
    <x v="1"/>
    <x v="0"/>
  </r>
  <r>
    <d v="2020-12-24T00:00:00"/>
    <x v="776"/>
    <x v="1"/>
    <x v="6"/>
    <x v="16"/>
    <x v="0"/>
    <x v="3"/>
    <n v="8044"/>
    <x v="4"/>
    <x v="0"/>
  </r>
  <r>
    <d v="2022-10-07T00:00:00"/>
    <x v="777"/>
    <x v="1"/>
    <x v="6"/>
    <x v="16"/>
    <x v="3"/>
    <x v="9"/>
    <n v="8044"/>
    <x v="4"/>
    <x v="0"/>
  </r>
  <r>
    <d v="2021-10-05T00:00:00"/>
    <x v="778"/>
    <x v="2"/>
    <x v="11"/>
    <x v="4"/>
    <x v="0"/>
    <x v="16"/>
    <n v="7417"/>
    <x v="4"/>
    <x v="4"/>
  </r>
  <r>
    <d v="2024-12-28T00:00:00"/>
    <x v="779"/>
    <x v="1"/>
    <x v="6"/>
    <x v="16"/>
    <x v="1"/>
    <x v="1"/>
    <n v="3451"/>
    <x v="0"/>
    <x v="3"/>
  </r>
  <r>
    <d v="2022-05-14T00:00:00"/>
    <x v="780"/>
    <x v="0"/>
    <x v="3"/>
    <x v="15"/>
    <x v="4"/>
    <x v="10"/>
    <n v="8531"/>
    <x v="2"/>
    <x v="0"/>
  </r>
  <r>
    <d v="2023-08-19T00:00:00"/>
    <x v="781"/>
    <x v="2"/>
    <x v="7"/>
    <x v="7"/>
    <x v="2"/>
    <x v="5"/>
    <n v="6646"/>
    <x v="1"/>
    <x v="4"/>
  </r>
  <r>
    <d v="2023-07-14T00:00:00"/>
    <x v="782"/>
    <x v="2"/>
    <x v="7"/>
    <x v="7"/>
    <x v="2"/>
    <x v="2"/>
    <n v="6646"/>
    <x v="1"/>
    <x v="4"/>
  </r>
  <r>
    <d v="2023-06-22T00:00:00"/>
    <x v="783"/>
    <x v="0"/>
    <x v="3"/>
    <x v="10"/>
    <x v="4"/>
    <x v="8"/>
    <n v="2553"/>
    <x v="3"/>
    <x v="3"/>
  </r>
  <r>
    <d v="2023-03-21T00:00:00"/>
    <x v="784"/>
    <x v="0"/>
    <x v="10"/>
    <x v="16"/>
    <x v="2"/>
    <x v="5"/>
    <n v="8490"/>
    <x v="3"/>
    <x v="0"/>
  </r>
  <r>
    <d v="2020-12-13T00:00:00"/>
    <x v="785"/>
    <x v="2"/>
    <x v="4"/>
    <x v="16"/>
    <x v="3"/>
    <x v="4"/>
    <n v="2689"/>
    <x v="0"/>
    <x v="3"/>
  </r>
  <r>
    <d v="2024-05-29T00:00:00"/>
    <x v="786"/>
    <x v="2"/>
    <x v="4"/>
    <x v="16"/>
    <x v="0"/>
    <x v="0"/>
    <n v="2689"/>
    <x v="0"/>
    <x v="3"/>
  </r>
  <r>
    <d v="2021-05-25T00:00:00"/>
    <x v="787"/>
    <x v="2"/>
    <x v="4"/>
    <x v="1"/>
    <x v="3"/>
    <x v="11"/>
    <n v="815"/>
    <x v="1"/>
    <x v="2"/>
  </r>
  <r>
    <d v="2024-04-02T00:00:00"/>
    <x v="788"/>
    <x v="1"/>
    <x v="8"/>
    <x v="11"/>
    <x v="4"/>
    <x v="8"/>
    <n v="5024"/>
    <x v="0"/>
    <x v="1"/>
  </r>
  <r>
    <d v="2022-12-03T00:00:00"/>
    <x v="789"/>
    <x v="1"/>
    <x v="8"/>
    <x v="11"/>
    <x v="1"/>
    <x v="17"/>
    <n v="5024"/>
    <x v="0"/>
    <x v="1"/>
  </r>
  <r>
    <d v="2021-07-12T00:00:00"/>
    <x v="790"/>
    <x v="0"/>
    <x v="0"/>
    <x v="9"/>
    <x v="5"/>
    <x v="14"/>
    <n v="8962"/>
    <x v="1"/>
    <x v="0"/>
  </r>
  <r>
    <d v="2020-03-22T00:00:00"/>
    <x v="791"/>
    <x v="0"/>
    <x v="0"/>
    <x v="9"/>
    <x v="1"/>
    <x v="17"/>
    <n v="8962"/>
    <x v="1"/>
    <x v="0"/>
  </r>
  <r>
    <d v="2020-08-09T00:00:00"/>
    <x v="792"/>
    <x v="1"/>
    <x v="9"/>
    <x v="2"/>
    <x v="0"/>
    <x v="3"/>
    <n v="1961"/>
    <x v="0"/>
    <x v="2"/>
  </r>
  <r>
    <d v="2022-02-18T00:00:00"/>
    <x v="793"/>
    <x v="2"/>
    <x v="7"/>
    <x v="15"/>
    <x v="1"/>
    <x v="1"/>
    <n v="526"/>
    <x v="3"/>
    <x v="2"/>
  </r>
  <r>
    <d v="2021-06-14T00:00:00"/>
    <x v="794"/>
    <x v="2"/>
    <x v="11"/>
    <x v="8"/>
    <x v="3"/>
    <x v="11"/>
    <n v="6093"/>
    <x v="1"/>
    <x v="4"/>
  </r>
  <r>
    <d v="2021-03-01T00:00:00"/>
    <x v="795"/>
    <x v="2"/>
    <x v="11"/>
    <x v="8"/>
    <x v="3"/>
    <x v="9"/>
    <n v="6093"/>
    <x v="1"/>
    <x v="4"/>
  </r>
  <r>
    <d v="2023-09-23T00:00:00"/>
    <x v="796"/>
    <x v="0"/>
    <x v="0"/>
    <x v="0"/>
    <x v="4"/>
    <x v="10"/>
    <n v="7699"/>
    <x v="1"/>
    <x v="4"/>
  </r>
  <r>
    <d v="2024-07-31T00:00:00"/>
    <x v="797"/>
    <x v="2"/>
    <x v="4"/>
    <x v="7"/>
    <x v="2"/>
    <x v="5"/>
    <n v="8825"/>
    <x v="1"/>
    <x v="0"/>
  </r>
  <r>
    <d v="2020-06-02T00:00:00"/>
    <x v="798"/>
    <x v="0"/>
    <x v="10"/>
    <x v="17"/>
    <x v="2"/>
    <x v="7"/>
    <n v="2082"/>
    <x v="2"/>
    <x v="3"/>
  </r>
  <r>
    <d v="2022-12-15T00:00:00"/>
    <x v="799"/>
    <x v="0"/>
    <x v="10"/>
    <x v="17"/>
    <x v="4"/>
    <x v="10"/>
    <n v="2082"/>
    <x v="2"/>
    <x v="3"/>
  </r>
  <r>
    <d v="2020-08-07T00:00:00"/>
    <x v="800"/>
    <x v="0"/>
    <x v="10"/>
    <x v="17"/>
    <x v="2"/>
    <x v="2"/>
    <n v="2082"/>
    <x v="2"/>
    <x v="3"/>
  </r>
  <r>
    <d v="2024-10-26T00:00:00"/>
    <x v="801"/>
    <x v="1"/>
    <x v="6"/>
    <x v="19"/>
    <x v="1"/>
    <x v="1"/>
    <n v="914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DFDE4-D27C-4FCC-A76C-9A87D4DD263D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38:J51" firstHeaderRow="1" firstDataRow="1" firstDataCol="1"/>
  <pivotFields count="10">
    <pivotField numFmtId="14" showAll="0"/>
    <pivotField showAll="0"/>
    <pivotField showAll="0"/>
    <pivotField axis="axisRow"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00AB8-5066-4619-ABDE-31F4542A2B4B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31:J35" firstHeaderRow="1" firstDataRow="1" firstDataCol="1"/>
  <pivotFields count="10"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3CDC7-F859-403F-B093-F2C603ABB6B9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6:G44" firstHeaderRow="1" firstDataRow="2" firstDataCol="1"/>
  <pivotFields count="10">
    <pivotField numFmtId="14" showAll="0"/>
    <pivotField showAll="0"/>
    <pivotField showAll="0">
      <items count="4">
        <item x="0"/>
        <item x="2"/>
        <item x="1"/>
        <item t="default"/>
      </items>
    </pivotField>
    <pivotField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dataField="1" showAll="0"/>
    <pivotField axis="axisCol" showAll="0">
      <items count="6">
        <item x="4"/>
        <item x="3"/>
        <item x="1"/>
        <item x="2"/>
        <item x="0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7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D6513-C809-46DC-BA1F-88A16DA81F95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20:N28" firstHeaderRow="1" firstDataRow="2" firstDataCol="1"/>
  <pivotFields count="10">
    <pivotField numFmtId="14"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dataField="1" showAll="0"/>
    <pivotField showAll="0"/>
    <pivotField axis="axisCol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7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6F37A-AF3E-44C1-A35C-2231400B48C2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5:E33" firstHeaderRow="1" firstDataRow="2" firstDataCol="1"/>
  <pivotFields count="10">
    <pivotField numFmtId="14" showAll="0"/>
    <pivotField showAll="0">
      <items count="803">
        <item x="727"/>
        <item x="418"/>
        <item x="289"/>
        <item x="754"/>
        <item x="220"/>
        <item x="75"/>
        <item x="461"/>
        <item x="374"/>
        <item x="205"/>
        <item x="721"/>
        <item x="338"/>
        <item x="525"/>
        <item x="16"/>
        <item x="111"/>
        <item x="379"/>
        <item x="333"/>
        <item x="588"/>
        <item x="622"/>
        <item x="232"/>
        <item x="215"/>
        <item x="632"/>
        <item x="580"/>
        <item x="723"/>
        <item x="778"/>
        <item x="610"/>
        <item x="161"/>
        <item x="148"/>
        <item x="397"/>
        <item x="76"/>
        <item x="733"/>
        <item x="674"/>
        <item x="207"/>
        <item x="101"/>
        <item x="776"/>
        <item x="801"/>
        <item x="41"/>
        <item x="789"/>
        <item x="422"/>
        <item x="231"/>
        <item x="213"/>
        <item x="328"/>
        <item x="604"/>
        <item x="337"/>
        <item x="206"/>
        <item x="350"/>
        <item x="493"/>
        <item x="735"/>
        <item x="664"/>
        <item x="689"/>
        <item x="519"/>
        <item x="196"/>
        <item x="106"/>
        <item x="444"/>
        <item x="239"/>
        <item x="66"/>
        <item x="265"/>
        <item x="698"/>
        <item x="777"/>
        <item x="211"/>
        <item x="535"/>
        <item x="204"/>
        <item x="526"/>
        <item x="516"/>
        <item x="772"/>
        <item x="362"/>
        <item x="746"/>
        <item x="377"/>
        <item x="30"/>
        <item x="675"/>
        <item x="274"/>
        <item x="583"/>
        <item x="27"/>
        <item x="469"/>
        <item x="471"/>
        <item x="159"/>
        <item x="60"/>
        <item x="194"/>
        <item x="247"/>
        <item x="707"/>
        <item x="351"/>
        <item x="457"/>
        <item x="152"/>
        <item x="738"/>
        <item x="508"/>
        <item x="532"/>
        <item x="83"/>
        <item x="366"/>
        <item x="219"/>
        <item x="569"/>
        <item x="335"/>
        <item x="506"/>
        <item x="327"/>
        <item x="69"/>
        <item x="744"/>
        <item x="183"/>
        <item x="195"/>
        <item x="59"/>
        <item x="46"/>
        <item x="701"/>
        <item x="591"/>
        <item x="352"/>
        <item x="527"/>
        <item x="786"/>
        <item x="600"/>
        <item x="685"/>
        <item x="673"/>
        <item x="252"/>
        <item x="61"/>
        <item x="798"/>
        <item x="128"/>
        <item x="225"/>
        <item x="286"/>
        <item x="718"/>
        <item x="531"/>
        <item x="629"/>
        <item x="790"/>
        <item x="432"/>
        <item x="165"/>
        <item x="709"/>
        <item x="714"/>
        <item x="420"/>
        <item x="23"/>
        <item x="132"/>
        <item x="645"/>
        <item x="353"/>
        <item x="360"/>
        <item x="51"/>
        <item x="505"/>
        <item x="137"/>
        <item x="291"/>
        <item x="52"/>
        <item x="732"/>
        <item x="761"/>
        <item x="517"/>
        <item x="541"/>
        <item x="284"/>
        <item x="254"/>
        <item x="81"/>
        <item x="710"/>
        <item x="336"/>
        <item x="29"/>
        <item x="628"/>
        <item x="290"/>
        <item x="657"/>
        <item x="253"/>
        <item x="80"/>
        <item x="178"/>
        <item x="608"/>
        <item x="555"/>
        <item x="398"/>
        <item x="763"/>
        <item x="550"/>
        <item x="658"/>
        <item x="411"/>
        <item x="82"/>
        <item x="436"/>
        <item x="4"/>
        <item x="424"/>
        <item x="235"/>
        <item x="32"/>
        <item x="283"/>
        <item x="156"/>
        <item x="1"/>
        <item x="200"/>
        <item x="187"/>
        <item x="452"/>
        <item x="440"/>
        <item x="378"/>
        <item x="737"/>
        <item x="334"/>
        <item x="55"/>
        <item x="404"/>
        <item x="162"/>
        <item x="523"/>
        <item x="726"/>
        <item x="312"/>
        <item x="499"/>
        <item x="386"/>
        <item x="78"/>
        <item x="773"/>
        <item x="668"/>
        <item x="560"/>
        <item x="390"/>
        <item x="566"/>
        <item x="293"/>
        <item x="87"/>
        <item x="118"/>
        <item x="73"/>
        <item x="755"/>
        <item x="660"/>
        <item x="147"/>
        <item x="203"/>
        <item x="107"/>
        <item x="491"/>
        <item x="534"/>
        <item x="681"/>
        <item x="0"/>
        <item x="34"/>
        <item x="122"/>
        <item x="472"/>
        <item x="173"/>
        <item x="346"/>
        <item x="388"/>
        <item x="509"/>
        <item x="434"/>
        <item x="574"/>
        <item x="683"/>
        <item x="24"/>
        <item x="494"/>
        <item x="695"/>
        <item x="613"/>
        <item x="590"/>
        <item x="445"/>
        <item x="504"/>
        <item x="303"/>
        <item x="373"/>
        <item x="298"/>
        <item x="48"/>
        <item x="11"/>
        <item x="571"/>
        <item x="666"/>
        <item x="47"/>
        <item x="567"/>
        <item x="466"/>
        <item x="752"/>
        <item x="528"/>
        <item x="483"/>
        <item x="529"/>
        <item x="764"/>
        <item x="192"/>
        <item x="236"/>
        <item x="31"/>
        <item x="309"/>
        <item x="578"/>
        <item x="86"/>
        <item x="712"/>
        <item x="45"/>
        <item x="530"/>
        <item x="475"/>
        <item x="359"/>
        <item x="425"/>
        <item x="263"/>
        <item x="105"/>
        <item x="478"/>
        <item x="654"/>
        <item x="659"/>
        <item x="179"/>
        <item x="757"/>
        <item x="547"/>
        <item x="435"/>
        <item x="646"/>
        <item x="576"/>
        <item x="597"/>
        <item x="124"/>
        <item x="753"/>
        <item x="748"/>
        <item x="84"/>
        <item x="408"/>
        <item x="540"/>
        <item x="182"/>
        <item x="745"/>
        <item x="642"/>
        <item x="246"/>
        <item x="35"/>
        <item x="175"/>
        <item x="479"/>
        <item x="136"/>
        <item x="768"/>
        <item x="791"/>
        <item x="720"/>
        <item x="226"/>
        <item x="417"/>
        <item x="548"/>
        <item x="287"/>
        <item x="728"/>
        <item x="103"/>
        <item x="725"/>
        <item x="546"/>
        <item x="17"/>
        <item x="6"/>
        <item x="297"/>
        <item x="342"/>
        <item x="586"/>
        <item x="393"/>
        <item x="180"/>
        <item x="711"/>
        <item x="126"/>
        <item x="323"/>
        <item x="326"/>
        <item x="769"/>
        <item x="181"/>
        <item x="520"/>
        <item x="463"/>
        <item x="774"/>
        <item x="313"/>
        <item x="621"/>
        <item x="149"/>
        <item x="606"/>
        <item x="766"/>
        <item x="585"/>
        <item x="620"/>
        <item x="96"/>
        <item x="89"/>
        <item x="513"/>
        <item x="170"/>
        <item x="780"/>
        <item x="575"/>
        <item x="619"/>
        <item x="545"/>
        <item x="455"/>
        <item x="670"/>
        <item x="63"/>
        <item x="423"/>
        <item x="249"/>
        <item x="142"/>
        <item x="784"/>
        <item x="266"/>
        <item x="498"/>
        <item x="90"/>
        <item x="98"/>
        <item x="603"/>
        <item x="392"/>
        <item x="799"/>
        <item x="449"/>
        <item x="131"/>
        <item x="533"/>
        <item x="730"/>
        <item x="770"/>
        <item x="123"/>
        <item x="522"/>
        <item x="637"/>
        <item x="716"/>
        <item x="775"/>
        <item x="365"/>
        <item x="7"/>
        <item x="56"/>
        <item x="584"/>
        <item x="450"/>
        <item x="693"/>
        <item x="703"/>
        <item x="281"/>
        <item x="145"/>
        <item x="21"/>
        <item x="690"/>
        <item x="650"/>
        <item x="669"/>
        <item x="305"/>
        <item x="308"/>
        <item x="186"/>
        <item x="330"/>
        <item x="276"/>
        <item x="490"/>
        <item x="465"/>
        <item x="662"/>
        <item x="3"/>
        <item x="364"/>
        <item x="760"/>
        <item x="202"/>
        <item x="502"/>
        <item x="115"/>
        <item x="684"/>
        <item x="433"/>
        <item x="587"/>
        <item x="625"/>
        <item x="453"/>
        <item x="39"/>
        <item x="158"/>
        <item x="273"/>
        <item x="278"/>
        <item x="682"/>
        <item x="188"/>
        <item x="562"/>
        <item x="518"/>
        <item x="601"/>
        <item x="765"/>
        <item x="536"/>
        <item x="524"/>
        <item x="692"/>
        <item x="515"/>
        <item x="741"/>
        <item x="759"/>
        <item x="688"/>
        <item x="138"/>
        <item x="15"/>
        <item x="260"/>
        <item x="394"/>
        <item x="256"/>
        <item x="431"/>
        <item x="25"/>
        <item x="468"/>
        <item x="329"/>
        <item x="133"/>
        <item x="652"/>
        <item x="521"/>
        <item x="240"/>
        <item x="172"/>
        <item x="14"/>
        <item x="53"/>
        <item x="150"/>
        <item x="37"/>
        <item x="199"/>
        <item x="605"/>
        <item x="543"/>
        <item x="415"/>
        <item x="568"/>
        <item x="462"/>
        <item x="593"/>
        <item x="361"/>
        <item x="49"/>
        <item x="320"/>
        <item x="454"/>
        <item x="288"/>
        <item x="667"/>
        <item x="376"/>
        <item x="602"/>
        <item x="719"/>
        <item x="402"/>
        <item x="36"/>
        <item x="539"/>
        <item x="631"/>
        <item x="623"/>
        <item x="551"/>
        <item x="497"/>
        <item x="565"/>
        <item x="617"/>
        <item x="639"/>
        <item x="481"/>
        <item x="349"/>
        <item x="129"/>
        <item x="375"/>
        <item x="563"/>
        <item x="119"/>
        <item x="22"/>
        <item x="171"/>
        <item x="724"/>
        <item x="616"/>
        <item x="489"/>
        <item x="221"/>
        <item x="295"/>
        <item x="369"/>
        <item x="416"/>
        <item x="736"/>
        <item x="581"/>
        <item x="110"/>
        <item x="311"/>
        <item x="160"/>
        <item x="384"/>
        <item x="64"/>
        <item x="223"/>
        <item x="208"/>
        <item x="671"/>
        <item x="272"/>
        <item x="767"/>
        <item x="224"/>
        <item x="740"/>
        <item x="428"/>
        <item x="210"/>
        <item x="10"/>
        <item x="507"/>
        <item x="314"/>
        <item x="572"/>
        <item x="100"/>
        <item x="496"/>
        <item x="401"/>
        <item x="762"/>
        <item x="116"/>
        <item x="141"/>
        <item x="655"/>
        <item x="708"/>
        <item x="554"/>
        <item x="371"/>
        <item x="782"/>
        <item x="280"/>
        <item x="255"/>
        <item x="372"/>
        <item x="665"/>
        <item x="482"/>
        <item x="212"/>
        <item x="367"/>
        <item x="486"/>
        <item x="217"/>
        <item x="292"/>
        <item x="50"/>
        <item x="443"/>
        <item x="317"/>
        <item x="185"/>
        <item x="649"/>
        <item x="611"/>
        <item x="751"/>
        <item x="139"/>
        <item x="120"/>
        <item x="648"/>
        <item x="678"/>
        <item x="467"/>
        <item x="341"/>
        <item x="413"/>
        <item x="57"/>
        <item x="114"/>
        <item x="332"/>
        <item x="796"/>
        <item x="264"/>
        <item x="339"/>
        <item x="275"/>
        <item x="596"/>
        <item x="705"/>
        <item x="691"/>
        <item x="109"/>
        <item x="8"/>
        <item x="570"/>
        <item x="739"/>
        <item x="514"/>
        <item x="177"/>
        <item x="495"/>
        <item x="715"/>
        <item x="285"/>
        <item x="598"/>
        <item x="316"/>
        <item x="396"/>
        <item x="446"/>
        <item x="174"/>
        <item x="797"/>
        <item x="633"/>
        <item x="556"/>
        <item x="214"/>
        <item x="700"/>
        <item x="151"/>
        <item x="154"/>
        <item x="300"/>
        <item x="758"/>
        <item x="134"/>
        <item x="33"/>
        <item x="191"/>
        <item x="242"/>
        <item x="319"/>
        <item x="306"/>
        <item x="537"/>
        <item x="74"/>
        <item x="492"/>
        <item x="743"/>
        <item x="370"/>
        <item x="201"/>
        <item x="638"/>
        <item x="458"/>
        <item x="248"/>
        <item x="697"/>
        <item x="197"/>
        <item x="699"/>
        <item x="267"/>
        <item x="88"/>
        <item x="676"/>
        <item x="663"/>
        <item x="40"/>
        <item x="448"/>
        <item x="549"/>
        <item x="258"/>
        <item x="79"/>
        <item x="756"/>
        <item x="261"/>
        <item x="28"/>
        <item x="127"/>
        <item x="262"/>
        <item x="95"/>
        <item x="430"/>
        <item x="193"/>
        <item x="501"/>
        <item x="301"/>
        <item x="259"/>
        <item x="464"/>
        <item x="485"/>
        <item x="251"/>
        <item x="618"/>
        <item x="385"/>
        <item x="65"/>
        <item x="268"/>
        <item x="26"/>
        <item x="184"/>
        <item x="643"/>
        <item x="117"/>
        <item x="696"/>
        <item x="788"/>
        <item x="344"/>
        <item x="230"/>
        <item x="409"/>
        <item x="503"/>
        <item x="85"/>
        <item x="512"/>
        <item x="121"/>
        <item x="146"/>
        <item x="626"/>
        <item x="595"/>
        <item x="781"/>
        <item x="354"/>
        <item x="405"/>
        <item x="383"/>
        <item x="227"/>
        <item x="143"/>
        <item x="321"/>
        <item x="779"/>
        <item x="473"/>
        <item x="661"/>
        <item x="67"/>
        <item x="599"/>
        <item x="13"/>
        <item x="38"/>
        <item x="615"/>
        <item x="794"/>
        <item x="717"/>
        <item x="229"/>
        <item x="451"/>
        <item x="399"/>
        <item x="157"/>
        <item x="167"/>
        <item x="302"/>
        <item x="630"/>
        <item x="168"/>
        <item x="387"/>
        <item x="325"/>
        <item x="296"/>
        <item x="635"/>
        <item x="729"/>
        <item x="644"/>
        <item x="589"/>
        <item x="241"/>
        <item x="93"/>
        <item x="163"/>
        <item x="277"/>
        <item x="381"/>
        <item x="636"/>
        <item x="282"/>
        <item x="144"/>
        <item x="72"/>
        <item x="324"/>
        <item x="12"/>
        <item x="573"/>
        <item x="257"/>
        <item x="355"/>
        <item x="557"/>
        <item x="5"/>
        <item x="315"/>
        <item x="358"/>
        <item x="209"/>
        <item x="542"/>
        <item x="19"/>
        <item x="484"/>
        <item x="447"/>
        <item x="307"/>
        <item x="687"/>
        <item x="607"/>
        <item x="389"/>
        <item x="614"/>
        <item x="477"/>
        <item x="785"/>
        <item x="559"/>
        <item x="2"/>
        <item x="441"/>
        <item x="609"/>
        <item x="343"/>
        <item x="279"/>
        <item x="706"/>
        <item x="395"/>
        <item x="368"/>
        <item x="322"/>
        <item x="656"/>
        <item x="234"/>
        <item x="91"/>
        <item x="680"/>
        <item x="677"/>
        <item x="476"/>
        <item x="310"/>
        <item x="403"/>
        <item x="792"/>
        <item x="244"/>
        <item x="793"/>
        <item x="558"/>
        <item x="216"/>
        <item x="382"/>
        <item x="641"/>
        <item x="749"/>
        <item x="112"/>
        <item x="414"/>
        <item x="198"/>
        <item x="164"/>
        <item x="686"/>
        <item x="340"/>
        <item x="356"/>
        <item x="672"/>
        <item x="651"/>
        <item x="734"/>
        <item x="363"/>
        <item x="104"/>
        <item x="70"/>
        <item x="43"/>
        <item x="427"/>
        <item x="347"/>
        <item x="647"/>
        <item x="270"/>
        <item x="771"/>
        <item x="564"/>
        <item x="582"/>
        <item x="113"/>
        <item x="713"/>
        <item x="511"/>
        <item x="624"/>
        <item x="44"/>
        <item x="238"/>
        <item x="488"/>
        <item x="245"/>
        <item x="20"/>
        <item x="97"/>
        <item x="77"/>
        <item x="407"/>
        <item x="166"/>
        <item x="190"/>
        <item x="439"/>
        <item x="553"/>
        <item x="800"/>
        <item x="380"/>
        <item x="294"/>
        <item x="391"/>
        <item x="747"/>
        <item x="400"/>
        <item x="54"/>
        <item x="438"/>
        <item x="348"/>
        <item x="456"/>
        <item x="426"/>
        <item x="269"/>
        <item x="579"/>
        <item x="795"/>
        <item x="68"/>
        <item x="102"/>
        <item x="552"/>
        <item x="592"/>
        <item x="169"/>
        <item x="345"/>
        <item x="442"/>
        <item x="577"/>
        <item x="412"/>
        <item x="130"/>
        <item x="155"/>
        <item x="510"/>
        <item x="742"/>
        <item x="750"/>
        <item x="487"/>
        <item x="640"/>
        <item x="561"/>
        <item x="722"/>
        <item x="125"/>
        <item x="612"/>
        <item x="140"/>
        <item x="627"/>
        <item x="108"/>
        <item x="480"/>
        <item x="429"/>
        <item x="299"/>
        <item x="500"/>
        <item x="460"/>
        <item x="153"/>
        <item x="250"/>
        <item x="410"/>
        <item x="176"/>
        <item x="92"/>
        <item x="704"/>
        <item x="62"/>
        <item x="437"/>
        <item x="318"/>
        <item x="233"/>
        <item x="18"/>
        <item x="135"/>
        <item x="731"/>
        <item x="42"/>
        <item x="357"/>
        <item x="679"/>
        <item x="99"/>
        <item x="544"/>
        <item x="787"/>
        <item x="470"/>
        <item x="634"/>
        <item x="694"/>
        <item x="421"/>
        <item x="9"/>
        <item x="71"/>
        <item x="222"/>
        <item x="406"/>
        <item x="653"/>
        <item x="783"/>
        <item x="189"/>
        <item x="538"/>
        <item x="331"/>
        <item x="419"/>
        <item x="702"/>
        <item x="228"/>
        <item x="237"/>
        <item x="271"/>
        <item x="218"/>
        <item x="474"/>
        <item x="94"/>
        <item x="304"/>
        <item x="243"/>
        <item x="459"/>
        <item x="58"/>
        <item x="594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dataField="1"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>
      <items count="19">
        <item x="10"/>
        <item x="2"/>
        <item x="1"/>
        <item x="13"/>
        <item x="14"/>
        <item x="12"/>
        <item x="8"/>
        <item x="15"/>
        <item x="4"/>
        <item x="0"/>
        <item x="5"/>
        <item x="3"/>
        <item x="17"/>
        <item x="7"/>
        <item x="9"/>
        <item x="11"/>
        <item x="6"/>
        <item x="16"/>
        <item t="default"/>
      </items>
    </pivotField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Quantity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AD2F2-DF07-4E2C-96D3-D1F7E49F548F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3:E21" firstHeaderRow="1" firstDataRow="2" firstDataCol="1"/>
  <pivotFields count="10"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dataField="1"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Amount" fld="7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E66A-BD58-4630-BB18-83E7EEB8473B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3:I16" firstHeaderRow="1" firstDataRow="1" firstDataCol="1"/>
  <pivotFields count="10">
    <pivotField numFmtId="14" showAll="0"/>
    <pivotField showAll="0"/>
    <pivotField showAll="0"/>
    <pivotField axis="axisRow"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>
      <items count="21">
        <item x="6"/>
        <item x="11"/>
        <item x="16"/>
        <item x="15"/>
        <item x="0"/>
        <item x="10"/>
        <item x="18"/>
        <item x="17"/>
        <item x="8"/>
        <item x="3"/>
        <item x="13"/>
        <item x="2"/>
        <item x="19"/>
        <item x="1"/>
        <item x="7"/>
        <item x="4"/>
        <item x="14"/>
        <item x="9"/>
        <item x="5"/>
        <item x="12"/>
        <item t="default"/>
      </items>
    </pivotField>
    <pivotField showAll="0"/>
    <pivotField showAll="0"/>
    <pivotField dataField="1" showAll="0"/>
    <pivotField showAll="0">
      <items count="6">
        <item x="4"/>
        <item x="3"/>
        <item x="1"/>
        <item x="2"/>
        <item x="0"/>
        <item t="default"/>
      </items>
    </pivotField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B6D31-7A3C-4B6B-9A59-294FAE369689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10" firstHeaderRow="1" firstDataRow="2" firstDataCol="1"/>
  <pivotFields count="10"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Amount" fld="7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68336-46E8-4B1E-AD59-6E4546B92AA5}" name="Table1" displayName="Table1" ref="A1:J1195" totalsRowShown="0" headerRowDxfId="14" dataDxfId="12" headerRowBorderDxfId="13" tableBorderDxfId="11" totalsRowBorderDxfId="10">
  <autoFilter ref="A1:J1195" xr:uid="{3A468336-46E8-4B1E-AD59-6E4546B92AA5}"/>
  <tableColumns count="10">
    <tableColumn id="1" xr3:uid="{DF252EF1-1F62-4AD6-A5AE-FCB247E518BC}" name="Order Date" dataDxfId="9"/>
    <tableColumn id="2" xr3:uid="{5B92D812-D42A-4A98-BAA6-E29BF699D6A1}" name="CustomerName" dataDxfId="8"/>
    <tableColumn id="3" xr3:uid="{B95D894B-48BB-47D9-8C6E-5889C84AB0A5}" name="Category" dataDxfId="7"/>
    <tableColumn id="4" xr3:uid="{4B5F7F59-8D54-4EE2-81D2-06D9109D44BA}" name="Sub-Category" dataDxfId="6"/>
    <tableColumn id="5" xr3:uid="{D068DA5F-1E80-496D-9053-2D34F0ECEE84}" name="Quantity" dataDxfId="5"/>
    <tableColumn id="6" xr3:uid="{2D2CE391-2976-4753-B2C1-A93543D064DC}" name="State" dataDxfId="4"/>
    <tableColumn id="7" xr3:uid="{76475318-5245-4CD9-A404-E45F6AFA6881}" name="City" dataDxfId="3"/>
    <tableColumn id="8" xr3:uid="{5CB92C24-5F4E-4771-82D4-59F1C8E113EC}" name="Amount" dataDxfId="2"/>
    <tableColumn id="9" xr3:uid="{44A3D526-4A0C-4A19-843C-82309F0822AE}" name="PaymentMode" dataDxfId="1"/>
    <tableColumn id="10" xr3:uid="{CAB3C182-403D-423F-877E-10E7E1AF8317}" name="MEMBERSHIP" dataDxfId="0">
      <calculatedColumnFormula array="1">_xlfn.IFS(H2&gt;8000,"PLATINUM",H2&gt;6000,"GOLD",H2&gt;4000,"SILEVER",H2&gt;2000,"NORMAL",H2&gt;500,"BASIC")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7DB8-B1DF-4EBF-900F-170D30A3B18E}">
  <dimension ref="A1:J1228"/>
  <sheetViews>
    <sheetView tabSelected="1" zoomScaleNormal="100" workbookViewId="0">
      <pane ySplit="1" topLeftCell="A2" activePane="bottomLeft" state="frozen"/>
      <selection pane="bottomLeft" activeCell="F1215" sqref="F1215"/>
    </sheetView>
  </sheetViews>
  <sheetFormatPr defaultRowHeight="14.4" x14ac:dyDescent="0.3"/>
  <cols>
    <col min="1" max="1" width="23.77734375" style="1" customWidth="1"/>
    <col min="2" max="2" width="41.77734375" style="1" customWidth="1"/>
    <col min="3" max="3" width="19.21875" style="1" customWidth="1"/>
    <col min="4" max="4" width="17.44140625" style="1" customWidth="1"/>
    <col min="5" max="5" width="14.5546875" style="1" customWidth="1"/>
    <col min="6" max="6" width="13.44140625" style="1" customWidth="1"/>
    <col min="7" max="7" width="16.88671875" style="1" customWidth="1"/>
    <col min="8" max="8" width="12.6640625" style="1" customWidth="1"/>
    <col min="9" max="9" width="14.77734375" style="1" customWidth="1"/>
    <col min="10" max="10" width="11.5546875" customWidth="1"/>
  </cols>
  <sheetData>
    <row r="1" spans="1:10" ht="15.6" x14ac:dyDescent="0.3">
      <c r="A1" s="3" t="s">
        <v>0</v>
      </c>
      <c r="B1" s="4" t="s">
        <v>1</v>
      </c>
      <c r="C1" s="4" t="s">
        <v>804</v>
      </c>
      <c r="D1" s="4" t="s">
        <v>808</v>
      </c>
      <c r="E1" s="4" t="s">
        <v>821</v>
      </c>
      <c r="F1" s="4" t="s">
        <v>841</v>
      </c>
      <c r="G1" s="4" t="s">
        <v>822</v>
      </c>
      <c r="H1" s="4" t="s">
        <v>848</v>
      </c>
      <c r="I1" s="4" t="s">
        <v>849</v>
      </c>
      <c r="J1" s="5" t="s">
        <v>891</v>
      </c>
    </row>
    <row r="2" spans="1:10" ht="15.6" x14ac:dyDescent="0.3">
      <c r="A2" s="6">
        <v>45104</v>
      </c>
      <c r="B2" s="7" t="s">
        <v>2</v>
      </c>
      <c r="C2" s="7" t="s">
        <v>805</v>
      </c>
      <c r="D2" s="7" t="s">
        <v>809</v>
      </c>
      <c r="E2" s="7">
        <v>5</v>
      </c>
      <c r="F2" s="7" t="s">
        <v>842</v>
      </c>
      <c r="G2" s="7" t="s">
        <v>823</v>
      </c>
      <c r="H2" s="7">
        <v>9726</v>
      </c>
      <c r="I2" s="7" t="s">
        <v>850</v>
      </c>
      <c r="J2" s="8" t="str" cm="1">
        <f t="array" ref="J2">_xlfn.IFS(H2&gt;8000,"PLATINUM",H2&gt;6000,"GOLD",H2&gt;4000,"SILEVER",H2&gt;2000,"NORMAL",H2&gt;500,"BASIC")</f>
        <v>PLATINUM</v>
      </c>
    </row>
    <row r="3" spans="1:10" ht="15.6" x14ac:dyDescent="0.3">
      <c r="A3" s="6">
        <v>45653</v>
      </c>
      <c r="B3" s="7" t="s">
        <v>3</v>
      </c>
      <c r="C3" s="7" t="s">
        <v>805</v>
      </c>
      <c r="D3" s="7" t="s">
        <v>809</v>
      </c>
      <c r="E3" s="7">
        <v>5</v>
      </c>
      <c r="F3" s="7" t="s">
        <v>843</v>
      </c>
      <c r="G3" s="7" t="s">
        <v>824</v>
      </c>
      <c r="H3" s="7">
        <v>9726</v>
      </c>
      <c r="I3" s="7" t="s">
        <v>850</v>
      </c>
      <c r="J3" s="8" t="str" cm="1">
        <f t="array" ref="J3">_xlfn.IFS(H3&gt;8000,"PLATINUM",H3&gt;6000,"GOLD",H3&gt;4000,"SILEVER",H3&gt;2000,"NORMAL",H3&gt;500,"BASIC")</f>
        <v>PLATINUM</v>
      </c>
    </row>
    <row r="4" spans="1:10" ht="15.6" x14ac:dyDescent="0.3">
      <c r="A4" s="6">
        <v>44402</v>
      </c>
      <c r="B4" s="7" t="s">
        <v>4</v>
      </c>
      <c r="C4" s="7" t="s">
        <v>805</v>
      </c>
      <c r="D4" s="7" t="s">
        <v>809</v>
      </c>
      <c r="E4" s="7">
        <v>5</v>
      </c>
      <c r="F4" s="7" t="s">
        <v>844</v>
      </c>
      <c r="G4" s="7" t="s">
        <v>825</v>
      </c>
      <c r="H4" s="7">
        <v>9726</v>
      </c>
      <c r="I4" s="7" t="s">
        <v>850</v>
      </c>
      <c r="J4" s="8" t="str" cm="1">
        <f t="array" ref="J4">_xlfn.IFS(H4&gt;8000,"PLATINUM",H4&gt;6000,"GOLD",H4&gt;4000,"SILEVER",H4&gt;2000,"NORMAL",H4&gt;500,"BASIC")</f>
        <v>PLATINUM</v>
      </c>
    </row>
    <row r="5" spans="1:10" ht="15.6" x14ac:dyDescent="0.3">
      <c r="A5" s="6">
        <v>45104</v>
      </c>
      <c r="B5" s="7" t="s">
        <v>2</v>
      </c>
      <c r="C5" s="7" t="s">
        <v>805</v>
      </c>
      <c r="D5" s="7" t="s">
        <v>810</v>
      </c>
      <c r="E5" s="7">
        <v>14</v>
      </c>
      <c r="F5" s="7" t="s">
        <v>842</v>
      </c>
      <c r="G5" s="7" t="s">
        <v>823</v>
      </c>
      <c r="H5" s="7">
        <v>4975</v>
      </c>
      <c r="I5" s="7" t="s">
        <v>850</v>
      </c>
      <c r="J5" s="8" t="str" cm="1">
        <f t="array" ref="J5">_xlfn.IFS(H5&gt;8000,"PLATINUM",H5&gt;6000,"GOLD",H5&gt;4000,"SILEVER",H5&gt;2000,"NORMAL",H5&gt;500,"BASIC")</f>
        <v>SILEVER</v>
      </c>
    </row>
    <row r="6" spans="1:10" ht="15.6" x14ac:dyDescent="0.3">
      <c r="A6" s="6">
        <v>45653</v>
      </c>
      <c r="B6" s="7" t="s">
        <v>3</v>
      </c>
      <c r="C6" s="7" t="s">
        <v>805</v>
      </c>
      <c r="D6" s="7" t="s">
        <v>810</v>
      </c>
      <c r="E6" s="7">
        <v>14</v>
      </c>
      <c r="F6" s="7" t="s">
        <v>843</v>
      </c>
      <c r="G6" s="7" t="s">
        <v>824</v>
      </c>
      <c r="H6" s="7">
        <v>4975</v>
      </c>
      <c r="I6" s="7" t="s">
        <v>850</v>
      </c>
      <c r="J6" s="8" t="str" cm="1">
        <f t="array" ref="J6">_xlfn.IFS(H6&gt;8000,"PLATINUM",H6&gt;6000,"GOLD",H6&gt;4000,"SILEVER",H6&gt;2000,"NORMAL",H6&gt;500,"BASIC")</f>
        <v>SILEVER</v>
      </c>
    </row>
    <row r="7" spans="1:10" ht="15.6" x14ac:dyDescent="0.3">
      <c r="A7" s="6">
        <v>44402</v>
      </c>
      <c r="B7" s="7" t="s">
        <v>4</v>
      </c>
      <c r="C7" s="7" t="s">
        <v>805</v>
      </c>
      <c r="D7" s="7" t="s">
        <v>810</v>
      </c>
      <c r="E7" s="7">
        <v>14</v>
      </c>
      <c r="F7" s="7" t="s">
        <v>844</v>
      </c>
      <c r="G7" s="7" t="s">
        <v>825</v>
      </c>
      <c r="H7" s="7">
        <v>4975</v>
      </c>
      <c r="I7" s="7" t="s">
        <v>850</v>
      </c>
      <c r="J7" s="8" t="str" cm="1">
        <f t="array" ref="J7">_xlfn.IFS(H7&gt;8000,"PLATINUM",H7&gt;6000,"GOLD",H7&gt;4000,"SILEVER",H7&gt;2000,"NORMAL",H7&gt;500,"BASIC")</f>
        <v>SILEVER</v>
      </c>
    </row>
    <row r="8" spans="1:10" ht="15.6" x14ac:dyDescent="0.3">
      <c r="A8" s="6">
        <v>45423</v>
      </c>
      <c r="B8" s="7" t="s">
        <v>5</v>
      </c>
      <c r="C8" s="7" t="s">
        <v>806</v>
      </c>
      <c r="D8" s="7" t="s">
        <v>811</v>
      </c>
      <c r="E8" s="7">
        <v>12</v>
      </c>
      <c r="F8" s="7" t="s">
        <v>842</v>
      </c>
      <c r="G8" s="7" t="s">
        <v>826</v>
      </c>
      <c r="H8" s="7">
        <v>1525</v>
      </c>
      <c r="I8" s="7" t="s">
        <v>851</v>
      </c>
      <c r="J8" s="8" t="str" cm="1">
        <f t="array" ref="J8">_xlfn.IFS(H8&gt;8000,"PLATINUM",H8&gt;6000,"GOLD",H8&gt;4000,"SILEVER",H8&gt;2000,"NORMAL",H8&gt;500,"BASIC")</f>
        <v>BASIC</v>
      </c>
    </row>
    <row r="9" spans="1:10" ht="15.6" x14ac:dyDescent="0.3">
      <c r="A9" s="6">
        <v>44478</v>
      </c>
      <c r="B9" s="7" t="s">
        <v>6</v>
      </c>
      <c r="C9" s="7" t="s">
        <v>806</v>
      </c>
      <c r="D9" s="7" t="s">
        <v>811</v>
      </c>
      <c r="E9" s="7">
        <v>12</v>
      </c>
      <c r="F9" s="7" t="s">
        <v>842</v>
      </c>
      <c r="G9" s="7" t="s">
        <v>823</v>
      </c>
      <c r="H9" s="7">
        <v>1525</v>
      </c>
      <c r="I9" s="7" t="s">
        <v>851</v>
      </c>
      <c r="J9" s="8" t="str" cm="1">
        <f t="array" ref="J9">_xlfn.IFS(H9&gt;8000,"PLATINUM",H9&gt;6000,"GOLD",H9&gt;4000,"SILEVER",H9&gt;2000,"NORMAL",H9&gt;500,"BASIC")</f>
        <v>BASIC</v>
      </c>
    </row>
    <row r="10" spans="1:10" ht="15.6" x14ac:dyDescent="0.3">
      <c r="A10" s="6">
        <v>44883</v>
      </c>
      <c r="B10" s="7" t="s">
        <v>7</v>
      </c>
      <c r="C10" s="7" t="s">
        <v>805</v>
      </c>
      <c r="D10" s="7" t="s">
        <v>812</v>
      </c>
      <c r="E10" s="7">
        <v>10</v>
      </c>
      <c r="F10" s="7" t="s">
        <v>845</v>
      </c>
      <c r="G10" s="7" t="s">
        <v>827</v>
      </c>
      <c r="H10" s="7">
        <v>883</v>
      </c>
      <c r="I10" s="7" t="s">
        <v>852</v>
      </c>
      <c r="J10" s="8" t="str" cm="1">
        <f t="array" ref="J10">_xlfn.IFS(H10&gt;8000,"PLATINUM",H10&gt;6000,"GOLD",H10&gt;4000,"SILEVER",H10&gt;2000,"NORMAL",H10&gt;500,"BASIC")</f>
        <v>BASIC</v>
      </c>
    </row>
    <row r="11" spans="1:10" ht="15.6" x14ac:dyDescent="0.3">
      <c r="A11" s="6">
        <v>44883</v>
      </c>
      <c r="B11" s="7" t="s">
        <v>7</v>
      </c>
      <c r="C11" s="7" t="s">
        <v>807</v>
      </c>
      <c r="D11" s="7" t="s">
        <v>813</v>
      </c>
      <c r="E11" s="7">
        <v>16</v>
      </c>
      <c r="F11" s="7" t="s">
        <v>845</v>
      </c>
      <c r="G11" s="7" t="s">
        <v>827</v>
      </c>
      <c r="H11" s="7">
        <v>8127</v>
      </c>
      <c r="I11" s="7" t="s">
        <v>853</v>
      </c>
      <c r="J11" s="8" t="str" cm="1">
        <f t="array" ref="J11">_xlfn.IFS(H11&gt;8000,"PLATINUM",H11&gt;6000,"GOLD",H11&gt;4000,"SILEVER",H11&gt;2000,"NORMAL",H11&gt;500,"BASIC")</f>
        <v>PLATINUM</v>
      </c>
    </row>
    <row r="12" spans="1:10" ht="15.6" x14ac:dyDescent="0.3">
      <c r="A12" s="6">
        <v>45242</v>
      </c>
      <c r="B12" s="7" t="s">
        <v>8</v>
      </c>
      <c r="C12" s="7" t="s">
        <v>807</v>
      </c>
      <c r="D12" s="7" t="s">
        <v>814</v>
      </c>
      <c r="E12" s="7">
        <v>19</v>
      </c>
      <c r="F12" s="7" t="s">
        <v>844</v>
      </c>
      <c r="G12" s="7" t="s">
        <v>828</v>
      </c>
      <c r="H12" s="7">
        <v>2516</v>
      </c>
      <c r="I12" s="7" t="s">
        <v>850</v>
      </c>
      <c r="J12" s="8" t="str" cm="1">
        <f t="array" ref="J12">_xlfn.IFS(H12&gt;8000,"PLATINUM",H12&gt;6000,"GOLD",H12&gt;4000,"SILEVER",H12&gt;2000,"NORMAL",H12&gt;500,"BASIC")</f>
        <v>NORMAL</v>
      </c>
    </row>
    <row r="13" spans="1:10" ht="15.6" x14ac:dyDescent="0.3">
      <c r="A13" s="6">
        <v>43913</v>
      </c>
      <c r="B13" s="7" t="s">
        <v>9</v>
      </c>
      <c r="C13" s="7" t="s">
        <v>806</v>
      </c>
      <c r="D13" s="7" t="s">
        <v>811</v>
      </c>
      <c r="E13" s="7">
        <v>14</v>
      </c>
      <c r="F13" s="7" t="s">
        <v>844</v>
      </c>
      <c r="G13" s="7" t="s">
        <v>828</v>
      </c>
      <c r="H13" s="7">
        <v>2975</v>
      </c>
      <c r="I13" s="7" t="s">
        <v>853</v>
      </c>
      <c r="J13" s="8" t="str" cm="1">
        <f t="array" ref="J13">_xlfn.IFS(H13&gt;8000,"PLATINUM",H13&gt;6000,"GOLD",H13&gt;4000,"SILEVER",H13&gt;2000,"NORMAL",H13&gt;500,"BASIC")</f>
        <v>NORMAL</v>
      </c>
    </row>
    <row r="14" spans="1:10" ht="15.6" x14ac:dyDescent="0.3">
      <c r="A14" s="6">
        <v>43955</v>
      </c>
      <c r="B14" s="7" t="s">
        <v>10</v>
      </c>
      <c r="C14" s="7" t="s">
        <v>806</v>
      </c>
      <c r="D14" s="7" t="s">
        <v>815</v>
      </c>
      <c r="E14" s="7">
        <v>1</v>
      </c>
      <c r="F14" s="7" t="s">
        <v>842</v>
      </c>
      <c r="G14" s="7" t="s">
        <v>826</v>
      </c>
      <c r="H14" s="7">
        <v>6851</v>
      </c>
      <c r="I14" s="7" t="s">
        <v>851</v>
      </c>
      <c r="J14" s="8" t="str" cm="1">
        <f t="array" ref="J14">_xlfn.IFS(H14&gt;8000,"PLATINUM",H14&gt;6000,"GOLD",H14&gt;4000,"SILEVER",H14&gt;2000,"NORMAL",H14&gt;500,"BASIC")</f>
        <v>GOLD</v>
      </c>
    </row>
    <row r="15" spans="1:10" ht="15.6" x14ac:dyDescent="0.3">
      <c r="A15" s="6">
        <v>43955</v>
      </c>
      <c r="B15" s="7" t="s">
        <v>10</v>
      </c>
      <c r="C15" s="7" t="s">
        <v>807</v>
      </c>
      <c r="D15" s="7" t="s">
        <v>816</v>
      </c>
      <c r="E15" s="7">
        <v>15</v>
      </c>
      <c r="F15" s="7" t="s">
        <v>842</v>
      </c>
      <c r="G15" s="7" t="s">
        <v>826</v>
      </c>
      <c r="H15" s="7">
        <v>7626</v>
      </c>
      <c r="I15" s="7" t="s">
        <v>853</v>
      </c>
      <c r="J15" s="8" t="str" cm="1">
        <f t="array" ref="J15">_xlfn.IFS(H15&gt;8000,"PLATINUM",H15&gt;6000,"GOLD",H15&gt;4000,"SILEVER",H15&gt;2000,"NORMAL",H15&gt;500,"BASIC")</f>
        <v>GOLD</v>
      </c>
    </row>
    <row r="16" spans="1:10" ht="15.6" x14ac:dyDescent="0.3">
      <c r="A16" s="6">
        <v>43955</v>
      </c>
      <c r="B16" s="7" t="s">
        <v>10</v>
      </c>
      <c r="C16" s="7" t="s">
        <v>807</v>
      </c>
      <c r="D16" s="7" t="s">
        <v>813</v>
      </c>
      <c r="E16" s="7">
        <v>9</v>
      </c>
      <c r="F16" s="7" t="s">
        <v>842</v>
      </c>
      <c r="G16" s="7" t="s">
        <v>826</v>
      </c>
      <c r="H16" s="7">
        <v>1023</v>
      </c>
      <c r="I16" s="7" t="s">
        <v>850</v>
      </c>
      <c r="J16" s="8" t="str" cm="1">
        <f t="array" ref="J16">_xlfn.IFS(H16&gt;8000,"PLATINUM",H16&gt;6000,"GOLD",H16&gt;4000,"SILEVER",H16&gt;2000,"NORMAL",H16&gt;500,"BASIC")</f>
        <v>BASIC</v>
      </c>
    </row>
    <row r="17" spans="1:10" ht="15.6" x14ac:dyDescent="0.3">
      <c r="A17" s="6">
        <v>45239</v>
      </c>
      <c r="B17" s="7" t="s">
        <v>11</v>
      </c>
      <c r="C17" s="7" t="s">
        <v>806</v>
      </c>
      <c r="D17" s="7" t="s">
        <v>811</v>
      </c>
      <c r="E17" s="7">
        <v>10</v>
      </c>
      <c r="F17" s="7" t="s">
        <v>843</v>
      </c>
      <c r="G17" s="7" t="s">
        <v>829</v>
      </c>
      <c r="H17" s="7">
        <v>7600</v>
      </c>
      <c r="I17" s="7" t="s">
        <v>850</v>
      </c>
      <c r="J17" s="8" t="str" cm="1">
        <f t="array" ref="J17">_xlfn.IFS(H17&gt;8000,"PLATINUM",H17&gt;6000,"GOLD",H17&gt;4000,"SILEVER",H17&gt;2000,"NORMAL",H17&gt;500,"BASIC")</f>
        <v>GOLD</v>
      </c>
    </row>
    <row r="18" spans="1:10" ht="15.6" x14ac:dyDescent="0.3">
      <c r="A18" s="6">
        <v>45239</v>
      </c>
      <c r="B18" s="7" t="s">
        <v>11</v>
      </c>
      <c r="C18" s="7" t="s">
        <v>806</v>
      </c>
      <c r="D18" s="7" t="s">
        <v>817</v>
      </c>
      <c r="E18" s="7">
        <v>18</v>
      </c>
      <c r="F18" s="7" t="s">
        <v>843</v>
      </c>
      <c r="G18" s="7" t="s">
        <v>829</v>
      </c>
      <c r="H18" s="7">
        <v>7501</v>
      </c>
      <c r="I18" s="7" t="s">
        <v>854</v>
      </c>
      <c r="J18" s="8" t="str" cm="1">
        <f t="array" ref="J18">_xlfn.IFS(H18&gt;8000,"PLATINUM",H18&gt;6000,"GOLD",H18&gt;4000,"SILEVER",H18&gt;2000,"NORMAL",H18&gt;500,"BASIC")</f>
        <v>GOLD</v>
      </c>
    </row>
    <row r="19" spans="1:10" ht="15.6" x14ac:dyDescent="0.3">
      <c r="A19" s="6">
        <v>45656</v>
      </c>
      <c r="B19" s="7" t="s">
        <v>12</v>
      </c>
      <c r="C19" s="7" t="s">
        <v>806</v>
      </c>
      <c r="D19" s="7" t="s">
        <v>817</v>
      </c>
      <c r="E19" s="7">
        <v>6</v>
      </c>
      <c r="F19" s="7" t="s">
        <v>844</v>
      </c>
      <c r="G19" s="7" t="s">
        <v>830</v>
      </c>
      <c r="H19" s="7">
        <v>725</v>
      </c>
      <c r="I19" s="7" t="s">
        <v>853</v>
      </c>
      <c r="J19" s="8" t="str" cm="1">
        <f t="array" ref="J19">_xlfn.IFS(H19&gt;8000,"PLATINUM",H19&gt;6000,"GOLD",H19&gt;4000,"SILEVER",H19&gt;2000,"NORMAL",H19&gt;500,"BASIC")</f>
        <v>BASIC</v>
      </c>
    </row>
    <row r="20" spans="1:10" ht="15.6" x14ac:dyDescent="0.3">
      <c r="A20" s="6">
        <v>45656</v>
      </c>
      <c r="B20" s="7" t="s">
        <v>12</v>
      </c>
      <c r="C20" s="7" t="s">
        <v>807</v>
      </c>
      <c r="D20" s="7" t="s">
        <v>813</v>
      </c>
      <c r="E20" s="7">
        <v>2</v>
      </c>
      <c r="F20" s="7" t="s">
        <v>844</v>
      </c>
      <c r="G20" s="7" t="s">
        <v>830</v>
      </c>
      <c r="H20" s="7">
        <v>7201</v>
      </c>
      <c r="I20" s="7" t="s">
        <v>853</v>
      </c>
      <c r="J20" s="8" t="str" cm="1">
        <f t="array" ref="J20">_xlfn.IFS(H20&gt;8000,"PLATINUM",H20&gt;6000,"GOLD",H20&gt;4000,"SILEVER",H20&gt;2000,"NORMAL",H20&gt;500,"BASIC")</f>
        <v>GOLD</v>
      </c>
    </row>
    <row r="21" spans="1:10" ht="15.6" x14ac:dyDescent="0.3">
      <c r="A21" s="6">
        <v>45699</v>
      </c>
      <c r="B21" s="7" t="s">
        <v>13</v>
      </c>
      <c r="C21" s="7" t="s">
        <v>806</v>
      </c>
      <c r="D21" s="7" t="s">
        <v>817</v>
      </c>
      <c r="E21" s="7">
        <v>1</v>
      </c>
      <c r="F21" s="7" t="s">
        <v>846</v>
      </c>
      <c r="G21" s="7" t="s">
        <v>831</v>
      </c>
      <c r="H21" s="7">
        <v>1629</v>
      </c>
      <c r="I21" s="7" t="s">
        <v>850</v>
      </c>
      <c r="J21" s="8" t="str" cm="1">
        <f t="array" ref="J21">_xlfn.IFS(H21&gt;8000,"PLATINUM",H21&gt;6000,"GOLD",H21&gt;4000,"SILEVER",H21&gt;2000,"NORMAL",H21&gt;500,"BASIC")</f>
        <v>BASIC</v>
      </c>
    </row>
    <row r="22" spans="1:10" ht="15.6" x14ac:dyDescent="0.3">
      <c r="A22" s="6">
        <v>45314</v>
      </c>
      <c r="B22" s="7" t="s">
        <v>14</v>
      </c>
      <c r="C22" s="7" t="s">
        <v>806</v>
      </c>
      <c r="D22" s="7" t="s">
        <v>817</v>
      </c>
      <c r="E22" s="7">
        <v>1</v>
      </c>
      <c r="F22" s="7" t="s">
        <v>845</v>
      </c>
      <c r="G22" s="7" t="s">
        <v>832</v>
      </c>
      <c r="H22" s="7">
        <v>1629</v>
      </c>
      <c r="I22" s="7" t="s">
        <v>850</v>
      </c>
      <c r="J22" s="8" t="str" cm="1">
        <f t="array" ref="J22">_xlfn.IFS(H22&gt;8000,"PLATINUM",H22&gt;6000,"GOLD",H22&gt;4000,"SILEVER",H22&gt;2000,"NORMAL",H22&gt;500,"BASIC")</f>
        <v>BASIC</v>
      </c>
    </row>
    <row r="23" spans="1:10" ht="15.6" x14ac:dyDescent="0.3">
      <c r="A23" s="6">
        <v>44163</v>
      </c>
      <c r="B23" s="7" t="s">
        <v>15</v>
      </c>
      <c r="C23" s="7" t="s">
        <v>806</v>
      </c>
      <c r="D23" s="7" t="s">
        <v>818</v>
      </c>
      <c r="E23" s="7">
        <v>19</v>
      </c>
      <c r="F23" s="7" t="s">
        <v>845</v>
      </c>
      <c r="G23" s="7" t="s">
        <v>832</v>
      </c>
      <c r="H23" s="7">
        <v>8971</v>
      </c>
      <c r="I23" s="7" t="s">
        <v>851</v>
      </c>
      <c r="J23" s="8" t="str" cm="1">
        <f t="array" ref="J23">_xlfn.IFS(H23&gt;8000,"PLATINUM",H23&gt;6000,"GOLD",H23&gt;4000,"SILEVER",H23&gt;2000,"NORMAL",H23&gt;500,"BASIC")</f>
        <v>PLATINUM</v>
      </c>
    </row>
    <row r="24" spans="1:10" ht="15.6" x14ac:dyDescent="0.3">
      <c r="A24" s="6">
        <v>44163</v>
      </c>
      <c r="B24" s="7" t="s">
        <v>15</v>
      </c>
      <c r="C24" s="7" t="s">
        <v>806</v>
      </c>
      <c r="D24" s="7" t="s">
        <v>818</v>
      </c>
      <c r="E24" s="7">
        <v>20</v>
      </c>
      <c r="F24" s="7" t="s">
        <v>845</v>
      </c>
      <c r="G24" s="7" t="s">
        <v>832</v>
      </c>
      <c r="H24" s="7">
        <v>2939</v>
      </c>
      <c r="I24" s="7" t="s">
        <v>854</v>
      </c>
      <c r="J24" s="8" t="str" cm="1">
        <f t="array" ref="J24">_xlfn.IFS(H24&gt;8000,"PLATINUM",H24&gt;6000,"GOLD",H24&gt;4000,"SILEVER",H24&gt;2000,"NORMAL",H24&gt;500,"BASIC")</f>
        <v>NORMAL</v>
      </c>
    </row>
    <row r="25" spans="1:10" ht="15.6" x14ac:dyDescent="0.3">
      <c r="A25" s="6">
        <v>45442</v>
      </c>
      <c r="B25" s="7" t="s">
        <v>16</v>
      </c>
      <c r="C25" s="7" t="s">
        <v>805</v>
      </c>
      <c r="D25" s="7" t="s">
        <v>819</v>
      </c>
      <c r="E25" s="7">
        <v>11</v>
      </c>
      <c r="F25" s="7" t="s">
        <v>844</v>
      </c>
      <c r="G25" s="7" t="s">
        <v>830</v>
      </c>
      <c r="H25" s="7">
        <v>9380</v>
      </c>
      <c r="I25" s="7" t="s">
        <v>850</v>
      </c>
      <c r="J25" s="8" t="str" cm="1">
        <f t="array" ref="J25">_xlfn.IFS(H25&gt;8000,"PLATINUM",H25&gt;6000,"GOLD",H25&gt;4000,"SILEVER",H25&gt;2000,"NORMAL",H25&gt;500,"BASIC")</f>
        <v>PLATINUM</v>
      </c>
    </row>
    <row r="26" spans="1:10" ht="15.6" x14ac:dyDescent="0.3">
      <c r="A26" s="6">
        <v>45442</v>
      </c>
      <c r="B26" s="7" t="s">
        <v>16</v>
      </c>
      <c r="C26" s="7" t="s">
        <v>806</v>
      </c>
      <c r="D26" s="7" t="s">
        <v>818</v>
      </c>
      <c r="E26" s="7">
        <v>18</v>
      </c>
      <c r="F26" s="7" t="s">
        <v>844</v>
      </c>
      <c r="G26" s="7" t="s">
        <v>830</v>
      </c>
      <c r="H26" s="7">
        <v>8558</v>
      </c>
      <c r="I26" s="7" t="s">
        <v>853</v>
      </c>
      <c r="J26" s="8" t="str" cm="1">
        <f t="array" ref="J26">_xlfn.IFS(H26&gt;8000,"PLATINUM",H26&gt;6000,"GOLD",H26&gt;4000,"SILEVER",H26&gt;2000,"NORMAL",H26&gt;500,"BASIC")</f>
        <v>PLATINUM</v>
      </c>
    </row>
    <row r="27" spans="1:10" ht="15.6" x14ac:dyDescent="0.3">
      <c r="A27" s="6">
        <v>45442</v>
      </c>
      <c r="B27" s="7" t="s">
        <v>16</v>
      </c>
      <c r="C27" s="7" t="s">
        <v>806</v>
      </c>
      <c r="D27" s="7" t="s">
        <v>817</v>
      </c>
      <c r="E27" s="7">
        <v>17</v>
      </c>
      <c r="F27" s="7" t="s">
        <v>844</v>
      </c>
      <c r="G27" s="7" t="s">
        <v>830</v>
      </c>
      <c r="H27" s="7">
        <v>4080</v>
      </c>
      <c r="I27" s="7" t="s">
        <v>854</v>
      </c>
      <c r="J27" s="8" t="str" cm="1">
        <f t="array" ref="J27">_xlfn.IFS(H27&gt;8000,"PLATINUM",H27&gt;6000,"GOLD",H27&gt;4000,"SILEVER",H27&gt;2000,"NORMAL",H27&gt;500,"BASIC")</f>
        <v>SILEVER</v>
      </c>
    </row>
    <row r="28" spans="1:10" ht="15.6" x14ac:dyDescent="0.3">
      <c r="A28" s="6">
        <v>44584</v>
      </c>
      <c r="B28" s="7" t="s">
        <v>17</v>
      </c>
      <c r="C28" s="7" t="s">
        <v>805</v>
      </c>
      <c r="D28" s="7" t="s">
        <v>809</v>
      </c>
      <c r="E28" s="7">
        <v>17</v>
      </c>
      <c r="F28" s="7" t="s">
        <v>846</v>
      </c>
      <c r="G28" s="7" t="s">
        <v>833</v>
      </c>
      <c r="H28" s="7">
        <v>4206</v>
      </c>
      <c r="I28" s="7" t="s">
        <v>852</v>
      </c>
      <c r="J28" s="8" t="str" cm="1">
        <f t="array" ref="J28">_xlfn.IFS(H28&gt;8000,"PLATINUM",H28&gt;6000,"GOLD",H28&gt;4000,"SILEVER",H28&gt;2000,"NORMAL",H28&gt;500,"BASIC")</f>
        <v>SILEVER</v>
      </c>
    </row>
    <row r="29" spans="1:10" ht="15.6" x14ac:dyDescent="0.3">
      <c r="A29" s="6">
        <v>44547</v>
      </c>
      <c r="B29" s="7" t="s">
        <v>18</v>
      </c>
      <c r="C29" s="7" t="s">
        <v>806</v>
      </c>
      <c r="D29" s="7" t="s">
        <v>818</v>
      </c>
      <c r="E29" s="7">
        <v>20</v>
      </c>
      <c r="F29" s="7" t="s">
        <v>844</v>
      </c>
      <c r="G29" s="7" t="s">
        <v>828</v>
      </c>
      <c r="H29" s="7">
        <v>5219</v>
      </c>
      <c r="I29" s="7" t="s">
        <v>854</v>
      </c>
      <c r="J29" s="8" t="str" cm="1">
        <f t="array" ref="J29">_xlfn.IFS(H29&gt;8000,"PLATINUM",H29&gt;6000,"GOLD",H29&gt;4000,"SILEVER",H29&gt;2000,"NORMAL",H29&gt;500,"BASIC")</f>
        <v>SILEVER</v>
      </c>
    </row>
    <row r="30" spans="1:10" ht="15.6" x14ac:dyDescent="0.3">
      <c r="A30" s="6">
        <v>44960</v>
      </c>
      <c r="B30" s="7" t="s">
        <v>19</v>
      </c>
      <c r="C30" s="7" t="s">
        <v>806</v>
      </c>
      <c r="D30" s="7" t="s">
        <v>818</v>
      </c>
      <c r="E30" s="7">
        <v>20</v>
      </c>
      <c r="F30" s="7" t="s">
        <v>845</v>
      </c>
      <c r="G30" s="7" t="s">
        <v>834</v>
      </c>
      <c r="H30" s="7">
        <v>5219</v>
      </c>
      <c r="I30" s="7" t="s">
        <v>854</v>
      </c>
      <c r="J30" s="8" t="str" cm="1">
        <f t="array" ref="J30">_xlfn.IFS(H30&gt;8000,"PLATINUM",H30&gt;6000,"GOLD",H30&gt;4000,"SILEVER",H30&gt;2000,"NORMAL",H30&gt;500,"BASIC")</f>
        <v>SILEVER</v>
      </c>
    </row>
    <row r="31" spans="1:10" ht="15.6" x14ac:dyDescent="0.3">
      <c r="A31" s="6">
        <v>44864</v>
      </c>
      <c r="B31" s="7" t="s">
        <v>20</v>
      </c>
      <c r="C31" s="7" t="s">
        <v>806</v>
      </c>
      <c r="D31" s="7" t="s">
        <v>811</v>
      </c>
      <c r="E31" s="7">
        <v>20</v>
      </c>
      <c r="F31" s="7" t="s">
        <v>845</v>
      </c>
      <c r="G31" s="7" t="s">
        <v>834</v>
      </c>
      <c r="H31" s="7">
        <v>3686</v>
      </c>
      <c r="I31" s="7" t="s">
        <v>851</v>
      </c>
      <c r="J31" s="8" t="str" cm="1">
        <f t="array" ref="J31">_xlfn.IFS(H31&gt;8000,"PLATINUM",H31&gt;6000,"GOLD",H31&gt;4000,"SILEVER",H31&gt;2000,"NORMAL",H31&gt;500,"BASIC")</f>
        <v>NORMAL</v>
      </c>
    </row>
    <row r="32" spans="1:10" ht="15.6" x14ac:dyDescent="0.3">
      <c r="A32" s="6">
        <v>44576</v>
      </c>
      <c r="B32" s="7" t="s">
        <v>21</v>
      </c>
      <c r="C32" s="7" t="s">
        <v>806</v>
      </c>
      <c r="D32" s="7" t="s">
        <v>811</v>
      </c>
      <c r="E32" s="7">
        <v>20</v>
      </c>
      <c r="F32" s="7" t="s">
        <v>847</v>
      </c>
      <c r="G32" s="7" t="s">
        <v>835</v>
      </c>
      <c r="H32" s="7">
        <v>3686</v>
      </c>
      <c r="I32" s="7" t="s">
        <v>851</v>
      </c>
      <c r="J32" s="8" t="str" cm="1">
        <f t="array" ref="J32">_xlfn.IFS(H32&gt;8000,"PLATINUM",H32&gt;6000,"GOLD",H32&gt;4000,"SILEVER",H32&gt;2000,"NORMAL",H32&gt;500,"BASIC")</f>
        <v>NORMAL</v>
      </c>
    </row>
    <row r="33" spans="1:10" ht="15.6" x14ac:dyDescent="0.3">
      <c r="A33" s="6">
        <v>45274</v>
      </c>
      <c r="B33" s="7" t="s">
        <v>22</v>
      </c>
      <c r="C33" s="7" t="s">
        <v>806</v>
      </c>
      <c r="D33" s="7" t="s">
        <v>817</v>
      </c>
      <c r="E33" s="7">
        <v>4</v>
      </c>
      <c r="F33" s="7" t="s">
        <v>842</v>
      </c>
      <c r="G33" s="7" t="s">
        <v>826</v>
      </c>
      <c r="H33" s="7">
        <v>6045</v>
      </c>
      <c r="I33" s="7" t="s">
        <v>854</v>
      </c>
      <c r="J33" s="8" t="str" cm="1">
        <f t="array" ref="J33">_xlfn.IFS(H33&gt;8000,"PLATINUM",H33&gt;6000,"GOLD",H33&gt;4000,"SILEVER",H33&gt;2000,"NORMAL",H33&gt;500,"BASIC")</f>
        <v>GOLD</v>
      </c>
    </row>
    <row r="34" spans="1:10" ht="15.6" x14ac:dyDescent="0.3">
      <c r="A34" s="6">
        <v>45274</v>
      </c>
      <c r="B34" s="7" t="s">
        <v>22</v>
      </c>
      <c r="C34" s="7" t="s">
        <v>806</v>
      </c>
      <c r="D34" s="7" t="s">
        <v>811</v>
      </c>
      <c r="E34" s="7">
        <v>11</v>
      </c>
      <c r="F34" s="7" t="s">
        <v>842</v>
      </c>
      <c r="G34" s="7" t="s">
        <v>826</v>
      </c>
      <c r="H34" s="7">
        <v>9337</v>
      </c>
      <c r="I34" s="7" t="s">
        <v>854</v>
      </c>
      <c r="J34" s="8" t="str" cm="1">
        <f t="array" ref="J34">_xlfn.IFS(H34&gt;8000,"PLATINUM",H34&gt;6000,"GOLD",H34&gt;4000,"SILEVER",H34&gt;2000,"NORMAL",H34&gt;500,"BASIC")</f>
        <v>PLATINUM</v>
      </c>
    </row>
    <row r="35" spans="1:10" ht="15.6" x14ac:dyDescent="0.3">
      <c r="A35" s="6">
        <v>45110</v>
      </c>
      <c r="B35" s="7" t="s">
        <v>23</v>
      </c>
      <c r="C35" s="7" t="s">
        <v>805</v>
      </c>
      <c r="D35" s="7" t="s">
        <v>819</v>
      </c>
      <c r="E35" s="7">
        <v>12</v>
      </c>
      <c r="F35" s="7" t="s">
        <v>845</v>
      </c>
      <c r="G35" s="7" t="s">
        <v>832</v>
      </c>
      <c r="H35" s="7">
        <v>4051</v>
      </c>
      <c r="I35" s="7" t="s">
        <v>853</v>
      </c>
      <c r="J35" s="8" t="str" cm="1">
        <f t="array" ref="J35">_xlfn.IFS(H35&gt;8000,"PLATINUM",H35&gt;6000,"GOLD",H35&gt;4000,"SILEVER",H35&gt;2000,"NORMAL",H35&gt;500,"BASIC")</f>
        <v>SILEVER</v>
      </c>
    </row>
    <row r="36" spans="1:10" ht="15.6" x14ac:dyDescent="0.3">
      <c r="A36" s="6">
        <v>44324</v>
      </c>
      <c r="B36" s="7" t="s">
        <v>24</v>
      </c>
      <c r="C36" s="7" t="s">
        <v>805</v>
      </c>
      <c r="D36" s="7" t="s">
        <v>819</v>
      </c>
      <c r="E36" s="7">
        <v>12</v>
      </c>
      <c r="F36" s="7" t="s">
        <v>847</v>
      </c>
      <c r="G36" s="7" t="s">
        <v>836</v>
      </c>
      <c r="H36" s="7">
        <v>4051</v>
      </c>
      <c r="I36" s="7" t="s">
        <v>853</v>
      </c>
      <c r="J36" s="8" t="str" cm="1">
        <f t="array" ref="J36">_xlfn.IFS(H36&gt;8000,"PLATINUM",H36&gt;6000,"GOLD",H36&gt;4000,"SILEVER",H36&gt;2000,"NORMAL",H36&gt;500,"BASIC")</f>
        <v>SILEVER</v>
      </c>
    </row>
    <row r="37" spans="1:10" ht="15.6" x14ac:dyDescent="0.3">
      <c r="A37" s="6">
        <v>45110</v>
      </c>
      <c r="B37" s="7" t="s">
        <v>23</v>
      </c>
      <c r="C37" s="7" t="s">
        <v>807</v>
      </c>
      <c r="D37" s="7" t="s">
        <v>820</v>
      </c>
      <c r="E37" s="7">
        <v>11</v>
      </c>
      <c r="F37" s="7" t="s">
        <v>845</v>
      </c>
      <c r="G37" s="7" t="s">
        <v>832</v>
      </c>
      <c r="H37" s="7">
        <v>5011</v>
      </c>
      <c r="I37" s="7" t="s">
        <v>853</v>
      </c>
      <c r="J37" s="8" t="str" cm="1">
        <f t="array" ref="J37">_xlfn.IFS(H37&gt;8000,"PLATINUM",H37&gt;6000,"GOLD",H37&gt;4000,"SILEVER",H37&gt;2000,"NORMAL",H37&gt;500,"BASIC")</f>
        <v>SILEVER</v>
      </c>
    </row>
    <row r="38" spans="1:10" ht="15.6" x14ac:dyDescent="0.3">
      <c r="A38" s="6">
        <v>44324</v>
      </c>
      <c r="B38" s="7" t="s">
        <v>24</v>
      </c>
      <c r="C38" s="7" t="s">
        <v>807</v>
      </c>
      <c r="D38" s="7" t="s">
        <v>820</v>
      </c>
      <c r="E38" s="7">
        <v>11</v>
      </c>
      <c r="F38" s="7" t="s">
        <v>847</v>
      </c>
      <c r="G38" s="7" t="s">
        <v>836</v>
      </c>
      <c r="H38" s="7">
        <v>5011</v>
      </c>
      <c r="I38" s="7" t="s">
        <v>853</v>
      </c>
      <c r="J38" s="8" t="str" cm="1">
        <f t="array" ref="J38">_xlfn.IFS(H38&gt;8000,"PLATINUM",H38&gt;6000,"GOLD",H38&gt;4000,"SILEVER",H38&gt;2000,"NORMAL",H38&gt;500,"BASIC")</f>
        <v>SILEVER</v>
      </c>
    </row>
    <row r="39" spans="1:10" ht="15.6" x14ac:dyDescent="0.3">
      <c r="A39" s="6">
        <v>44841</v>
      </c>
      <c r="B39" s="7" t="s">
        <v>25</v>
      </c>
      <c r="C39" s="7" t="s">
        <v>807</v>
      </c>
      <c r="D39" s="7" t="s">
        <v>816</v>
      </c>
      <c r="E39" s="7">
        <v>15</v>
      </c>
      <c r="F39" s="7" t="s">
        <v>842</v>
      </c>
      <c r="G39" s="7" t="s">
        <v>826</v>
      </c>
      <c r="H39" s="7">
        <v>3958</v>
      </c>
      <c r="I39" s="7" t="s">
        <v>852</v>
      </c>
      <c r="J39" s="8" t="str" cm="1">
        <f t="array" ref="J39">_xlfn.IFS(H39&gt;8000,"PLATINUM",H39&gt;6000,"GOLD",H39&gt;4000,"SILEVER",H39&gt;2000,"NORMAL",H39&gt;500,"BASIC")</f>
        <v>NORMAL</v>
      </c>
    </row>
    <row r="40" spans="1:10" ht="15.6" x14ac:dyDescent="0.3">
      <c r="A40" s="6">
        <v>44841</v>
      </c>
      <c r="B40" s="7" t="s">
        <v>25</v>
      </c>
      <c r="C40" s="7" t="s">
        <v>807</v>
      </c>
      <c r="D40" s="7" t="s">
        <v>813</v>
      </c>
      <c r="E40" s="7">
        <v>1</v>
      </c>
      <c r="F40" s="7" t="s">
        <v>842</v>
      </c>
      <c r="G40" s="7" t="s">
        <v>826</v>
      </c>
      <c r="H40" s="7">
        <v>3132</v>
      </c>
      <c r="I40" s="7" t="s">
        <v>851</v>
      </c>
      <c r="J40" s="8" t="str" cm="1">
        <f t="array" ref="J40">_xlfn.IFS(H40&gt;8000,"PLATINUM",H40&gt;6000,"GOLD",H40&gt;4000,"SILEVER",H40&gt;2000,"NORMAL",H40&gt;500,"BASIC")</f>
        <v>NORMAL</v>
      </c>
    </row>
    <row r="41" spans="1:10" ht="15.6" x14ac:dyDescent="0.3">
      <c r="A41" s="6">
        <v>45510</v>
      </c>
      <c r="B41" s="7" t="s">
        <v>26</v>
      </c>
      <c r="C41" s="7" t="s">
        <v>806</v>
      </c>
      <c r="D41" s="7" t="s">
        <v>815</v>
      </c>
      <c r="E41" s="7">
        <v>12</v>
      </c>
      <c r="F41" s="7" t="s">
        <v>845</v>
      </c>
      <c r="G41" s="7" t="s">
        <v>834</v>
      </c>
      <c r="H41" s="7">
        <v>7784</v>
      </c>
      <c r="I41" s="7" t="s">
        <v>850</v>
      </c>
      <c r="J41" s="8" t="str" cm="1">
        <f t="array" ref="J41">_xlfn.IFS(H41&gt;8000,"PLATINUM",H41&gt;6000,"GOLD",H41&gt;4000,"SILEVER",H41&gt;2000,"NORMAL",H41&gt;500,"BASIC")</f>
        <v>GOLD</v>
      </c>
    </row>
    <row r="42" spans="1:10" ht="15.6" x14ac:dyDescent="0.3">
      <c r="A42" s="6">
        <v>45510</v>
      </c>
      <c r="B42" s="7" t="s">
        <v>26</v>
      </c>
      <c r="C42" s="7" t="s">
        <v>806</v>
      </c>
      <c r="D42" s="7" t="s">
        <v>811</v>
      </c>
      <c r="E42" s="7">
        <v>3</v>
      </c>
      <c r="F42" s="7" t="s">
        <v>845</v>
      </c>
      <c r="G42" s="7" t="s">
        <v>834</v>
      </c>
      <c r="H42" s="7">
        <v>5591</v>
      </c>
      <c r="I42" s="7" t="s">
        <v>854</v>
      </c>
      <c r="J42" s="8" t="str" cm="1">
        <f t="array" ref="J42">_xlfn.IFS(H42&gt;8000,"PLATINUM",H42&gt;6000,"GOLD",H42&gt;4000,"SILEVER",H42&gt;2000,"NORMAL",H42&gt;500,"BASIC")</f>
        <v>SILEVER</v>
      </c>
    </row>
    <row r="43" spans="1:10" ht="15.6" x14ac:dyDescent="0.3">
      <c r="A43" s="6">
        <v>45510</v>
      </c>
      <c r="B43" s="7" t="s">
        <v>26</v>
      </c>
      <c r="C43" s="7" t="s">
        <v>805</v>
      </c>
      <c r="D43" s="7" t="s">
        <v>809</v>
      </c>
      <c r="E43" s="7">
        <v>12</v>
      </c>
      <c r="F43" s="7" t="s">
        <v>845</v>
      </c>
      <c r="G43" s="7" t="s">
        <v>834</v>
      </c>
      <c r="H43" s="7">
        <v>5122</v>
      </c>
      <c r="I43" s="7" t="s">
        <v>854</v>
      </c>
      <c r="J43" s="8" t="str" cm="1">
        <f t="array" ref="J43">_xlfn.IFS(H43&gt;8000,"PLATINUM",H43&gt;6000,"GOLD",H43&gt;4000,"SILEVER",H43&gt;2000,"NORMAL",H43&gt;500,"BASIC")</f>
        <v>SILEVER</v>
      </c>
    </row>
    <row r="44" spans="1:10" ht="15.6" x14ac:dyDescent="0.3">
      <c r="A44" s="6">
        <v>44566</v>
      </c>
      <c r="B44" s="7" t="s">
        <v>27</v>
      </c>
      <c r="C44" s="7" t="s">
        <v>806</v>
      </c>
      <c r="D44" s="7" t="s">
        <v>818</v>
      </c>
      <c r="E44" s="7">
        <v>8</v>
      </c>
      <c r="F44" s="7" t="s">
        <v>847</v>
      </c>
      <c r="G44" s="7" t="s">
        <v>837</v>
      </c>
      <c r="H44" s="7">
        <v>8293</v>
      </c>
      <c r="I44" s="7" t="s">
        <v>854</v>
      </c>
      <c r="J44" s="8" t="str" cm="1">
        <f t="array" ref="J44">_xlfn.IFS(H44&gt;8000,"PLATINUM",H44&gt;6000,"GOLD",H44&gt;4000,"SILEVER",H44&gt;2000,"NORMAL",H44&gt;500,"BASIC")</f>
        <v>PLATINUM</v>
      </c>
    </row>
    <row r="45" spans="1:10" ht="15.6" x14ac:dyDescent="0.3">
      <c r="A45" s="6">
        <v>44121</v>
      </c>
      <c r="B45" s="7" t="s">
        <v>28</v>
      </c>
      <c r="C45" s="7" t="s">
        <v>806</v>
      </c>
      <c r="D45" s="7" t="s">
        <v>818</v>
      </c>
      <c r="E45" s="7">
        <v>8</v>
      </c>
      <c r="F45" s="7" t="s">
        <v>844</v>
      </c>
      <c r="G45" s="7" t="s">
        <v>830</v>
      </c>
      <c r="H45" s="7">
        <v>8293</v>
      </c>
      <c r="I45" s="7" t="s">
        <v>854</v>
      </c>
      <c r="J45" s="8" t="str" cm="1">
        <f t="array" ref="J45">_xlfn.IFS(H45&gt;8000,"PLATINUM",H45&gt;6000,"GOLD",H45&gt;4000,"SILEVER",H45&gt;2000,"NORMAL",H45&gt;500,"BASIC")</f>
        <v>PLATINUM</v>
      </c>
    </row>
    <row r="46" spans="1:10" ht="15.6" x14ac:dyDescent="0.3">
      <c r="A46" s="6">
        <v>45159</v>
      </c>
      <c r="B46" s="7" t="s">
        <v>29</v>
      </c>
      <c r="C46" s="7" t="s">
        <v>806</v>
      </c>
      <c r="D46" s="7" t="s">
        <v>818</v>
      </c>
      <c r="E46" s="7">
        <v>8</v>
      </c>
      <c r="F46" s="7" t="s">
        <v>845</v>
      </c>
      <c r="G46" s="7" t="s">
        <v>827</v>
      </c>
      <c r="H46" s="7">
        <v>8293</v>
      </c>
      <c r="I46" s="7" t="s">
        <v>854</v>
      </c>
      <c r="J46" s="8" t="str" cm="1">
        <f t="array" ref="J46">_xlfn.IFS(H46&gt;8000,"PLATINUM",H46&gt;6000,"GOLD",H46&gt;4000,"SILEVER",H46&gt;2000,"NORMAL",H46&gt;500,"BASIC")</f>
        <v>PLATINUM</v>
      </c>
    </row>
    <row r="47" spans="1:10" ht="15.6" x14ac:dyDescent="0.3">
      <c r="A47" s="6">
        <v>44566</v>
      </c>
      <c r="B47" s="7" t="s">
        <v>27</v>
      </c>
      <c r="C47" s="7" t="s">
        <v>805</v>
      </c>
      <c r="D47" s="7" t="s">
        <v>819</v>
      </c>
      <c r="E47" s="7">
        <v>17</v>
      </c>
      <c r="F47" s="7" t="s">
        <v>847</v>
      </c>
      <c r="G47" s="7" t="s">
        <v>837</v>
      </c>
      <c r="H47" s="7">
        <v>2863</v>
      </c>
      <c r="I47" s="7" t="s">
        <v>850</v>
      </c>
      <c r="J47" s="8" t="str" cm="1">
        <f t="array" ref="J47">_xlfn.IFS(H47&gt;8000,"PLATINUM",H47&gt;6000,"GOLD",H47&gt;4000,"SILEVER",H47&gt;2000,"NORMAL",H47&gt;500,"BASIC")</f>
        <v>NORMAL</v>
      </c>
    </row>
    <row r="48" spans="1:10" ht="15.6" x14ac:dyDescent="0.3">
      <c r="A48" s="6">
        <v>44121</v>
      </c>
      <c r="B48" s="7" t="s">
        <v>28</v>
      </c>
      <c r="C48" s="7" t="s">
        <v>805</v>
      </c>
      <c r="D48" s="7" t="s">
        <v>819</v>
      </c>
      <c r="E48" s="7">
        <v>17</v>
      </c>
      <c r="F48" s="7" t="s">
        <v>844</v>
      </c>
      <c r="G48" s="7" t="s">
        <v>830</v>
      </c>
      <c r="H48" s="7">
        <v>2863</v>
      </c>
      <c r="I48" s="7" t="s">
        <v>850</v>
      </c>
      <c r="J48" s="8" t="str" cm="1">
        <f t="array" ref="J48">_xlfn.IFS(H48&gt;8000,"PLATINUM",H48&gt;6000,"GOLD",H48&gt;4000,"SILEVER",H48&gt;2000,"NORMAL",H48&gt;500,"BASIC")</f>
        <v>NORMAL</v>
      </c>
    </row>
    <row r="49" spans="1:10" ht="15.6" x14ac:dyDescent="0.3">
      <c r="A49" s="6">
        <v>45159</v>
      </c>
      <c r="B49" s="7" t="s">
        <v>29</v>
      </c>
      <c r="C49" s="7" t="s">
        <v>805</v>
      </c>
      <c r="D49" s="7" t="s">
        <v>819</v>
      </c>
      <c r="E49" s="7">
        <v>17</v>
      </c>
      <c r="F49" s="7" t="s">
        <v>845</v>
      </c>
      <c r="G49" s="7" t="s">
        <v>827</v>
      </c>
      <c r="H49" s="7">
        <v>2863</v>
      </c>
      <c r="I49" s="7" t="s">
        <v>850</v>
      </c>
      <c r="J49" s="8" t="str" cm="1">
        <f t="array" ref="J49">_xlfn.IFS(H49&gt;8000,"PLATINUM",H49&gt;6000,"GOLD",H49&gt;4000,"SILEVER",H49&gt;2000,"NORMAL",H49&gt;500,"BASIC")</f>
        <v>NORMAL</v>
      </c>
    </row>
    <row r="50" spans="1:10" ht="15.6" x14ac:dyDescent="0.3">
      <c r="A50" s="6">
        <v>45653</v>
      </c>
      <c r="B50" s="7" t="s">
        <v>30</v>
      </c>
      <c r="C50" s="7" t="s">
        <v>807</v>
      </c>
      <c r="D50" s="7" t="s">
        <v>813</v>
      </c>
      <c r="E50" s="7">
        <v>6</v>
      </c>
      <c r="F50" s="7" t="s">
        <v>845</v>
      </c>
      <c r="G50" s="7" t="s">
        <v>832</v>
      </c>
      <c r="H50" s="7">
        <v>3090</v>
      </c>
      <c r="I50" s="7" t="s">
        <v>852</v>
      </c>
      <c r="J50" s="8" t="str" cm="1">
        <f t="array" ref="J50">_xlfn.IFS(H50&gt;8000,"PLATINUM",H50&gt;6000,"GOLD",H50&gt;4000,"SILEVER",H50&gt;2000,"NORMAL",H50&gt;500,"BASIC")</f>
        <v>NORMAL</v>
      </c>
    </row>
    <row r="51" spans="1:10" ht="15.6" x14ac:dyDescent="0.3">
      <c r="A51" s="6">
        <v>44365</v>
      </c>
      <c r="B51" s="7" t="s">
        <v>31</v>
      </c>
      <c r="C51" s="7" t="s">
        <v>807</v>
      </c>
      <c r="D51" s="7" t="s">
        <v>813</v>
      </c>
      <c r="E51" s="7">
        <v>6</v>
      </c>
      <c r="F51" s="7" t="s">
        <v>847</v>
      </c>
      <c r="G51" s="7" t="s">
        <v>836</v>
      </c>
      <c r="H51" s="7">
        <v>3090</v>
      </c>
      <c r="I51" s="7" t="s">
        <v>852</v>
      </c>
      <c r="J51" s="8" t="str" cm="1">
        <f t="array" ref="J51">_xlfn.IFS(H51&gt;8000,"PLATINUM",H51&gt;6000,"GOLD",H51&gt;4000,"SILEVER",H51&gt;2000,"NORMAL",H51&gt;500,"BASIC")</f>
        <v>NORMAL</v>
      </c>
    </row>
    <row r="52" spans="1:10" ht="15.6" x14ac:dyDescent="0.3">
      <c r="A52" s="6">
        <v>45073</v>
      </c>
      <c r="B52" s="7" t="s">
        <v>32</v>
      </c>
      <c r="C52" s="7" t="s">
        <v>807</v>
      </c>
      <c r="D52" s="7" t="s">
        <v>813</v>
      </c>
      <c r="E52" s="7">
        <v>6</v>
      </c>
      <c r="F52" s="7" t="s">
        <v>846</v>
      </c>
      <c r="G52" s="7" t="s">
        <v>833</v>
      </c>
      <c r="H52" s="7">
        <v>3090</v>
      </c>
      <c r="I52" s="7" t="s">
        <v>852</v>
      </c>
      <c r="J52" s="8" t="str" cm="1">
        <f t="array" ref="J52">_xlfn.IFS(H52&gt;8000,"PLATINUM",H52&gt;6000,"GOLD",H52&gt;4000,"SILEVER",H52&gt;2000,"NORMAL",H52&gt;500,"BASIC")</f>
        <v>NORMAL</v>
      </c>
    </row>
    <row r="53" spans="1:10" ht="15.6" x14ac:dyDescent="0.3">
      <c r="A53" s="6">
        <v>44481</v>
      </c>
      <c r="B53" s="7" t="s">
        <v>33</v>
      </c>
      <c r="C53" s="7" t="s">
        <v>807</v>
      </c>
      <c r="D53" s="7" t="s">
        <v>813</v>
      </c>
      <c r="E53" s="7">
        <v>6</v>
      </c>
      <c r="F53" s="7" t="s">
        <v>846</v>
      </c>
      <c r="G53" s="7" t="s">
        <v>831</v>
      </c>
      <c r="H53" s="7">
        <v>3090</v>
      </c>
      <c r="I53" s="7" t="s">
        <v>852</v>
      </c>
      <c r="J53" s="8" t="str" cm="1">
        <f t="array" ref="J53">_xlfn.IFS(H53&gt;8000,"PLATINUM",H53&gt;6000,"GOLD",H53&gt;4000,"SILEVER",H53&gt;2000,"NORMAL",H53&gt;500,"BASIC")</f>
        <v>NORMAL</v>
      </c>
    </row>
    <row r="54" spans="1:10" ht="15.6" x14ac:dyDescent="0.3">
      <c r="A54" s="6">
        <v>45653</v>
      </c>
      <c r="B54" s="7" t="s">
        <v>30</v>
      </c>
      <c r="C54" s="7" t="s">
        <v>805</v>
      </c>
      <c r="D54" s="7" t="s">
        <v>810</v>
      </c>
      <c r="E54" s="7">
        <v>5</v>
      </c>
      <c r="F54" s="7" t="s">
        <v>845</v>
      </c>
      <c r="G54" s="7" t="s">
        <v>832</v>
      </c>
      <c r="H54" s="7">
        <v>9683</v>
      </c>
      <c r="I54" s="7" t="s">
        <v>850</v>
      </c>
      <c r="J54" s="8" t="str" cm="1">
        <f t="array" ref="J54">_xlfn.IFS(H54&gt;8000,"PLATINUM",H54&gt;6000,"GOLD",H54&gt;4000,"SILEVER",H54&gt;2000,"NORMAL",H54&gt;500,"BASIC")</f>
        <v>PLATINUM</v>
      </c>
    </row>
    <row r="55" spans="1:10" ht="15.6" x14ac:dyDescent="0.3">
      <c r="A55" s="6">
        <v>44365</v>
      </c>
      <c r="B55" s="7" t="s">
        <v>31</v>
      </c>
      <c r="C55" s="7" t="s">
        <v>805</v>
      </c>
      <c r="D55" s="7" t="s">
        <v>810</v>
      </c>
      <c r="E55" s="7">
        <v>5</v>
      </c>
      <c r="F55" s="7" t="s">
        <v>847</v>
      </c>
      <c r="G55" s="7" t="s">
        <v>836</v>
      </c>
      <c r="H55" s="7">
        <v>9683</v>
      </c>
      <c r="I55" s="7" t="s">
        <v>850</v>
      </c>
      <c r="J55" s="8" t="str" cm="1">
        <f t="array" ref="J55">_xlfn.IFS(H55&gt;8000,"PLATINUM",H55&gt;6000,"GOLD",H55&gt;4000,"SILEVER",H55&gt;2000,"NORMAL",H55&gt;500,"BASIC")</f>
        <v>PLATINUM</v>
      </c>
    </row>
    <row r="56" spans="1:10" ht="15.6" x14ac:dyDescent="0.3">
      <c r="A56" s="6">
        <v>45073</v>
      </c>
      <c r="B56" s="7" t="s">
        <v>32</v>
      </c>
      <c r="C56" s="7" t="s">
        <v>805</v>
      </c>
      <c r="D56" s="7" t="s">
        <v>810</v>
      </c>
      <c r="E56" s="7">
        <v>5</v>
      </c>
      <c r="F56" s="7" t="s">
        <v>846</v>
      </c>
      <c r="G56" s="7" t="s">
        <v>833</v>
      </c>
      <c r="H56" s="7">
        <v>9683</v>
      </c>
      <c r="I56" s="7" t="s">
        <v>850</v>
      </c>
      <c r="J56" s="8" t="str" cm="1">
        <f t="array" ref="J56">_xlfn.IFS(H56&gt;8000,"PLATINUM",H56&gt;6000,"GOLD",H56&gt;4000,"SILEVER",H56&gt;2000,"NORMAL",H56&gt;500,"BASIC")</f>
        <v>PLATINUM</v>
      </c>
    </row>
    <row r="57" spans="1:10" ht="15.6" x14ac:dyDescent="0.3">
      <c r="A57" s="6">
        <v>44481</v>
      </c>
      <c r="B57" s="7" t="s">
        <v>33</v>
      </c>
      <c r="C57" s="7" t="s">
        <v>805</v>
      </c>
      <c r="D57" s="7" t="s">
        <v>810</v>
      </c>
      <c r="E57" s="7">
        <v>5</v>
      </c>
      <c r="F57" s="7" t="s">
        <v>846</v>
      </c>
      <c r="G57" s="7" t="s">
        <v>831</v>
      </c>
      <c r="H57" s="7">
        <v>9683</v>
      </c>
      <c r="I57" s="7" t="s">
        <v>850</v>
      </c>
      <c r="J57" s="8" t="str" cm="1">
        <f t="array" ref="J57">_xlfn.IFS(H57&gt;8000,"PLATINUM",H57&gt;6000,"GOLD",H57&gt;4000,"SILEVER",H57&gt;2000,"NORMAL",H57&gt;500,"BASIC")</f>
        <v>PLATINUM</v>
      </c>
    </row>
    <row r="58" spans="1:10" ht="15.6" x14ac:dyDescent="0.3">
      <c r="A58" s="6">
        <v>44823</v>
      </c>
      <c r="B58" s="7" t="s">
        <v>34</v>
      </c>
      <c r="C58" s="7" t="s">
        <v>807</v>
      </c>
      <c r="D58" s="7" t="s">
        <v>813</v>
      </c>
      <c r="E58" s="7">
        <v>18</v>
      </c>
      <c r="F58" s="7" t="s">
        <v>847</v>
      </c>
      <c r="G58" s="7" t="s">
        <v>836</v>
      </c>
      <c r="H58" s="7">
        <v>2463</v>
      </c>
      <c r="I58" s="7" t="s">
        <v>852</v>
      </c>
      <c r="J58" s="8" t="str" cm="1">
        <f t="array" ref="J58">_xlfn.IFS(H58&gt;8000,"PLATINUM",H58&gt;6000,"GOLD",H58&gt;4000,"SILEVER",H58&gt;2000,"NORMAL",H58&gt;500,"BASIC")</f>
        <v>NORMAL</v>
      </c>
    </row>
    <row r="59" spans="1:10" ht="15.6" x14ac:dyDescent="0.3">
      <c r="A59" s="6">
        <v>44645</v>
      </c>
      <c r="B59" s="7" t="s">
        <v>35</v>
      </c>
      <c r="C59" s="7" t="s">
        <v>807</v>
      </c>
      <c r="D59" s="7" t="s">
        <v>816</v>
      </c>
      <c r="E59" s="7">
        <v>12</v>
      </c>
      <c r="F59" s="7" t="s">
        <v>842</v>
      </c>
      <c r="G59" s="7" t="s">
        <v>823</v>
      </c>
      <c r="H59" s="7">
        <v>7811</v>
      </c>
      <c r="I59" s="7" t="s">
        <v>854</v>
      </c>
      <c r="J59" s="8" t="str" cm="1">
        <f t="array" ref="J59">_xlfn.IFS(H59&gt;8000,"PLATINUM",H59&gt;6000,"GOLD",H59&gt;4000,"SILEVER",H59&gt;2000,"NORMAL",H59&gt;500,"BASIC")</f>
        <v>GOLD</v>
      </c>
    </row>
    <row r="60" spans="1:10" ht="15.6" x14ac:dyDescent="0.3">
      <c r="A60" s="6">
        <v>44618</v>
      </c>
      <c r="B60" s="7" t="s">
        <v>36</v>
      </c>
      <c r="C60" s="7" t="s">
        <v>807</v>
      </c>
      <c r="D60" s="7" t="s">
        <v>813</v>
      </c>
      <c r="E60" s="7">
        <v>10</v>
      </c>
      <c r="F60" s="7" t="s">
        <v>842</v>
      </c>
      <c r="G60" s="7" t="s">
        <v>826</v>
      </c>
      <c r="H60" s="7">
        <v>6139</v>
      </c>
      <c r="I60" s="7" t="s">
        <v>851</v>
      </c>
      <c r="J60" s="8" t="str" cm="1">
        <f t="array" ref="J60">_xlfn.IFS(H60&gt;8000,"PLATINUM",H60&gt;6000,"GOLD",H60&gt;4000,"SILEVER",H60&gt;2000,"NORMAL",H60&gt;500,"BASIC")</f>
        <v>GOLD</v>
      </c>
    </row>
    <row r="61" spans="1:10" ht="15.6" x14ac:dyDescent="0.3">
      <c r="A61" s="6">
        <v>44291</v>
      </c>
      <c r="B61" s="7" t="s">
        <v>19</v>
      </c>
      <c r="C61" s="7" t="s">
        <v>807</v>
      </c>
      <c r="D61" s="7" t="s">
        <v>813</v>
      </c>
      <c r="E61" s="7">
        <v>10</v>
      </c>
      <c r="F61" s="7" t="s">
        <v>846</v>
      </c>
      <c r="G61" s="7" t="s">
        <v>838</v>
      </c>
      <c r="H61" s="7">
        <v>6139</v>
      </c>
      <c r="I61" s="7" t="s">
        <v>851</v>
      </c>
      <c r="J61" s="8" t="str" cm="1">
        <f t="array" ref="J61">_xlfn.IFS(H61&gt;8000,"PLATINUM",H61&gt;6000,"GOLD",H61&gt;4000,"SILEVER",H61&gt;2000,"NORMAL",H61&gt;500,"BASIC")</f>
        <v>GOLD</v>
      </c>
    </row>
    <row r="62" spans="1:10" ht="15.6" x14ac:dyDescent="0.3">
      <c r="A62" s="6">
        <v>44618</v>
      </c>
      <c r="B62" s="7" t="s">
        <v>36</v>
      </c>
      <c r="C62" s="7" t="s">
        <v>807</v>
      </c>
      <c r="D62" s="7" t="s">
        <v>814</v>
      </c>
      <c r="E62" s="7">
        <v>3</v>
      </c>
      <c r="F62" s="7" t="s">
        <v>842</v>
      </c>
      <c r="G62" s="7" t="s">
        <v>826</v>
      </c>
      <c r="H62" s="7">
        <v>8636</v>
      </c>
      <c r="I62" s="7" t="s">
        <v>854</v>
      </c>
      <c r="J62" s="8" t="str" cm="1">
        <f t="array" ref="J62">_xlfn.IFS(H62&gt;8000,"PLATINUM",H62&gt;6000,"GOLD",H62&gt;4000,"SILEVER",H62&gt;2000,"NORMAL",H62&gt;500,"BASIC")</f>
        <v>PLATINUM</v>
      </c>
    </row>
    <row r="63" spans="1:10" ht="15.6" x14ac:dyDescent="0.3">
      <c r="A63" s="6">
        <v>44291</v>
      </c>
      <c r="B63" s="7" t="s">
        <v>19</v>
      </c>
      <c r="C63" s="7" t="s">
        <v>807</v>
      </c>
      <c r="D63" s="7" t="s">
        <v>814</v>
      </c>
      <c r="E63" s="7">
        <v>3</v>
      </c>
      <c r="F63" s="7" t="s">
        <v>846</v>
      </c>
      <c r="G63" s="7" t="s">
        <v>838</v>
      </c>
      <c r="H63" s="7">
        <v>8636</v>
      </c>
      <c r="I63" s="7" t="s">
        <v>854</v>
      </c>
      <c r="J63" s="8" t="str" cm="1">
        <f t="array" ref="J63">_xlfn.IFS(H63&gt;8000,"PLATINUM",H63&gt;6000,"GOLD",H63&gt;4000,"SILEVER",H63&gt;2000,"NORMAL",H63&gt;500,"BASIC")</f>
        <v>PLATINUM</v>
      </c>
    </row>
    <row r="64" spans="1:10" ht="15.6" x14ac:dyDescent="0.3">
      <c r="A64" s="6">
        <v>44618</v>
      </c>
      <c r="B64" s="7" t="s">
        <v>36</v>
      </c>
      <c r="C64" s="7" t="s">
        <v>807</v>
      </c>
      <c r="D64" s="7" t="s">
        <v>816</v>
      </c>
      <c r="E64" s="7">
        <v>19</v>
      </c>
      <c r="F64" s="7" t="s">
        <v>842</v>
      </c>
      <c r="G64" s="7" t="s">
        <v>826</v>
      </c>
      <c r="H64" s="7">
        <v>4439</v>
      </c>
      <c r="I64" s="7" t="s">
        <v>853</v>
      </c>
      <c r="J64" s="8" t="str" cm="1">
        <f t="array" ref="J64">_xlfn.IFS(H64&gt;8000,"PLATINUM",H64&gt;6000,"GOLD",H64&gt;4000,"SILEVER",H64&gt;2000,"NORMAL",H64&gt;500,"BASIC")</f>
        <v>SILEVER</v>
      </c>
    </row>
    <row r="65" spans="1:10" ht="15.6" x14ac:dyDescent="0.3">
      <c r="A65" s="6">
        <v>44291</v>
      </c>
      <c r="B65" s="7" t="s">
        <v>19</v>
      </c>
      <c r="C65" s="7" t="s">
        <v>807</v>
      </c>
      <c r="D65" s="7" t="s">
        <v>816</v>
      </c>
      <c r="E65" s="7">
        <v>19</v>
      </c>
      <c r="F65" s="7" t="s">
        <v>846</v>
      </c>
      <c r="G65" s="7" t="s">
        <v>838</v>
      </c>
      <c r="H65" s="7">
        <v>4439</v>
      </c>
      <c r="I65" s="7" t="s">
        <v>853</v>
      </c>
      <c r="J65" s="8" t="str" cm="1">
        <f t="array" ref="J65">_xlfn.IFS(H65&gt;8000,"PLATINUM",H65&gt;6000,"GOLD",H65&gt;4000,"SILEVER",H65&gt;2000,"NORMAL",H65&gt;500,"BASIC")</f>
        <v>SILEVER</v>
      </c>
    </row>
    <row r="66" spans="1:10" ht="15.6" x14ac:dyDescent="0.3">
      <c r="A66" s="6">
        <v>44151</v>
      </c>
      <c r="B66" s="7" t="s">
        <v>37</v>
      </c>
      <c r="C66" s="7" t="s">
        <v>807</v>
      </c>
      <c r="D66" s="7" t="s">
        <v>813</v>
      </c>
      <c r="E66" s="7">
        <v>20</v>
      </c>
      <c r="F66" s="7" t="s">
        <v>844</v>
      </c>
      <c r="G66" s="7" t="s">
        <v>825</v>
      </c>
      <c r="H66" s="7">
        <v>1016</v>
      </c>
      <c r="I66" s="7" t="s">
        <v>851</v>
      </c>
      <c r="J66" s="8" t="str" cm="1">
        <f t="array" ref="J66">_xlfn.IFS(H66&gt;8000,"PLATINUM",H66&gt;6000,"GOLD",H66&gt;4000,"SILEVER",H66&gt;2000,"NORMAL",H66&gt;500,"BASIC")</f>
        <v>BASIC</v>
      </c>
    </row>
    <row r="67" spans="1:10" ht="15.6" x14ac:dyDescent="0.3">
      <c r="A67" s="6">
        <v>44151</v>
      </c>
      <c r="B67" s="7" t="s">
        <v>37</v>
      </c>
      <c r="C67" s="7" t="s">
        <v>807</v>
      </c>
      <c r="D67" s="7" t="s">
        <v>813</v>
      </c>
      <c r="E67" s="7">
        <v>14</v>
      </c>
      <c r="F67" s="7" t="s">
        <v>844</v>
      </c>
      <c r="G67" s="7" t="s">
        <v>825</v>
      </c>
      <c r="H67" s="7">
        <v>5768</v>
      </c>
      <c r="I67" s="7" t="s">
        <v>850</v>
      </c>
      <c r="J67" s="8" t="str" cm="1">
        <f t="array" ref="J67">_xlfn.IFS(H67&gt;8000,"PLATINUM",H67&gt;6000,"GOLD",H67&gt;4000,"SILEVER",H67&gt;2000,"NORMAL",H67&gt;500,"BASIC")</f>
        <v>SILEVER</v>
      </c>
    </row>
    <row r="68" spans="1:10" ht="15.6" x14ac:dyDescent="0.3">
      <c r="A68" s="6">
        <v>44151</v>
      </c>
      <c r="B68" s="7" t="s">
        <v>37</v>
      </c>
      <c r="C68" s="7" t="s">
        <v>807</v>
      </c>
      <c r="D68" s="7" t="s">
        <v>813</v>
      </c>
      <c r="E68" s="7">
        <v>3</v>
      </c>
      <c r="F68" s="7" t="s">
        <v>844</v>
      </c>
      <c r="G68" s="7" t="s">
        <v>825</v>
      </c>
      <c r="H68" s="7">
        <v>1217</v>
      </c>
      <c r="I68" s="7" t="s">
        <v>853</v>
      </c>
      <c r="J68" s="8" t="str" cm="1">
        <f t="array" ref="J68">_xlfn.IFS(H68&gt;8000,"PLATINUM",H68&gt;6000,"GOLD",H68&gt;4000,"SILEVER",H68&gt;2000,"NORMAL",H68&gt;500,"BASIC")</f>
        <v>BASIC</v>
      </c>
    </row>
    <row r="69" spans="1:10" ht="15.6" x14ac:dyDescent="0.3">
      <c r="A69" s="6">
        <v>45638</v>
      </c>
      <c r="B69" s="7" t="s">
        <v>38</v>
      </c>
      <c r="C69" s="7" t="s">
        <v>806</v>
      </c>
      <c r="D69" s="7" t="s">
        <v>817</v>
      </c>
      <c r="E69" s="7">
        <v>2</v>
      </c>
      <c r="F69" s="7" t="s">
        <v>847</v>
      </c>
      <c r="G69" s="7" t="s">
        <v>837</v>
      </c>
      <c r="H69" s="7">
        <v>953</v>
      </c>
      <c r="I69" s="7" t="s">
        <v>851</v>
      </c>
      <c r="J69" s="8" t="str" cm="1">
        <f t="array" ref="J69">_xlfn.IFS(H69&gt;8000,"PLATINUM",H69&gt;6000,"GOLD",H69&gt;4000,"SILEVER",H69&gt;2000,"NORMAL",H69&gt;500,"BASIC")</f>
        <v>BASIC</v>
      </c>
    </row>
    <row r="70" spans="1:10" ht="15.6" x14ac:dyDescent="0.3">
      <c r="A70" s="6">
        <v>45022</v>
      </c>
      <c r="B70" s="7" t="s">
        <v>39</v>
      </c>
      <c r="C70" s="7" t="s">
        <v>806</v>
      </c>
      <c r="D70" s="7" t="s">
        <v>817</v>
      </c>
      <c r="E70" s="7">
        <v>2</v>
      </c>
      <c r="F70" s="7" t="s">
        <v>845</v>
      </c>
      <c r="G70" s="7" t="s">
        <v>827</v>
      </c>
      <c r="H70" s="7">
        <v>953</v>
      </c>
      <c r="I70" s="7" t="s">
        <v>851</v>
      </c>
      <c r="J70" s="8" t="str" cm="1">
        <f t="array" ref="J70">_xlfn.IFS(H70&gt;8000,"PLATINUM",H70&gt;6000,"GOLD",H70&gt;4000,"SILEVER",H70&gt;2000,"NORMAL",H70&gt;500,"BASIC")</f>
        <v>BASIC</v>
      </c>
    </row>
    <row r="71" spans="1:10" ht="15.6" x14ac:dyDescent="0.3">
      <c r="A71" s="6">
        <v>45638</v>
      </c>
      <c r="B71" s="7" t="s">
        <v>38</v>
      </c>
      <c r="C71" s="7" t="s">
        <v>807</v>
      </c>
      <c r="D71" s="7" t="s">
        <v>816</v>
      </c>
      <c r="E71" s="7">
        <v>3</v>
      </c>
      <c r="F71" s="7" t="s">
        <v>847</v>
      </c>
      <c r="G71" s="7" t="s">
        <v>837</v>
      </c>
      <c r="H71" s="7">
        <v>7355</v>
      </c>
      <c r="I71" s="7" t="s">
        <v>854</v>
      </c>
      <c r="J71" s="8" t="str" cm="1">
        <f t="array" ref="J71">_xlfn.IFS(H71&gt;8000,"PLATINUM",H71&gt;6000,"GOLD",H71&gt;4000,"SILEVER",H71&gt;2000,"NORMAL",H71&gt;500,"BASIC")</f>
        <v>GOLD</v>
      </c>
    </row>
    <row r="72" spans="1:10" ht="15.6" x14ac:dyDescent="0.3">
      <c r="A72" s="6">
        <v>45022</v>
      </c>
      <c r="B72" s="7" t="s">
        <v>39</v>
      </c>
      <c r="C72" s="7" t="s">
        <v>807</v>
      </c>
      <c r="D72" s="7" t="s">
        <v>816</v>
      </c>
      <c r="E72" s="7">
        <v>3</v>
      </c>
      <c r="F72" s="7" t="s">
        <v>845</v>
      </c>
      <c r="G72" s="7" t="s">
        <v>827</v>
      </c>
      <c r="H72" s="7">
        <v>7355</v>
      </c>
      <c r="I72" s="7" t="s">
        <v>854</v>
      </c>
      <c r="J72" s="8" t="str" cm="1">
        <f t="array" ref="J72">_xlfn.IFS(H72&gt;8000,"PLATINUM",H72&gt;6000,"GOLD",H72&gt;4000,"SILEVER",H72&gt;2000,"NORMAL",H72&gt;500,"BASIC")</f>
        <v>GOLD</v>
      </c>
    </row>
    <row r="73" spans="1:10" ht="15.6" x14ac:dyDescent="0.3">
      <c r="A73" s="6">
        <v>45638</v>
      </c>
      <c r="B73" s="7" t="s">
        <v>38</v>
      </c>
      <c r="C73" s="7" t="s">
        <v>805</v>
      </c>
      <c r="D73" s="7" t="s">
        <v>819</v>
      </c>
      <c r="E73" s="7">
        <v>3</v>
      </c>
      <c r="F73" s="7" t="s">
        <v>847</v>
      </c>
      <c r="G73" s="7" t="s">
        <v>837</v>
      </c>
      <c r="H73" s="7">
        <v>1843</v>
      </c>
      <c r="I73" s="7" t="s">
        <v>853</v>
      </c>
      <c r="J73" s="8" t="str" cm="1">
        <f t="array" ref="J73">_xlfn.IFS(H73&gt;8000,"PLATINUM",H73&gt;6000,"GOLD",H73&gt;4000,"SILEVER",H73&gt;2000,"NORMAL",H73&gt;500,"BASIC")</f>
        <v>BASIC</v>
      </c>
    </row>
    <row r="74" spans="1:10" ht="15.6" x14ac:dyDescent="0.3">
      <c r="A74" s="6">
        <v>45022</v>
      </c>
      <c r="B74" s="7" t="s">
        <v>39</v>
      </c>
      <c r="C74" s="7" t="s">
        <v>805</v>
      </c>
      <c r="D74" s="7" t="s">
        <v>819</v>
      </c>
      <c r="E74" s="7">
        <v>3</v>
      </c>
      <c r="F74" s="7" t="s">
        <v>845</v>
      </c>
      <c r="G74" s="7" t="s">
        <v>827</v>
      </c>
      <c r="H74" s="7">
        <v>1843</v>
      </c>
      <c r="I74" s="7" t="s">
        <v>853</v>
      </c>
      <c r="J74" s="8" t="str" cm="1">
        <f t="array" ref="J74">_xlfn.IFS(H74&gt;8000,"PLATINUM",H74&gt;6000,"GOLD",H74&gt;4000,"SILEVER",H74&gt;2000,"NORMAL",H74&gt;500,"BASIC")</f>
        <v>BASIC</v>
      </c>
    </row>
    <row r="75" spans="1:10" ht="15.6" x14ac:dyDescent="0.3">
      <c r="A75" s="6">
        <v>45638</v>
      </c>
      <c r="B75" s="7" t="s">
        <v>38</v>
      </c>
      <c r="C75" s="7" t="s">
        <v>806</v>
      </c>
      <c r="D75" s="7" t="s">
        <v>811</v>
      </c>
      <c r="E75" s="7">
        <v>10</v>
      </c>
      <c r="F75" s="7" t="s">
        <v>847</v>
      </c>
      <c r="G75" s="7" t="s">
        <v>837</v>
      </c>
      <c r="H75" s="7">
        <v>1603</v>
      </c>
      <c r="I75" s="7" t="s">
        <v>851</v>
      </c>
      <c r="J75" s="8" t="str" cm="1">
        <f t="array" ref="J75">_xlfn.IFS(H75&gt;8000,"PLATINUM",H75&gt;6000,"GOLD",H75&gt;4000,"SILEVER",H75&gt;2000,"NORMAL",H75&gt;500,"BASIC")</f>
        <v>BASIC</v>
      </c>
    </row>
    <row r="76" spans="1:10" ht="15.6" x14ac:dyDescent="0.3">
      <c r="A76" s="6">
        <v>45022</v>
      </c>
      <c r="B76" s="7" t="s">
        <v>39</v>
      </c>
      <c r="C76" s="7" t="s">
        <v>806</v>
      </c>
      <c r="D76" s="7" t="s">
        <v>811</v>
      </c>
      <c r="E76" s="7">
        <v>10</v>
      </c>
      <c r="F76" s="7" t="s">
        <v>845</v>
      </c>
      <c r="G76" s="7" t="s">
        <v>827</v>
      </c>
      <c r="H76" s="7">
        <v>1603</v>
      </c>
      <c r="I76" s="7" t="s">
        <v>851</v>
      </c>
      <c r="J76" s="8" t="str" cm="1">
        <f t="array" ref="J76">_xlfn.IFS(H76&gt;8000,"PLATINUM",H76&gt;6000,"GOLD",H76&gt;4000,"SILEVER",H76&gt;2000,"NORMAL",H76&gt;500,"BASIC")</f>
        <v>BASIC</v>
      </c>
    </row>
    <row r="77" spans="1:10" ht="15.6" x14ac:dyDescent="0.3">
      <c r="A77" s="6">
        <v>45319</v>
      </c>
      <c r="B77" s="7" t="s">
        <v>40</v>
      </c>
      <c r="C77" s="7" t="s">
        <v>806</v>
      </c>
      <c r="D77" s="7" t="s">
        <v>811</v>
      </c>
      <c r="E77" s="7">
        <v>1</v>
      </c>
      <c r="F77" s="7" t="s">
        <v>842</v>
      </c>
      <c r="G77" s="7" t="s">
        <v>823</v>
      </c>
      <c r="H77" s="7">
        <v>2025</v>
      </c>
      <c r="I77" s="7" t="s">
        <v>853</v>
      </c>
      <c r="J77" s="8" t="str" cm="1">
        <f t="array" ref="J77">_xlfn.IFS(H77&gt;8000,"PLATINUM",H77&gt;6000,"GOLD",H77&gt;4000,"SILEVER",H77&gt;2000,"NORMAL",H77&gt;500,"BASIC")</f>
        <v>NORMAL</v>
      </c>
    </row>
    <row r="78" spans="1:10" ht="15.6" x14ac:dyDescent="0.3">
      <c r="A78" s="6">
        <v>45319</v>
      </c>
      <c r="B78" s="7" t="s">
        <v>40</v>
      </c>
      <c r="C78" s="7" t="s">
        <v>806</v>
      </c>
      <c r="D78" s="7" t="s">
        <v>818</v>
      </c>
      <c r="E78" s="7">
        <v>16</v>
      </c>
      <c r="F78" s="7" t="s">
        <v>842</v>
      </c>
      <c r="G78" s="7" t="s">
        <v>823</v>
      </c>
      <c r="H78" s="7">
        <v>6800</v>
      </c>
      <c r="I78" s="7" t="s">
        <v>852</v>
      </c>
      <c r="J78" s="8" t="str" cm="1">
        <f t="array" ref="J78">_xlfn.IFS(H78&gt;8000,"PLATINUM",H78&gt;6000,"GOLD",H78&gt;4000,"SILEVER",H78&gt;2000,"NORMAL",H78&gt;500,"BASIC")</f>
        <v>GOLD</v>
      </c>
    </row>
    <row r="79" spans="1:10" ht="15.6" x14ac:dyDescent="0.3">
      <c r="A79" s="6">
        <v>44577</v>
      </c>
      <c r="B79" s="7" t="s">
        <v>41</v>
      </c>
      <c r="C79" s="7" t="s">
        <v>807</v>
      </c>
      <c r="D79" s="7" t="s">
        <v>820</v>
      </c>
      <c r="E79" s="7">
        <v>1</v>
      </c>
      <c r="F79" s="7" t="s">
        <v>842</v>
      </c>
      <c r="G79" s="7" t="s">
        <v>839</v>
      </c>
      <c r="H79" s="7">
        <v>1126</v>
      </c>
      <c r="I79" s="7" t="s">
        <v>850</v>
      </c>
      <c r="J79" s="8" t="str" cm="1">
        <f t="array" ref="J79">_xlfn.IFS(H79&gt;8000,"PLATINUM",H79&gt;6000,"GOLD",H79&gt;4000,"SILEVER",H79&gt;2000,"NORMAL",H79&gt;500,"BASIC")</f>
        <v>BASIC</v>
      </c>
    </row>
    <row r="80" spans="1:10" ht="15.6" x14ac:dyDescent="0.3">
      <c r="A80" s="6">
        <v>44911</v>
      </c>
      <c r="B80" s="7" t="s">
        <v>42</v>
      </c>
      <c r="C80" s="7" t="s">
        <v>807</v>
      </c>
      <c r="D80" s="7" t="s">
        <v>820</v>
      </c>
      <c r="E80" s="7">
        <v>1</v>
      </c>
      <c r="F80" s="7" t="s">
        <v>844</v>
      </c>
      <c r="G80" s="7" t="s">
        <v>825</v>
      </c>
      <c r="H80" s="7">
        <v>1126</v>
      </c>
      <c r="I80" s="7" t="s">
        <v>850</v>
      </c>
      <c r="J80" s="8" t="str" cm="1">
        <f t="array" ref="J80">_xlfn.IFS(H80&gt;8000,"PLATINUM",H80&gt;6000,"GOLD",H80&gt;4000,"SILEVER",H80&gt;2000,"NORMAL",H80&gt;500,"BASIC")</f>
        <v>BASIC</v>
      </c>
    </row>
    <row r="81" spans="1:10" ht="15.6" x14ac:dyDescent="0.3">
      <c r="A81" s="6">
        <v>45120</v>
      </c>
      <c r="B81" s="7" t="s">
        <v>43</v>
      </c>
      <c r="C81" s="7" t="s">
        <v>807</v>
      </c>
      <c r="D81" s="7" t="s">
        <v>813</v>
      </c>
      <c r="E81" s="7">
        <v>12</v>
      </c>
      <c r="F81" s="7" t="s">
        <v>845</v>
      </c>
      <c r="G81" s="7" t="s">
        <v>832</v>
      </c>
      <c r="H81" s="7">
        <v>7533</v>
      </c>
      <c r="I81" s="7" t="s">
        <v>850</v>
      </c>
      <c r="J81" s="8" t="str" cm="1">
        <f t="array" ref="J81">_xlfn.IFS(H81&gt;8000,"PLATINUM",H81&gt;6000,"GOLD",H81&gt;4000,"SILEVER",H81&gt;2000,"NORMAL",H81&gt;500,"BASIC")</f>
        <v>GOLD</v>
      </c>
    </row>
    <row r="82" spans="1:10" ht="15.6" x14ac:dyDescent="0.3">
      <c r="A82" s="6">
        <v>45120</v>
      </c>
      <c r="B82" s="7" t="s">
        <v>43</v>
      </c>
      <c r="C82" s="7" t="s">
        <v>806</v>
      </c>
      <c r="D82" s="7" t="s">
        <v>818</v>
      </c>
      <c r="E82" s="7">
        <v>16</v>
      </c>
      <c r="F82" s="7" t="s">
        <v>845</v>
      </c>
      <c r="G82" s="7" t="s">
        <v>832</v>
      </c>
      <c r="H82" s="7">
        <v>4734</v>
      </c>
      <c r="I82" s="7" t="s">
        <v>853</v>
      </c>
      <c r="J82" s="8" t="str" cm="1">
        <f t="array" ref="J82">_xlfn.IFS(H82&gt;8000,"PLATINUM",H82&gt;6000,"GOLD",H82&gt;4000,"SILEVER",H82&gt;2000,"NORMAL",H82&gt;500,"BASIC")</f>
        <v>SILEVER</v>
      </c>
    </row>
    <row r="83" spans="1:10" ht="15.6" x14ac:dyDescent="0.3">
      <c r="A83" s="6">
        <v>45120</v>
      </c>
      <c r="B83" s="7" t="s">
        <v>43</v>
      </c>
      <c r="C83" s="7" t="s">
        <v>805</v>
      </c>
      <c r="D83" s="7" t="s">
        <v>809</v>
      </c>
      <c r="E83" s="7">
        <v>6</v>
      </c>
      <c r="F83" s="7" t="s">
        <v>845</v>
      </c>
      <c r="G83" s="7" t="s">
        <v>832</v>
      </c>
      <c r="H83" s="7">
        <v>4074</v>
      </c>
      <c r="I83" s="7" t="s">
        <v>851</v>
      </c>
      <c r="J83" s="8" t="str" cm="1">
        <f t="array" ref="J83">_xlfn.IFS(H83&gt;8000,"PLATINUM",H83&gt;6000,"GOLD",H83&gt;4000,"SILEVER",H83&gt;2000,"NORMAL",H83&gt;500,"BASIC")</f>
        <v>SILEVER</v>
      </c>
    </row>
    <row r="84" spans="1:10" ht="15.6" x14ac:dyDescent="0.3">
      <c r="A84" s="6">
        <v>45120</v>
      </c>
      <c r="B84" s="7" t="s">
        <v>43</v>
      </c>
      <c r="C84" s="7" t="s">
        <v>807</v>
      </c>
      <c r="D84" s="7" t="s">
        <v>816</v>
      </c>
      <c r="E84" s="7">
        <v>3</v>
      </c>
      <c r="F84" s="7" t="s">
        <v>845</v>
      </c>
      <c r="G84" s="7" t="s">
        <v>832</v>
      </c>
      <c r="H84" s="7">
        <v>2334</v>
      </c>
      <c r="I84" s="7" t="s">
        <v>853</v>
      </c>
      <c r="J84" s="8" t="str" cm="1">
        <f t="array" ref="J84">_xlfn.IFS(H84&gt;8000,"PLATINUM",H84&gt;6000,"GOLD",H84&gt;4000,"SILEVER",H84&gt;2000,"NORMAL",H84&gt;500,"BASIC")</f>
        <v>NORMAL</v>
      </c>
    </row>
    <row r="85" spans="1:10" ht="15.6" x14ac:dyDescent="0.3">
      <c r="A85" s="6">
        <v>45726</v>
      </c>
      <c r="B85" s="7" t="s">
        <v>44</v>
      </c>
      <c r="C85" s="7" t="s">
        <v>805</v>
      </c>
      <c r="D85" s="7" t="s">
        <v>819</v>
      </c>
      <c r="E85" s="7">
        <v>11</v>
      </c>
      <c r="F85" s="7" t="s">
        <v>844</v>
      </c>
      <c r="G85" s="7" t="s">
        <v>825</v>
      </c>
      <c r="H85" s="7">
        <v>2750</v>
      </c>
      <c r="I85" s="7" t="s">
        <v>851</v>
      </c>
      <c r="J85" s="8" t="str" cm="1">
        <f t="array" ref="J85">_xlfn.IFS(H85&gt;8000,"PLATINUM",H85&gt;6000,"GOLD",H85&gt;4000,"SILEVER",H85&gt;2000,"NORMAL",H85&gt;500,"BASIC")</f>
        <v>NORMAL</v>
      </c>
    </row>
    <row r="86" spans="1:10" ht="15.6" x14ac:dyDescent="0.3">
      <c r="A86" s="6">
        <v>45559</v>
      </c>
      <c r="B86" s="7" t="s">
        <v>45</v>
      </c>
      <c r="C86" s="7" t="s">
        <v>805</v>
      </c>
      <c r="D86" s="7" t="s">
        <v>819</v>
      </c>
      <c r="E86" s="7">
        <v>11</v>
      </c>
      <c r="F86" s="7" t="s">
        <v>847</v>
      </c>
      <c r="G86" s="7" t="s">
        <v>837</v>
      </c>
      <c r="H86" s="7">
        <v>2750</v>
      </c>
      <c r="I86" s="7" t="s">
        <v>851</v>
      </c>
      <c r="J86" s="8" t="str" cm="1">
        <f t="array" ref="J86">_xlfn.IFS(H86&gt;8000,"PLATINUM",H86&gt;6000,"GOLD",H86&gt;4000,"SILEVER",H86&gt;2000,"NORMAL",H86&gt;500,"BASIC")</f>
        <v>NORMAL</v>
      </c>
    </row>
    <row r="87" spans="1:10" ht="15.6" x14ac:dyDescent="0.3">
      <c r="A87" s="6">
        <v>45726</v>
      </c>
      <c r="B87" s="7" t="s">
        <v>44</v>
      </c>
      <c r="C87" s="7" t="s">
        <v>806</v>
      </c>
      <c r="D87" s="7" t="s">
        <v>811</v>
      </c>
      <c r="E87" s="7">
        <v>19</v>
      </c>
      <c r="F87" s="7" t="s">
        <v>844</v>
      </c>
      <c r="G87" s="7" t="s">
        <v>825</v>
      </c>
      <c r="H87" s="7">
        <v>8639</v>
      </c>
      <c r="I87" s="7" t="s">
        <v>852</v>
      </c>
      <c r="J87" s="8" t="str" cm="1">
        <f t="array" ref="J87">_xlfn.IFS(H87&gt;8000,"PLATINUM",H87&gt;6000,"GOLD",H87&gt;4000,"SILEVER",H87&gt;2000,"NORMAL",H87&gt;500,"BASIC")</f>
        <v>PLATINUM</v>
      </c>
    </row>
    <row r="88" spans="1:10" ht="15.6" x14ac:dyDescent="0.3">
      <c r="A88" s="6">
        <v>45559</v>
      </c>
      <c r="B88" s="7" t="s">
        <v>45</v>
      </c>
      <c r="C88" s="7" t="s">
        <v>806</v>
      </c>
      <c r="D88" s="7" t="s">
        <v>811</v>
      </c>
      <c r="E88" s="7">
        <v>19</v>
      </c>
      <c r="F88" s="7" t="s">
        <v>847</v>
      </c>
      <c r="G88" s="7" t="s">
        <v>837</v>
      </c>
      <c r="H88" s="7">
        <v>8639</v>
      </c>
      <c r="I88" s="7" t="s">
        <v>852</v>
      </c>
      <c r="J88" s="8" t="str" cm="1">
        <f t="array" ref="J88">_xlfn.IFS(H88&gt;8000,"PLATINUM",H88&gt;6000,"GOLD",H88&gt;4000,"SILEVER",H88&gt;2000,"NORMAL",H88&gt;500,"BASIC")</f>
        <v>PLATINUM</v>
      </c>
    </row>
    <row r="89" spans="1:10" ht="15.6" x14ac:dyDescent="0.3">
      <c r="A89" s="6">
        <v>43934</v>
      </c>
      <c r="B89" s="7" t="s">
        <v>46</v>
      </c>
      <c r="C89" s="7" t="s">
        <v>806</v>
      </c>
      <c r="D89" s="7" t="s">
        <v>815</v>
      </c>
      <c r="E89" s="7">
        <v>4</v>
      </c>
      <c r="F89" s="7" t="s">
        <v>844</v>
      </c>
      <c r="G89" s="7" t="s">
        <v>828</v>
      </c>
      <c r="H89" s="7">
        <v>3808</v>
      </c>
      <c r="I89" s="7" t="s">
        <v>850</v>
      </c>
      <c r="J89" s="8" t="str" cm="1">
        <f t="array" ref="J89">_xlfn.IFS(H89&gt;8000,"PLATINUM",H89&gt;6000,"GOLD",H89&gt;4000,"SILEVER",H89&gt;2000,"NORMAL",H89&gt;500,"BASIC")</f>
        <v>NORMAL</v>
      </c>
    </row>
    <row r="90" spans="1:10" ht="15.6" x14ac:dyDescent="0.3">
      <c r="A90" s="6">
        <v>43934</v>
      </c>
      <c r="B90" s="7" t="s">
        <v>46</v>
      </c>
      <c r="C90" s="7" t="s">
        <v>806</v>
      </c>
      <c r="D90" s="7" t="s">
        <v>811</v>
      </c>
      <c r="E90" s="7">
        <v>16</v>
      </c>
      <c r="F90" s="7" t="s">
        <v>844</v>
      </c>
      <c r="G90" s="7" t="s">
        <v>828</v>
      </c>
      <c r="H90" s="7">
        <v>2588</v>
      </c>
      <c r="I90" s="7" t="s">
        <v>853</v>
      </c>
      <c r="J90" s="8" t="str" cm="1">
        <f t="array" ref="J90">_xlfn.IFS(H90&gt;8000,"PLATINUM",H90&gt;6000,"GOLD",H90&gt;4000,"SILEVER",H90&gt;2000,"NORMAL",H90&gt;500,"BASIC")</f>
        <v>NORMAL</v>
      </c>
    </row>
    <row r="91" spans="1:10" ht="15.6" x14ac:dyDescent="0.3">
      <c r="A91" s="6">
        <v>44739</v>
      </c>
      <c r="B91" s="7" t="s">
        <v>47</v>
      </c>
      <c r="C91" s="7" t="s">
        <v>805</v>
      </c>
      <c r="D91" s="7" t="s">
        <v>809</v>
      </c>
      <c r="E91" s="7">
        <v>5</v>
      </c>
      <c r="F91" s="7" t="s">
        <v>843</v>
      </c>
      <c r="G91" s="7" t="s">
        <v>829</v>
      </c>
      <c r="H91" s="7">
        <v>1591</v>
      </c>
      <c r="I91" s="7" t="s">
        <v>853</v>
      </c>
      <c r="J91" s="8" t="str" cm="1">
        <f t="array" ref="J91">_xlfn.IFS(H91&gt;8000,"PLATINUM",H91&gt;6000,"GOLD",H91&gt;4000,"SILEVER",H91&gt;2000,"NORMAL",H91&gt;500,"BASIC")</f>
        <v>BASIC</v>
      </c>
    </row>
    <row r="92" spans="1:10" ht="15.6" x14ac:dyDescent="0.3">
      <c r="A92" s="6">
        <v>44269</v>
      </c>
      <c r="B92" s="7" t="s">
        <v>48</v>
      </c>
      <c r="C92" s="7" t="s">
        <v>805</v>
      </c>
      <c r="D92" s="7" t="s">
        <v>809</v>
      </c>
      <c r="E92" s="7">
        <v>5</v>
      </c>
      <c r="F92" s="7" t="s">
        <v>842</v>
      </c>
      <c r="G92" s="7" t="s">
        <v>839</v>
      </c>
      <c r="H92" s="7">
        <v>1591</v>
      </c>
      <c r="I92" s="7" t="s">
        <v>853</v>
      </c>
      <c r="J92" s="8" t="str" cm="1">
        <f t="array" ref="J92">_xlfn.IFS(H92&gt;8000,"PLATINUM",H92&gt;6000,"GOLD",H92&gt;4000,"SILEVER",H92&gt;2000,"NORMAL",H92&gt;500,"BASIC")</f>
        <v>BASIC</v>
      </c>
    </row>
    <row r="93" spans="1:10" ht="15.6" x14ac:dyDescent="0.3">
      <c r="A93" s="6">
        <v>44615</v>
      </c>
      <c r="B93" s="7" t="s">
        <v>49</v>
      </c>
      <c r="C93" s="7" t="s">
        <v>805</v>
      </c>
      <c r="D93" s="7" t="s">
        <v>809</v>
      </c>
      <c r="E93" s="7">
        <v>5</v>
      </c>
      <c r="F93" s="7" t="s">
        <v>847</v>
      </c>
      <c r="G93" s="7" t="s">
        <v>836</v>
      </c>
      <c r="H93" s="7">
        <v>1591</v>
      </c>
      <c r="I93" s="7" t="s">
        <v>853</v>
      </c>
      <c r="J93" s="8" t="str" cm="1">
        <f t="array" ref="J93">_xlfn.IFS(H93&gt;8000,"PLATINUM",H93&gt;6000,"GOLD",H93&gt;4000,"SILEVER",H93&gt;2000,"NORMAL",H93&gt;500,"BASIC")</f>
        <v>BASIC</v>
      </c>
    </row>
    <row r="94" spans="1:10" ht="15.6" x14ac:dyDescent="0.3">
      <c r="A94" s="6">
        <v>44649</v>
      </c>
      <c r="B94" s="7" t="s">
        <v>50</v>
      </c>
      <c r="C94" s="7" t="s">
        <v>807</v>
      </c>
      <c r="D94" s="7" t="s">
        <v>814</v>
      </c>
      <c r="E94" s="7">
        <v>10</v>
      </c>
      <c r="F94" s="7" t="s">
        <v>847</v>
      </c>
      <c r="G94" s="7" t="s">
        <v>837</v>
      </c>
      <c r="H94" s="7">
        <v>1757</v>
      </c>
      <c r="I94" s="7" t="s">
        <v>850</v>
      </c>
      <c r="J94" s="8" t="str" cm="1">
        <f t="array" ref="J94">_xlfn.IFS(H94&gt;8000,"PLATINUM",H94&gt;6000,"GOLD",H94&gt;4000,"SILEVER",H94&gt;2000,"NORMAL",H94&gt;500,"BASIC")</f>
        <v>BASIC</v>
      </c>
    </row>
    <row r="95" spans="1:10" ht="15.6" x14ac:dyDescent="0.3">
      <c r="A95" s="6">
        <v>44885</v>
      </c>
      <c r="B95" s="7" t="s">
        <v>51</v>
      </c>
      <c r="C95" s="7" t="s">
        <v>807</v>
      </c>
      <c r="D95" s="7" t="s">
        <v>814</v>
      </c>
      <c r="E95" s="7">
        <v>10</v>
      </c>
      <c r="F95" s="7" t="s">
        <v>843</v>
      </c>
      <c r="G95" s="7" t="s">
        <v>840</v>
      </c>
      <c r="H95" s="7">
        <v>1757</v>
      </c>
      <c r="I95" s="7" t="s">
        <v>850</v>
      </c>
      <c r="J95" s="8" t="str" cm="1">
        <f t="array" ref="J95">_xlfn.IFS(H95&gt;8000,"PLATINUM",H95&gt;6000,"GOLD",H95&gt;4000,"SILEVER",H95&gt;2000,"NORMAL",H95&gt;500,"BASIC")</f>
        <v>BASIC</v>
      </c>
    </row>
    <row r="96" spans="1:10" ht="15.6" x14ac:dyDescent="0.3">
      <c r="A96" s="6">
        <v>44512</v>
      </c>
      <c r="B96" s="7" t="s">
        <v>52</v>
      </c>
      <c r="C96" s="7" t="s">
        <v>807</v>
      </c>
      <c r="D96" s="7" t="s">
        <v>820</v>
      </c>
      <c r="E96" s="7">
        <v>15</v>
      </c>
      <c r="F96" s="7" t="s">
        <v>842</v>
      </c>
      <c r="G96" s="7" t="s">
        <v>826</v>
      </c>
      <c r="H96" s="7">
        <v>6940</v>
      </c>
      <c r="I96" s="7" t="s">
        <v>851</v>
      </c>
      <c r="J96" s="8" t="str" cm="1">
        <f t="array" ref="J96">_xlfn.IFS(H96&gt;8000,"PLATINUM",H96&gt;6000,"GOLD",H96&gt;4000,"SILEVER",H96&gt;2000,"NORMAL",H96&gt;500,"BASIC")</f>
        <v>GOLD</v>
      </c>
    </row>
    <row r="97" spans="1:10" ht="15.6" x14ac:dyDescent="0.3">
      <c r="A97" s="6">
        <v>44512</v>
      </c>
      <c r="B97" s="7" t="s">
        <v>52</v>
      </c>
      <c r="C97" s="7" t="s">
        <v>805</v>
      </c>
      <c r="D97" s="7" t="s">
        <v>810</v>
      </c>
      <c r="E97" s="7">
        <v>5</v>
      </c>
      <c r="F97" s="7" t="s">
        <v>842</v>
      </c>
      <c r="G97" s="7" t="s">
        <v>826</v>
      </c>
      <c r="H97" s="7">
        <v>5105</v>
      </c>
      <c r="I97" s="7" t="s">
        <v>850</v>
      </c>
      <c r="J97" s="8" t="str" cm="1">
        <f t="array" ref="J97">_xlfn.IFS(H97&gt;8000,"PLATINUM",H97&gt;6000,"GOLD",H97&gt;4000,"SILEVER",H97&gt;2000,"NORMAL",H97&gt;500,"BASIC")</f>
        <v>SILEVER</v>
      </c>
    </row>
    <row r="98" spans="1:10" ht="15.6" x14ac:dyDescent="0.3">
      <c r="A98" s="6">
        <v>44425</v>
      </c>
      <c r="B98" s="7" t="s">
        <v>53</v>
      </c>
      <c r="C98" s="7" t="s">
        <v>807</v>
      </c>
      <c r="D98" s="7" t="s">
        <v>813</v>
      </c>
      <c r="E98" s="7">
        <v>16</v>
      </c>
      <c r="F98" s="7" t="s">
        <v>842</v>
      </c>
      <c r="G98" s="7" t="s">
        <v>823</v>
      </c>
      <c r="H98" s="7">
        <v>5578</v>
      </c>
      <c r="I98" s="7" t="s">
        <v>854</v>
      </c>
      <c r="J98" s="8" t="str" cm="1">
        <f t="array" ref="J98">_xlfn.IFS(H98&gt;8000,"PLATINUM",H98&gt;6000,"GOLD",H98&gt;4000,"SILEVER",H98&gt;2000,"NORMAL",H98&gt;500,"BASIC")</f>
        <v>SILEVER</v>
      </c>
    </row>
    <row r="99" spans="1:10" ht="15.6" x14ac:dyDescent="0.3">
      <c r="A99" s="6">
        <v>44697</v>
      </c>
      <c r="B99" s="7" t="s">
        <v>54</v>
      </c>
      <c r="C99" s="7" t="s">
        <v>807</v>
      </c>
      <c r="D99" s="7" t="s">
        <v>813</v>
      </c>
      <c r="E99" s="7">
        <v>16</v>
      </c>
      <c r="F99" s="7" t="s">
        <v>847</v>
      </c>
      <c r="G99" s="7" t="s">
        <v>835</v>
      </c>
      <c r="H99" s="7">
        <v>5578</v>
      </c>
      <c r="I99" s="7" t="s">
        <v>854</v>
      </c>
      <c r="J99" s="8" t="str" cm="1">
        <f t="array" ref="J99">_xlfn.IFS(H99&gt;8000,"PLATINUM",H99&gt;6000,"GOLD",H99&gt;4000,"SILEVER",H99&gt;2000,"NORMAL",H99&gt;500,"BASIC")</f>
        <v>SILEVER</v>
      </c>
    </row>
    <row r="100" spans="1:10" ht="15.6" x14ac:dyDescent="0.3">
      <c r="A100" s="6">
        <v>45123</v>
      </c>
      <c r="B100" s="7" t="s">
        <v>55</v>
      </c>
      <c r="C100" s="7" t="s">
        <v>807</v>
      </c>
      <c r="D100" s="7" t="s">
        <v>814</v>
      </c>
      <c r="E100" s="7">
        <v>16</v>
      </c>
      <c r="F100" s="7" t="s">
        <v>846</v>
      </c>
      <c r="G100" s="7" t="s">
        <v>838</v>
      </c>
      <c r="H100" s="7">
        <v>5224</v>
      </c>
      <c r="I100" s="7" t="s">
        <v>853</v>
      </c>
      <c r="J100" s="8" t="str" cm="1">
        <f t="array" ref="J100">_xlfn.IFS(H100&gt;8000,"PLATINUM",H100&gt;6000,"GOLD",H100&gt;4000,"SILEVER",H100&gt;2000,"NORMAL",H100&gt;500,"BASIC")</f>
        <v>SILEVER</v>
      </c>
    </row>
    <row r="101" spans="1:10" ht="15.6" x14ac:dyDescent="0.3">
      <c r="A101" s="6">
        <v>45123</v>
      </c>
      <c r="B101" s="7" t="s">
        <v>55</v>
      </c>
      <c r="C101" s="7" t="s">
        <v>806</v>
      </c>
      <c r="D101" s="7" t="s">
        <v>815</v>
      </c>
      <c r="E101" s="7">
        <v>11</v>
      </c>
      <c r="F101" s="7" t="s">
        <v>846</v>
      </c>
      <c r="G101" s="7" t="s">
        <v>838</v>
      </c>
      <c r="H101" s="7">
        <v>5002</v>
      </c>
      <c r="I101" s="7" t="s">
        <v>853</v>
      </c>
      <c r="J101" s="8" t="str" cm="1">
        <f t="array" ref="J101">_xlfn.IFS(H101&gt;8000,"PLATINUM",H101&gt;6000,"GOLD",H101&gt;4000,"SILEVER",H101&gt;2000,"NORMAL",H101&gt;500,"BASIC")</f>
        <v>SILEVER</v>
      </c>
    </row>
    <row r="102" spans="1:10" ht="15.6" x14ac:dyDescent="0.3">
      <c r="A102" s="6">
        <v>45123</v>
      </c>
      <c r="B102" s="7" t="s">
        <v>55</v>
      </c>
      <c r="C102" s="7" t="s">
        <v>806</v>
      </c>
      <c r="D102" s="7" t="s">
        <v>815</v>
      </c>
      <c r="E102" s="7">
        <v>18</v>
      </c>
      <c r="F102" s="7" t="s">
        <v>846</v>
      </c>
      <c r="G102" s="7" t="s">
        <v>838</v>
      </c>
      <c r="H102" s="7">
        <v>7380</v>
      </c>
      <c r="I102" s="7" t="s">
        <v>854</v>
      </c>
      <c r="J102" s="8" t="str" cm="1">
        <f t="array" ref="J102">_xlfn.IFS(H102&gt;8000,"PLATINUM",H102&gt;6000,"GOLD",H102&gt;4000,"SILEVER",H102&gt;2000,"NORMAL",H102&gt;500,"BASIC")</f>
        <v>GOLD</v>
      </c>
    </row>
    <row r="103" spans="1:10" ht="15.6" x14ac:dyDescent="0.3">
      <c r="A103" s="6">
        <v>44061</v>
      </c>
      <c r="B103" s="7" t="s">
        <v>56</v>
      </c>
      <c r="C103" s="7" t="s">
        <v>807</v>
      </c>
      <c r="D103" s="7" t="s">
        <v>814</v>
      </c>
      <c r="E103" s="7">
        <v>4</v>
      </c>
      <c r="F103" s="7" t="s">
        <v>845</v>
      </c>
      <c r="G103" s="7" t="s">
        <v>827</v>
      </c>
      <c r="H103" s="7">
        <v>7595</v>
      </c>
      <c r="I103" s="7" t="s">
        <v>851</v>
      </c>
      <c r="J103" s="8" t="str" cm="1">
        <f t="array" ref="J103">_xlfn.IFS(H103&gt;8000,"PLATINUM",H103&gt;6000,"GOLD",H103&gt;4000,"SILEVER",H103&gt;2000,"NORMAL",H103&gt;500,"BASIC")</f>
        <v>GOLD</v>
      </c>
    </row>
    <row r="104" spans="1:10" ht="15.6" x14ac:dyDescent="0.3">
      <c r="A104" s="6">
        <v>44670</v>
      </c>
      <c r="B104" s="7" t="s">
        <v>57</v>
      </c>
      <c r="C104" s="7" t="s">
        <v>807</v>
      </c>
      <c r="D104" s="7" t="s">
        <v>814</v>
      </c>
      <c r="E104" s="7">
        <v>4</v>
      </c>
      <c r="F104" s="7" t="s">
        <v>844</v>
      </c>
      <c r="G104" s="7" t="s">
        <v>830</v>
      </c>
      <c r="H104" s="7">
        <v>7595</v>
      </c>
      <c r="I104" s="7" t="s">
        <v>851</v>
      </c>
      <c r="J104" s="8" t="str" cm="1">
        <f t="array" ref="J104">_xlfn.IFS(H104&gt;8000,"PLATINUM",H104&gt;6000,"GOLD",H104&gt;4000,"SILEVER",H104&gt;2000,"NORMAL",H104&gt;500,"BASIC")</f>
        <v>GOLD</v>
      </c>
    </row>
    <row r="105" spans="1:10" ht="15.6" x14ac:dyDescent="0.3">
      <c r="A105" s="6">
        <v>44918</v>
      </c>
      <c r="B105" s="7" t="s">
        <v>58</v>
      </c>
      <c r="C105" s="7" t="s">
        <v>807</v>
      </c>
      <c r="D105" s="7" t="s">
        <v>816</v>
      </c>
      <c r="E105" s="7">
        <v>7</v>
      </c>
      <c r="F105" s="7" t="s">
        <v>846</v>
      </c>
      <c r="G105" s="7" t="s">
        <v>833</v>
      </c>
      <c r="H105" s="7">
        <v>1954</v>
      </c>
      <c r="I105" s="7" t="s">
        <v>851</v>
      </c>
      <c r="J105" s="8" t="str" cm="1">
        <f t="array" ref="J105">_xlfn.IFS(H105&gt;8000,"PLATINUM",H105&gt;6000,"GOLD",H105&gt;4000,"SILEVER",H105&gt;2000,"NORMAL",H105&gt;500,"BASIC")</f>
        <v>BASIC</v>
      </c>
    </row>
    <row r="106" spans="1:10" ht="15.6" x14ac:dyDescent="0.3">
      <c r="A106" s="6">
        <v>45633</v>
      </c>
      <c r="B106" s="7" t="s">
        <v>59</v>
      </c>
      <c r="C106" s="7" t="s">
        <v>805</v>
      </c>
      <c r="D106" s="7" t="s">
        <v>810</v>
      </c>
      <c r="E106" s="7">
        <v>20</v>
      </c>
      <c r="F106" s="7" t="s">
        <v>846</v>
      </c>
      <c r="G106" s="7" t="s">
        <v>831</v>
      </c>
      <c r="H106" s="7">
        <v>523</v>
      </c>
      <c r="I106" s="7" t="s">
        <v>852</v>
      </c>
      <c r="J106" s="8" t="str" cm="1">
        <f t="array" ref="J106">_xlfn.IFS(H106&gt;8000,"PLATINUM",H106&gt;6000,"GOLD",H106&gt;4000,"SILEVER",H106&gt;2000,"NORMAL",H106&gt;500,"BASIC")</f>
        <v>BASIC</v>
      </c>
    </row>
    <row r="107" spans="1:10" ht="15.6" x14ac:dyDescent="0.3">
      <c r="A107" s="6">
        <v>44595</v>
      </c>
      <c r="B107" s="7" t="s">
        <v>60</v>
      </c>
      <c r="C107" s="7" t="s">
        <v>805</v>
      </c>
      <c r="D107" s="7" t="s">
        <v>812</v>
      </c>
      <c r="E107" s="7">
        <v>13</v>
      </c>
      <c r="F107" s="7" t="s">
        <v>846</v>
      </c>
      <c r="G107" s="7" t="s">
        <v>833</v>
      </c>
      <c r="H107" s="7">
        <v>5704</v>
      </c>
      <c r="I107" s="7" t="s">
        <v>852</v>
      </c>
      <c r="J107" s="8" t="str" cm="1">
        <f t="array" ref="J107">_xlfn.IFS(H107&gt;8000,"PLATINUM",H107&gt;6000,"GOLD",H107&gt;4000,"SILEVER",H107&gt;2000,"NORMAL",H107&gt;500,"BASIC")</f>
        <v>SILEVER</v>
      </c>
    </row>
    <row r="108" spans="1:10" ht="15.6" x14ac:dyDescent="0.3">
      <c r="A108" s="6">
        <v>44542</v>
      </c>
      <c r="B108" s="7" t="s">
        <v>61</v>
      </c>
      <c r="C108" s="7" t="s">
        <v>805</v>
      </c>
      <c r="D108" s="7" t="s">
        <v>812</v>
      </c>
      <c r="E108" s="7">
        <v>13</v>
      </c>
      <c r="F108" s="7" t="s">
        <v>845</v>
      </c>
      <c r="G108" s="7" t="s">
        <v>832</v>
      </c>
      <c r="H108" s="7">
        <v>5704</v>
      </c>
      <c r="I108" s="7" t="s">
        <v>852</v>
      </c>
      <c r="J108" s="8" t="str" cm="1">
        <f t="array" ref="J108">_xlfn.IFS(H108&gt;8000,"PLATINUM",H108&gt;6000,"GOLD",H108&gt;4000,"SILEVER",H108&gt;2000,"NORMAL",H108&gt;500,"BASIC")</f>
        <v>SILEVER</v>
      </c>
    </row>
    <row r="109" spans="1:10" ht="15.6" x14ac:dyDescent="0.3">
      <c r="A109" s="6">
        <v>44595</v>
      </c>
      <c r="B109" s="7" t="s">
        <v>60</v>
      </c>
      <c r="C109" s="7" t="s">
        <v>807</v>
      </c>
      <c r="D109" s="7" t="s">
        <v>813</v>
      </c>
      <c r="E109" s="7">
        <v>8</v>
      </c>
      <c r="F109" s="7" t="s">
        <v>846</v>
      </c>
      <c r="G109" s="7" t="s">
        <v>833</v>
      </c>
      <c r="H109" s="7">
        <v>8797</v>
      </c>
      <c r="I109" s="7" t="s">
        <v>850</v>
      </c>
      <c r="J109" s="8" t="str" cm="1">
        <f t="array" ref="J109">_xlfn.IFS(H109&gt;8000,"PLATINUM",H109&gt;6000,"GOLD",H109&gt;4000,"SILEVER",H109&gt;2000,"NORMAL",H109&gt;500,"BASIC")</f>
        <v>PLATINUM</v>
      </c>
    </row>
    <row r="110" spans="1:10" ht="15.6" x14ac:dyDescent="0.3">
      <c r="A110" s="6">
        <v>44542</v>
      </c>
      <c r="B110" s="7" t="s">
        <v>61</v>
      </c>
      <c r="C110" s="7" t="s">
        <v>807</v>
      </c>
      <c r="D110" s="7" t="s">
        <v>813</v>
      </c>
      <c r="E110" s="7">
        <v>8</v>
      </c>
      <c r="F110" s="7" t="s">
        <v>845</v>
      </c>
      <c r="G110" s="7" t="s">
        <v>832</v>
      </c>
      <c r="H110" s="7">
        <v>8797</v>
      </c>
      <c r="I110" s="7" t="s">
        <v>850</v>
      </c>
      <c r="J110" s="8" t="str" cm="1">
        <f t="array" ref="J110">_xlfn.IFS(H110&gt;8000,"PLATINUM",H110&gt;6000,"GOLD",H110&gt;4000,"SILEVER",H110&gt;2000,"NORMAL",H110&gt;500,"BASIC")</f>
        <v>PLATINUM</v>
      </c>
    </row>
    <row r="111" spans="1:10" ht="15.6" x14ac:dyDescent="0.3">
      <c r="A111" s="6">
        <v>44595</v>
      </c>
      <c r="B111" s="7" t="s">
        <v>60</v>
      </c>
      <c r="C111" s="7" t="s">
        <v>805</v>
      </c>
      <c r="D111" s="7" t="s">
        <v>812</v>
      </c>
      <c r="E111" s="7">
        <v>5</v>
      </c>
      <c r="F111" s="7" t="s">
        <v>846</v>
      </c>
      <c r="G111" s="7" t="s">
        <v>833</v>
      </c>
      <c r="H111" s="7">
        <v>9236</v>
      </c>
      <c r="I111" s="7" t="s">
        <v>851</v>
      </c>
      <c r="J111" s="8" t="str" cm="1">
        <f t="array" ref="J111">_xlfn.IFS(H111&gt;8000,"PLATINUM",H111&gt;6000,"GOLD",H111&gt;4000,"SILEVER",H111&gt;2000,"NORMAL",H111&gt;500,"BASIC")</f>
        <v>PLATINUM</v>
      </c>
    </row>
    <row r="112" spans="1:10" ht="15.6" x14ac:dyDescent="0.3">
      <c r="A112" s="6">
        <v>44542</v>
      </c>
      <c r="B112" s="7" t="s">
        <v>61</v>
      </c>
      <c r="C112" s="7" t="s">
        <v>805</v>
      </c>
      <c r="D112" s="7" t="s">
        <v>812</v>
      </c>
      <c r="E112" s="7">
        <v>5</v>
      </c>
      <c r="F112" s="7" t="s">
        <v>845</v>
      </c>
      <c r="G112" s="7" t="s">
        <v>832</v>
      </c>
      <c r="H112" s="7">
        <v>9236</v>
      </c>
      <c r="I112" s="7" t="s">
        <v>851</v>
      </c>
      <c r="J112" s="8" t="str" cm="1">
        <f t="array" ref="J112">_xlfn.IFS(H112&gt;8000,"PLATINUM",H112&gt;6000,"GOLD",H112&gt;4000,"SILEVER",H112&gt;2000,"NORMAL",H112&gt;500,"BASIC")</f>
        <v>PLATINUM</v>
      </c>
    </row>
    <row r="113" spans="1:10" ht="15.6" x14ac:dyDescent="0.3">
      <c r="A113" s="6">
        <v>43968</v>
      </c>
      <c r="B113" s="7" t="s">
        <v>62</v>
      </c>
      <c r="C113" s="7" t="s">
        <v>807</v>
      </c>
      <c r="D113" s="7" t="s">
        <v>816</v>
      </c>
      <c r="E113" s="7">
        <v>17</v>
      </c>
      <c r="F113" s="7" t="s">
        <v>842</v>
      </c>
      <c r="G113" s="7" t="s">
        <v>823</v>
      </c>
      <c r="H113" s="7">
        <v>9109</v>
      </c>
      <c r="I113" s="7" t="s">
        <v>852</v>
      </c>
      <c r="J113" s="8" t="str" cm="1">
        <f t="array" ref="J113">_xlfn.IFS(H113&gt;8000,"PLATINUM",H113&gt;6000,"GOLD",H113&gt;4000,"SILEVER",H113&gt;2000,"NORMAL",H113&gt;500,"BASIC")</f>
        <v>PLATINUM</v>
      </c>
    </row>
    <row r="114" spans="1:10" ht="15.6" x14ac:dyDescent="0.3">
      <c r="A114" s="6">
        <v>44900</v>
      </c>
      <c r="B114" s="7" t="s">
        <v>63</v>
      </c>
      <c r="C114" s="7" t="s">
        <v>805</v>
      </c>
      <c r="D114" s="7" t="s">
        <v>819</v>
      </c>
      <c r="E114" s="7">
        <v>19</v>
      </c>
      <c r="F114" s="7" t="s">
        <v>846</v>
      </c>
      <c r="G114" s="7" t="s">
        <v>831</v>
      </c>
      <c r="H114" s="7">
        <v>4358</v>
      </c>
      <c r="I114" s="7" t="s">
        <v>853</v>
      </c>
      <c r="J114" s="8" t="str" cm="1">
        <f t="array" ref="J114">_xlfn.IFS(H114&gt;8000,"PLATINUM",H114&gt;6000,"GOLD",H114&gt;4000,"SILEVER",H114&gt;2000,"NORMAL",H114&gt;500,"BASIC")</f>
        <v>SILEVER</v>
      </c>
    </row>
    <row r="115" spans="1:10" ht="15.6" x14ac:dyDescent="0.3">
      <c r="A115" s="6">
        <v>45552</v>
      </c>
      <c r="B115" s="7" t="s">
        <v>64</v>
      </c>
      <c r="C115" s="7" t="s">
        <v>805</v>
      </c>
      <c r="D115" s="7" t="s">
        <v>819</v>
      </c>
      <c r="E115" s="7">
        <v>19</v>
      </c>
      <c r="F115" s="7" t="s">
        <v>845</v>
      </c>
      <c r="G115" s="7" t="s">
        <v>834</v>
      </c>
      <c r="H115" s="7">
        <v>4358</v>
      </c>
      <c r="I115" s="7" t="s">
        <v>853</v>
      </c>
      <c r="J115" s="8" t="str" cm="1">
        <f t="array" ref="J115">_xlfn.IFS(H115&gt;8000,"PLATINUM",H115&gt;6000,"GOLD",H115&gt;4000,"SILEVER",H115&gt;2000,"NORMAL",H115&gt;500,"BASIC")</f>
        <v>SILEVER</v>
      </c>
    </row>
    <row r="116" spans="1:10" ht="15.6" x14ac:dyDescent="0.3">
      <c r="A116" s="6">
        <v>44900</v>
      </c>
      <c r="B116" s="7" t="s">
        <v>63</v>
      </c>
      <c r="C116" s="7" t="s">
        <v>805</v>
      </c>
      <c r="D116" s="7" t="s">
        <v>819</v>
      </c>
      <c r="E116" s="7">
        <v>8</v>
      </c>
      <c r="F116" s="7" t="s">
        <v>846</v>
      </c>
      <c r="G116" s="7" t="s">
        <v>831</v>
      </c>
      <c r="H116" s="7">
        <v>6459</v>
      </c>
      <c r="I116" s="7" t="s">
        <v>853</v>
      </c>
      <c r="J116" s="8" t="str" cm="1">
        <f t="array" ref="J116">_xlfn.IFS(H116&gt;8000,"PLATINUM",H116&gt;6000,"GOLD",H116&gt;4000,"SILEVER",H116&gt;2000,"NORMAL",H116&gt;500,"BASIC")</f>
        <v>GOLD</v>
      </c>
    </row>
    <row r="117" spans="1:10" ht="15.6" x14ac:dyDescent="0.3">
      <c r="A117" s="6">
        <v>45552</v>
      </c>
      <c r="B117" s="7" t="s">
        <v>64</v>
      </c>
      <c r="C117" s="7" t="s">
        <v>805</v>
      </c>
      <c r="D117" s="7" t="s">
        <v>819</v>
      </c>
      <c r="E117" s="7">
        <v>8</v>
      </c>
      <c r="F117" s="7" t="s">
        <v>845</v>
      </c>
      <c r="G117" s="7" t="s">
        <v>834</v>
      </c>
      <c r="H117" s="7">
        <v>6459</v>
      </c>
      <c r="I117" s="7" t="s">
        <v>853</v>
      </c>
      <c r="J117" s="8" t="str" cm="1">
        <f t="array" ref="J117">_xlfn.IFS(H117&gt;8000,"PLATINUM",H117&gt;6000,"GOLD",H117&gt;4000,"SILEVER",H117&gt;2000,"NORMAL",H117&gt;500,"BASIC")</f>
        <v>GOLD</v>
      </c>
    </row>
    <row r="118" spans="1:10" ht="15.6" x14ac:dyDescent="0.3">
      <c r="A118" s="6">
        <v>45054</v>
      </c>
      <c r="B118" s="7" t="s">
        <v>65</v>
      </c>
      <c r="C118" s="7" t="s">
        <v>807</v>
      </c>
      <c r="D118" s="7" t="s">
        <v>820</v>
      </c>
      <c r="E118" s="7">
        <v>12</v>
      </c>
      <c r="F118" s="7" t="s">
        <v>845</v>
      </c>
      <c r="G118" s="7" t="s">
        <v>834</v>
      </c>
      <c r="H118" s="7">
        <v>2478</v>
      </c>
      <c r="I118" s="7" t="s">
        <v>854</v>
      </c>
      <c r="J118" s="8" t="str" cm="1">
        <f t="array" ref="J118">_xlfn.IFS(H118&gt;8000,"PLATINUM",H118&gt;6000,"GOLD",H118&gt;4000,"SILEVER",H118&gt;2000,"NORMAL",H118&gt;500,"BASIC")</f>
        <v>NORMAL</v>
      </c>
    </row>
    <row r="119" spans="1:10" ht="15.6" x14ac:dyDescent="0.3">
      <c r="A119" s="6">
        <v>44258</v>
      </c>
      <c r="B119" s="7" t="s">
        <v>66</v>
      </c>
      <c r="C119" s="7" t="s">
        <v>807</v>
      </c>
      <c r="D119" s="7" t="s">
        <v>820</v>
      </c>
      <c r="E119" s="7">
        <v>12</v>
      </c>
      <c r="F119" s="7" t="s">
        <v>844</v>
      </c>
      <c r="G119" s="7" t="s">
        <v>828</v>
      </c>
      <c r="H119" s="7">
        <v>2478</v>
      </c>
      <c r="I119" s="7" t="s">
        <v>854</v>
      </c>
      <c r="J119" s="8" t="str" cm="1">
        <f t="array" ref="J119">_xlfn.IFS(H119&gt;8000,"PLATINUM",H119&gt;6000,"GOLD",H119&gt;4000,"SILEVER",H119&gt;2000,"NORMAL",H119&gt;500,"BASIC")</f>
        <v>NORMAL</v>
      </c>
    </row>
    <row r="120" spans="1:10" ht="15.6" x14ac:dyDescent="0.3">
      <c r="A120" s="6">
        <v>44273</v>
      </c>
      <c r="B120" s="7" t="s">
        <v>67</v>
      </c>
      <c r="C120" s="7" t="s">
        <v>807</v>
      </c>
      <c r="D120" s="7" t="s">
        <v>820</v>
      </c>
      <c r="E120" s="7">
        <v>12</v>
      </c>
      <c r="F120" s="7" t="s">
        <v>845</v>
      </c>
      <c r="G120" s="7" t="s">
        <v>834</v>
      </c>
      <c r="H120" s="7">
        <v>2478</v>
      </c>
      <c r="I120" s="7" t="s">
        <v>854</v>
      </c>
      <c r="J120" s="8" t="str" cm="1">
        <f t="array" ref="J120">_xlfn.IFS(H120&gt;8000,"PLATINUM",H120&gt;6000,"GOLD",H120&gt;4000,"SILEVER",H120&gt;2000,"NORMAL",H120&gt;500,"BASIC")</f>
        <v>NORMAL</v>
      </c>
    </row>
    <row r="121" spans="1:10" ht="15.6" x14ac:dyDescent="0.3">
      <c r="A121" s="6">
        <v>45040</v>
      </c>
      <c r="B121" s="7" t="s">
        <v>68</v>
      </c>
      <c r="C121" s="7" t="s">
        <v>807</v>
      </c>
      <c r="D121" s="7" t="s">
        <v>820</v>
      </c>
      <c r="E121" s="7">
        <v>12</v>
      </c>
      <c r="F121" s="7" t="s">
        <v>847</v>
      </c>
      <c r="G121" s="7" t="s">
        <v>837</v>
      </c>
      <c r="H121" s="7">
        <v>2478</v>
      </c>
      <c r="I121" s="7" t="s">
        <v>854</v>
      </c>
      <c r="J121" s="8" t="str" cm="1">
        <f t="array" ref="J121">_xlfn.IFS(H121&gt;8000,"PLATINUM",H121&gt;6000,"GOLD",H121&gt;4000,"SILEVER",H121&gt;2000,"NORMAL",H121&gt;500,"BASIC")</f>
        <v>NORMAL</v>
      </c>
    </row>
    <row r="122" spans="1:10" ht="15.6" x14ac:dyDescent="0.3">
      <c r="A122" s="6">
        <v>44478</v>
      </c>
      <c r="B122" s="7" t="s">
        <v>69</v>
      </c>
      <c r="C122" s="7" t="s">
        <v>806</v>
      </c>
      <c r="D122" s="7" t="s">
        <v>811</v>
      </c>
      <c r="E122" s="7">
        <v>20</v>
      </c>
      <c r="F122" s="7" t="s">
        <v>844</v>
      </c>
      <c r="G122" s="7" t="s">
        <v>830</v>
      </c>
      <c r="H122" s="7">
        <v>9992</v>
      </c>
      <c r="I122" s="7" t="s">
        <v>851</v>
      </c>
      <c r="J122" s="8" t="str" cm="1">
        <f t="array" ref="J122">_xlfn.IFS(H122&gt;8000,"PLATINUM",H122&gt;6000,"GOLD",H122&gt;4000,"SILEVER",H122&gt;2000,"NORMAL",H122&gt;500,"BASIC")</f>
        <v>PLATINUM</v>
      </c>
    </row>
    <row r="123" spans="1:10" ht="15.6" x14ac:dyDescent="0.3">
      <c r="A123" s="6">
        <v>44666</v>
      </c>
      <c r="B123" s="7" t="s">
        <v>70</v>
      </c>
      <c r="C123" s="7" t="s">
        <v>806</v>
      </c>
      <c r="D123" s="7" t="s">
        <v>811</v>
      </c>
      <c r="E123" s="7">
        <v>20</v>
      </c>
      <c r="F123" s="7" t="s">
        <v>846</v>
      </c>
      <c r="G123" s="7" t="s">
        <v>833</v>
      </c>
      <c r="H123" s="7">
        <v>9992</v>
      </c>
      <c r="I123" s="7" t="s">
        <v>851</v>
      </c>
      <c r="J123" s="8" t="str" cm="1">
        <f t="array" ref="J123">_xlfn.IFS(H123&gt;8000,"PLATINUM",H123&gt;6000,"GOLD",H123&gt;4000,"SILEVER",H123&gt;2000,"NORMAL",H123&gt;500,"BASIC")</f>
        <v>PLATINUM</v>
      </c>
    </row>
    <row r="124" spans="1:10" ht="15.6" x14ac:dyDescent="0.3">
      <c r="A124" s="6">
        <v>44802</v>
      </c>
      <c r="B124" s="7" t="s">
        <v>71</v>
      </c>
      <c r="C124" s="7" t="s">
        <v>806</v>
      </c>
      <c r="D124" s="7" t="s">
        <v>811</v>
      </c>
      <c r="E124" s="7">
        <v>20</v>
      </c>
      <c r="F124" s="7" t="s">
        <v>844</v>
      </c>
      <c r="G124" s="7" t="s">
        <v>830</v>
      </c>
      <c r="H124" s="7">
        <v>9992</v>
      </c>
      <c r="I124" s="7" t="s">
        <v>851</v>
      </c>
      <c r="J124" s="8" t="str" cm="1">
        <f t="array" ref="J124">_xlfn.IFS(H124&gt;8000,"PLATINUM",H124&gt;6000,"GOLD",H124&gt;4000,"SILEVER",H124&gt;2000,"NORMAL",H124&gt;500,"BASIC")</f>
        <v>PLATINUM</v>
      </c>
    </row>
    <row r="125" spans="1:10" ht="15.6" x14ac:dyDescent="0.3">
      <c r="A125" s="6">
        <v>44478</v>
      </c>
      <c r="B125" s="7" t="s">
        <v>69</v>
      </c>
      <c r="C125" s="7" t="s">
        <v>806</v>
      </c>
      <c r="D125" s="7" t="s">
        <v>818</v>
      </c>
      <c r="E125" s="7">
        <v>7</v>
      </c>
      <c r="F125" s="7" t="s">
        <v>844</v>
      </c>
      <c r="G125" s="7" t="s">
        <v>830</v>
      </c>
      <c r="H125" s="7">
        <v>9619</v>
      </c>
      <c r="I125" s="7" t="s">
        <v>850</v>
      </c>
      <c r="J125" s="8" t="str" cm="1">
        <f t="array" ref="J125">_xlfn.IFS(H125&gt;8000,"PLATINUM",H125&gt;6000,"GOLD",H125&gt;4000,"SILEVER",H125&gt;2000,"NORMAL",H125&gt;500,"BASIC")</f>
        <v>PLATINUM</v>
      </c>
    </row>
    <row r="126" spans="1:10" ht="15.6" x14ac:dyDescent="0.3">
      <c r="A126" s="6">
        <v>44666</v>
      </c>
      <c r="B126" s="7" t="s">
        <v>70</v>
      </c>
      <c r="C126" s="7" t="s">
        <v>806</v>
      </c>
      <c r="D126" s="7" t="s">
        <v>818</v>
      </c>
      <c r="E126" s="7">
        <v>7</v>
      </c>
      <c r="F126" s="7" t="s">
        <v>846</v>
      </c>
      <c r="G126" s="7" t="s">
        <v>833</v>
      </c>
      <c r="H126" s="7">
        <v>9619</v>
      </c>
      <c r="I126" s="7" t="s">
        <v>850</v>
      </c>
      <c r="J126" s="8" t="str" cm="1">
        <f t="array" ref="J126">_xlfn.IFS(H126&gt;8000,"PLATINUM",H126&gt;6000,"GOLD",H126&gt;4000,"SILEVER",H126&gt;2000,"NORMAL",H126&gt;500,"BASIC")</f>
        <v>PLATINUM</v>
      </c>
    </row>
    <row r="127" spans="1:10" ht="15.6" x14ac:dyDescent="0.3">
      <c r="A127" s="6">
        <v>44802</v>
      </c>
      <c r="B127" s="7" t="s">
        <v>71</v>
      </c>
      <c r="C127" s="7" t="s">
        <v>806</v>
      </c>
      <c r="D127" s="7" t="s">
        <v>818</v>
      </c>
      <c r="E127" s="7">
        <v>7</v>
      </c>
      <c r="F127" s="7" t="s">
        <v>844</v>
      </c>
      <c r="G127" s="7" t="s">
        <v>830</v>
      </c>
      <c r="H127" s="7">
        <v>9619</v>
      </c>
      <c r="I127" s="7" t="s">
        <v>850</v>
      </c>
      <c r="J127" s="8" t="str" cm="1">
        <f t="array" ref="J127">_xlfn.IFS(H127&gt;8000,"PLATINUM",H127&gt;6000,"GOLD",H127&gt;4000,"SILEVER",H127&gt;2000,"NORMAL",H127&gt;500,"BASIC")</f>
        <v>PLATINUM</v>
      </c>
    </row>
    <row r="128" spans="1:10" ht="15.6" x14ac:dyDescent="0.3">
      <c r="A128" s="6">
        <v>45539</v>
      </c>
      <c r="B128" s="7" t="s">
        <v>72</v>
      </c>
      <c r="C128" s="7" t="s">
        <v>805</v>
      </c>
      <c r="D128" s="7" t="s">
        <v>810</v>
      </c>
      <c r="E128" s="7">
        <v>20</v>
      </c>
      <c r="F128" s="7" t="s">
        <v>845</v>
      </c>
      <c r="G128" s="7" t="s">
        <v>834</v>
      </c>
      <c r="H128" s="7">
        <v>9538</v>
      </c>
      <c r="I128" s="7" t="s">
        <v>853</v>
      </c>
      <c r="J128" s="8" t="str" cm="1">
        <f t="array" ref="J128">_xlfn.IFS(H128&gt;8000,"PLATINUM",H128&gt;6000,"GOLD",H128&gt;4000,"SILEVER",H128&gt;2000,"NORMAL",H128&gt;500,"BASIC")</f>
        <v>PLATINUM</v>
      </c>
    </row>
    <row r="129" spans="1:10" ht="15.6" x14ac:dyDescent="0.3">
      <c r="A129" s="6">
        <v>44334</v>
      </c>
      <c r="B129" s="7" t="s">
        <v>73</v>
      </c>
      <c r="C129" s="7" t="s">
        <v>805</v>
      </c>
      <c r="D129" s="7" t="s">
        <v>810</v>
      </c>
      <c r="E129" s="7">
        <v>20</v>
      </c>
      <c r="F129" s="7" t="s">
        <v>847</v>
      </c>
      <c r="G129" s="7" t="s">
        <v>837</v>
      </c>
      <c r="H129" s="7">
        <v>9538</v>
      </c>
      <c r="I129" s="7" t="s">
        <v>853</v>
      </c>
      <c r="J129" s="8" t="str" cm="1">
        <f t="array" ref="J129">_xlfn.IFS(H129&gt;8000,"PLATINUM",H129&gt;6000,"GOLD",H129&gt;4000,"SILEVER",H129&gt;2000,"NORMAL",H129&gt;500,"BASIC")</f>
        <v>PLATINUM</v>
      </c>
    </row>
    <row r="130" spans="1:10" ht="15.6" x14ac:dyDescent="0.3">
      <c r="A130" s="6">
        <v>45539</v>
      </c>
      <c r="B130" s="7" t="s">
        <v>72</v>
      </c>
      <c r="C130" s="7" t="s">
        <v>807</v>
      </c>
      <c r="D130" s="7" t="s">
        <v>814</v>
      </c>
      <c r="E130" s="7">
        <v>14</v>
      </c>
      <c r="F130" s="7" t="s">
        <v>845</v>
      </c>
      <c r="G130" s="7" t="s">
        <v>834</v>
      </c>
      <c r="H130" s="7">
        <v>9035</v>
      </c>
      <c r="I130" s="7" t="s">
        <v>852</v>
      </c>
      <c r="J130" s="8" t="str" cm="1">
        <f t="array" ref="J130">_xlfn.IFS(H130&gt;8000,"PLATINUM",H130&gt;6000,"GOLD",H130&gt;4000,"SILEVER",H130&gt;2000,"NORMAL",H130&gt;500,"BASIC")</f>
        <v>PLATINUM</v>
      </c>
    </row>
    <row r="131" spans="1:10" ht="15.6" x14ac:dyDescent="0.3">
      <c r="A131" s="6">
        <v>44334</v>
      </c>
      <c r="B131" s="7" t="s">
        <v>73</v>
      </c>
      <c r="C131" s="7" t="s">
        <v>807</v>
      </c>
      <c r="D131" s="7" t="s">
        <v>814</v>
      </c>
      <c r="E131" s="7">
        <v>14</v>
      </c>
      <c r="F131" s="7" t="s">
        <v>847</v>
      </c>
      <c r="G131" s="7" t="s">
        <v>837</v>
      </c>
      <c r="H131" s="7">
        <v>9035</v>
      </c>
      <c r="I131" s="7" t="s">
        <v>852</v>
      </c>
      <c r="J131" s="8" t="str" cm="1">
        <f t="array" ref="J131">_xlfn.IFS(H131&gt;8000,"PLATINUM",H131&gt;6000,"GOLD",H131&gt;4000,"SILEVER",H131&gt;2000,"NORMAL",H131&gt;500,"BASIC")</f>
        <v>PLATINUM</v>
      </c>
    </row>
    <row r="132" spans="1:10" ht="15.6" x14ac:dyDescent="0.3">
      <c r="A132" s="6">
        <v>45475</v>
      </c>
      <c r="B132" s="7" t="s">
        <v>74</v>
      </c>
      <c r="C132" s="7" t="s">
        <v>806</v>
      </c>
      <c r="D132" s="7" t="s">
        <v>817</v>
      </c>
      <c r="E132" s="7">
        <v>2</v>
      </c>
      <c r="F132" s="7" t="s">
        <v>842</v>
      </c>
      <c r="G132" s="7" t="s">
        <v>839</v>
      </c>
      <c r="H132" s="7">
        <v>2684</v>
      </c>
      <c r="I132" s="7" t="s">
        <v>854</v>
      </c>
      <c r="J132" s="8" t="str" cm="1">
        <f t="array" ref="J132">_xlfn.IFS(H132&gt;8000,"PLATINUM",H132&gt;6000,"GOLD",H132&gt;4000,"SILEVER",H132&gt;2000,"NORMAL",H132&gt;500,"BASIC")</f>
        <v>NORMAL</v>
      </c>
    </row>
    <row r="133" spans="1:10" ht="15.6" x14ac:dyDescent="0.3">
      <c r="A133" s="6">
        <v>45475</v>
      </c>
      <c r="B133" s="7" t="s">
        <v>74</v>
      </c>
      <c r="C133" s="7" t="s">
        <v>807</v>
      </c>
      <c r="D133" s="7" t="s">
        <v>816</v>
      </c>
      <c r="E133" s="7">
        <v>5</v>
      </c>
      <c r="F133" s="7" t="s">
        <v>842</v>
      </c>
      <c r="G133" s="7" t="s">
        <v>839</v>
      </c>
      <c r="H133" s="7">
        <v>822</v>
      </c>
      <c r="I133" s="7" t="s">
        <v>853</v>
      </c>
      <c r="J133" s="8" t="str" cm="1">
        <f t="array" ref="J133">_xlfn.IFS(H133&gt;8000,"PLATINUM",H133&gt;6000,"GOLD",H133&gt;4000,"SILEVER",H133&gt;2000,"NORMAL",H133&gt;500,"BASIC")</f>
        <v>BASIC</v>
      </c>
    </row>
    <row r="134" spans="1:10" ht="15.6" x14ac:dyDescent="0.3">
      <c r="A134" s="6">
        <v>45475</v>
      </c>
      <c r="B134" s="7" t="s">
        <v>74</v>
      </c>
      <c r="C134" s="7" t="s">
        <v>807</v>
      </c>
      <c r="D134" s="7" t="s">
        <v>814</v>
      </c>
      <c r="E134" s="7">
        <v>2</v>
      </c>
      <c r="F134" s="7" t="s">
        <v>842</v>
      </c>
      <c r="G134" s="7" t="s">
        <v>839</v>
      </c>
      <c r="H134" s="7">
        <v>9730</v>
      </c>
      <c r="I134" s="7" t="s">
        <v>852</v>
      </c>
      <c r="J134" s="8" t="str" cm="1">
        <f t="array" ref="J134">_xlfn.IFS(H134&gt;8000,"PLATINUM",H134&gt;6000,"GOLD",H134&gt;4000,"SILEVER",H134&gt;2000,"NORMAL",H134&gt;500,"BASIC")</f>
        <v>PLATINUM</v>
      </c>
    </row>
    <row r="135" spans="1:10" ht="15.6" x14ac:dyDescent="0.3">
      <c r="A135" s="6">
        <v>45475</v>
      </c>
      <c r="B135" s="7" t="s">
        <v>74</v>
      </c>
      <c r="C135" s="7" t="s">
        <v>805</v>
      </c>
      <c r="D135" s="7" t="s">
        <v>809</v>
      </c>
      <c r="E135" s="7">
        <v>2</v>
      </c>
      <c r="F135" s="7" t="s">
        <v>842</v>
      </c>
      <c r="G135" s="7" t="s">
        <v>839</v>
      </c>
      <c r="H135" s="7">
        <v>2483</v>
      </c>
      <c r="I135" s="7" t="s">
        <v>854</v>
      </c>
      <c r="J135" s="8" t="str" cm="1">
        <f t="array" ref="J135">_xlfn.IFS(H135&gt;8000,"PLATINUM",H135&gt;6000,"GOLD",H135&gt;4000,"SILEVER",H135&gt;2000,"NORMAL",H135&gt;500,"BASIC")</f>
        <v>NORMAL</v>
      </c>
    </row>
    <row r="136" spans="1:10" ht="15.6" x14ac:dyDescent="0.3">
      <c r="A136" s="6">
        <v>45338</v>
      </c>
      <c r="B136" s="7" t="s">
        <v>75</v>
      </c>
      <c r="C136" s="7" t="s">
        <v>806</v>
      </c>
      <c r="D136" s="7" t="s">
        <v>818</v>
      </c>
      <c r="E136" s="7">
        <v>7</v>
      </c>
      <c r="F136" s="7" t="s">
        <v>842</v>
      </c>
      <c r="G136" s="7" t="s">
        <v>826</v>
      </c>
      <c r="H136" s="7">
        <v>1297</v>
      </c>
      <c r="I136" s="7" t="s">
        <v>853</v>
      </c>
      <c r="J136" s="8" t="str" cm="1">
        <f t="array" ref="J136">_xlfn.IFS(H136&gt;8000,"PLATINUM",H136&gt;6000,"GOLD",H136&gt;4000,"SILEVER",H136&gt;2000,"NORMAL",H136&gt;500,"BASIC")</f>
        <v>BASIC</v>
      </c>
    </row>
    <row r="137" spans="1:10" ht="15.6" x14ac:dyDescent="0.3">
      <c r="A137" s="6">
        <v>45338</v>
      </c>
      <c r="B137" s="7" t="s">
        <v>75</v>
      </c>
      <c r="C137" s="7" t="s">
        <v>805</v>
      </c>
      <c r="D137" s="7" t="s">
        <v>819</v>
      </c>
      <c r="E137" s="7">
        <v>19</v>
      </c>
      <c r="F137" s="7" t="s">
        <v>842</v>
      </c>
      <c r="G137" s="7" t="s">
        <v>826</v>
      </c>
      <c r="H137" s="7">
        <v>7909</v>
      </c>
      <c r="I137" s="7" t="s">
        <v>854</v>
      </c>
      <c r="J137" s="8" t="str" cm="1">
        <f t="array" ref="J137">_xlfn.IFS(H137&gt;8000,"PLATINUM",H137&gt;6000,"GOLD",H137&gt;4000,"SILEVER",H137&gt;2000,"NORMAL",H137&gt;500,"BASIC")</f>
        <v>GOLD</v>
      </c>
    </row>
    <row r="138" spans="1:10" ht="15.6" x14ac:dyDescent="0.3">
      <c r="A138" s="6">
        <v>44526</v>
      </c>
      <c r="B138" s="7" t="s">
        <v>76</v>
      </c>
      <c r="C138" s="7" t="s">
        <v>807</v>
      </c>
      <c r="D138" s="7" t="s">
        <v>813</v>
      </c>
      <c r="E138" s="7">
        <v>8</v>
      </c>
      <c r="F138" s="7" t="s">
        <v>846</v>
      </c>
      <c r="G138" s="7" t="s">
        <v>831</v>
      </c>
      <c r="H138" s="7">
        <v>9768</v>
      </c>
      <c r="I138" s="7" t="s">
        <v>853</v>
      </c>
      <c r="J138" s="8" t="str" cm="1">
        <f t="array" ref="J138">_xlfn.IFS(H138&gt;8000,"PLATINUM",H138&gt;6000,"GOLD",H138&gt;4000,"SILEVER",H138&gt;2000,"NORMAL",H138&gt;500,"BASIC")</f>
        <v>PLATINUM</v>
      </c>
    </row>
    <row r="139" spans="1:10" ht="15.6" x14ac:dyDescent="0.3">
      <c r="A139" s="6">
        <v>44526</v>
      </c>
      <c r="B139" s="7" t="s">
        <v>76</v>
      </c>
      <c r="C139" s="7" t="s">
        <v>807</v>
      </c>
      <c r="D139" s="7" t="s">
        <v>816</v>
      </c>
      <c r="E139" s="7">
        <v>5</v>
      </c>
      <c r="F139" s="7" t="s">
        <v>846</v>
      </c>
      <c r="G139" s="7" t="s">
        <v>831</v>
      </c>
      <c r="H139" s="7">
        <v>4968</v>
      </c>
      <c r="I139" s="7" t="s">
        <v>851</v>
      </c>
      <c r="J139" s="8" t="str" cm="1">
        <f t="array" ref="J139">_xlfn.IFS(H139&gt;8000,"PLATINUM",H139&gt;6000,"GOLD",H139&gt;4000,"SILEVER",H139&gt;2000,"NORMAL",H139&gt;500,"BASIC")</f>
        <v>SILEVER</v>
      </c>
    </row>
    <row r="140" spans="1:10" ht="15.6" x14ac:dyDescent="0.3">
      <c r="A140" s="6">
        <v>44526</v>
      </c>
      <c r="B140" s="7" t="s">
        <v>76</v>
      </c>
      <c r="C140" s="7" t="s">
        <v>805</v>
      </c>
      <c r="D140" s="7" t="s">
        <v>812</v>
      </c>
      <c r="E140" s="7">
        <v>4</v>
      </c>
      <c r="F140" s="7" t="s">
        <v>846</v>
      </c>
      <c r="G140" s="7" t="s">
        <v>831</v>
      </c>
      <c r="H140" s="7">
        <v>1731</v>
      </c>
      <c r="I140" s="7" t="s">
        <v>852</v>
      </c>
      <c r="J140" s="8" t="str" cm="1">
        <f t="array" ref="J140">_xlfn.IFS(H140&gt;8000,"PLATINUM",H140&gt;6000,"GOLD",H140&gt;4000,"SILEVER",H140&gt;2000,"NORMAL",H140&gt;500,"BASIC")</f>
        <v>BASIC</v>
      </c>
    </row>
    <row r="141" spans="1:10" ht="15.6" x14ac:dyDescent="0.3">
      <c r="A141" s="6">
        <v>45323</v>
      </c>
      <c r="B141" s="7" t="s">
        <v>77</v>
      </c>
      <c r="C141" s="7" t="s">
        <v>806</v>
      </c>
      <c r="D141" s="7" t="s">
        <v>818</v>
      </c>
      <c r="E141" s="7">
        <v>10</v>
      </c>
      <c r="F141" s="7" t="s">
        <v>845</v>
      </c>
      <c r="G141" s="7" t="s">
        <v>834</v>
      </c>
      <c r="H141" s="7">
        <v>3433</v>
      </c>
      <c r="I141" s="7" t="s">
        <v>854</v>
      </c>
      <c r="J141" s="8" t="str" cm="1">
        <f t="array" ref="J141">_xlfn.IFS(H141&gt;8000,"PLATINUM",H141&gt;6000,"GOLD",H141&gt;4000,"SILEVER",H141&gt;2000,"NORMAL",H141&gt;500,"BASIC")</f>
        <v>NORMAL</v>
      </c>
    </row>
    <row r="142" spans="1:10" ht="15.6" x14ac:dyDescent="0.3">
      <c r="A142" s="6">
        <v>44448</v>
      </c>
      <c r="B142" s="7" t="s">
        <v>78</v>
      </c>
      <c r="C142" s="7" t="s">
        <v>806</v>
      </c>
      <c r="D142" s="7" t="s">
        <v>818</v>
      </c>
      <c r="E142" s="7">
        <v>10</v>
      </c>
      <c r="F142" s="7" t="s">
        <v>843</v>
      </c>
      <c r="G142" s="7" t="s">
        <v>829</v>
      </c>
      <c r="H142" s="7">
        <v>3433</v>
      </c>
      <c r="I142" s="7" t="s">
        <v>854</v>
      </c>
      <c r="J142" s="8" t="str" cm="1">
        <f t="array" ref="J142">_xlfn.IFS(H142&gt;8000,"PLATINUM",H142&gt;6000,"GOLD",H142&gt;4000,"SILEVER",H142&gt;2000,"NORMAL",H142&gt;500,"BASIC")</f>
        <v>NORMAL</v>
      </c>
    </row>
    <row r="143" spans="1:10" ht="15.6" x14ac:dyDescent="0.3">
      <c r="A143" s="6">
        <v>44447</v>
      </c>
      <c r="B143" s="7" t="s">
        <v>79</v>
      </c>
      <c r="C143" s="7" t="s">
        <v>806</v>
      </c>
      <c r="D143" s="7" t="s">
        <v>818</v>
      </c>
      <c r="E143" s="7">
        <v>10</v>
      </c>
      <c r="F143" s="7" t="s">
        <v>845</v>
      </c>
      <c r="G143" s="7" t="s">
        <v>832</v>
      </c>
      <c r="H143" s="7">
        <v>3433</v>
      </c>
      <c r="I143" s="7" t="s">
        <v>854</v>
      </c>
      <c r="J143" s="8" t="str" cm="1">
        <f t="array" ref="J143">_xlfn.IFS(H143&gt;8000,"PLATINUM",H143&gt;6000,"GOLD",H143&gt;4000,"SILEVER",H143&gt;2000,"NORMAL",H143&gt;500,"BASIC")</f>
        <v>NORMAL</v>
      </c>
    </row>
    <row r="144" spans="1:10" ht="15.6" x14ac:dyDescent="0.3">
      <c r="A144" s="6">
        <v>45323</v>
      </c>
      <c r="B144" s="7" t="s">
        <v>77</v>
      </c>
      <c r="C144" s="7" t="s">
        <v>806</v>
      </c>
      <c r="D144" s="7" t="s">
        <v>818</v>
      </c>
      <c r="E144" s="7">
        <v>1</v>
      </c>
      <c r="F144" s="7" t="s">
        <v>845</v>
      </c>
      <c r="G144" s="7" t="s">
        <v>834</v>
      </c>
      <c r="H144" s="7">
        <v>3887</v>
      </c>
      <c r="I144" s="7" t="s">
        <v>851</v>
      </c>
      <c r="J144" s="8" t="str" cm="1">
        <f t="array" ref="J144">_xlfn.IFS(H144&gt;8000,"PLATINUM",H144&gt;6000,"GOLD",H144&gt;4000,"SILEVER",H144&gt;2000,"NORMAL",H144&gt;500,"BASIC")</f>
        <v>NORMAL</v>
      </c>
    </row>
    <row r="145" spans="1:10" ht="15.6" x14ac:dyDescent="0.3">
      <c r="A145" s="6">
        <v>44448</v>
      </c>
      <c r="B145" s="7" t="s">
        <v>78</v>
      </c>
      <c r="C145" s="7" t="s">
        <v>806</v>
      </c>
      <c r="D145" s="7" t="s">
        <v>818</v>
      </c>
      <c r="E145" s="7">
        <v>1</v>
      </c>
      <c r="F145" s="7" t="s">
        <v>843</v>
      </c>
      <c r="G145" s="7" t="s">
        <v>829</v>
      </c>
      <c r="H145" s="7">
        <v>3887</v>
      </c>
      <c r="I145" s="7" t="s">
        <v>851</v>
      </c>
      <c r="J145" s="8" t="str" cm="1">
        <f t="array" ref="J145">_xlfn.IFS(H145&gt;8000,"PLATINUM",H145&gt;6000,"GOLD",H145&gt;4000,"SILEVER",H145&gt;2000,"NORMAL",H145&gt;500,"BASIC")</f>
        <v>NORMAL</v>
      </c>
    </row>
    <row r="146" spans="1:10" ht="15.6" x14ac:dyDescent="0.3">
      <c r="A146" s="6">
        <v>44447</v>
      </c>
      <c r="B146" s="7" t="s">
        <v>79</v>
      </c>
      <c r="C146" s="7" t="s">
        <v>806</v>
      </c>
      <c r="D146" s="7" t="s">
        <v>818</v>
      </c>
      <c r="E146" s="7">
        <v>1</v>
      </c>
      <c r="F146" s="7" t="s">
        <v>845</v>
      </c>
      <c r="G146" s="7" t="s">
        <v>832</v>
      </c>
      <c r="H146" s="7">
        <v>3887</v>
      </c>
      <c r="I146" s="7" t="s">
        <v>851</v>
      </c>
      <c r="J146" s="8" t="str" cm="1">
        <f t="array" ref="J146">_xlfn.IFS(H146&gt;8000,"PLATINUM",H146&gt;6000,"GOLD",H146&gt;4000,"SILEVER",H146&gt;2000,"NORMAL",H146&gt;500,"BASIC")</f>
        <v>NORMAL</v>
      </c>
    </row>
    <row r="147" spans="1:10" ht="15.6" x14ac:dyDescent="0.3">
      <c r="A147" s="6">
        <v>45482</v>
      </c>
      <c r="B147" s="7" t="s">
        <v>80</v>
      </c>
      <c r="C147" s="7" t="s">
        <v>806</v>
      </c>
      <c r="D147" s="7" t="s">
        <v>815</v>
      </c>
      <c r="E147" s="7">
        <v>20</v>
      </c>
      <c r="F147" s="7" t="s">
        <v>845</v>
      </c>
      <c r="G147" s="7" t="s">
        <v>827</v>
      </c>
      <c r="H147" s="7">
        <v>1801</v>
      </c>
      <c r="I147" s="7" t="s">
        <v>853</v>
      </c>
      <c r="J147" s="8" t="str" cm="1">
        <f t="array" ref="J147">_xlfn.IFS(H147&gt;8000,"PLATINUM",H147&gt;6000,"GOLD",H147&gt;4000,"SILEVER",H147&gt;2000,"NORMAL",H147&gt;500,"BASIC")</f>
        <v>BASIC</v>
      </c>
    </row>
    <row r="148" spans="1:10" ht="15.6" x14ac:dyDescent="0.3">
      <c r="A148" s="6">
        <v>45482</v>
      </c>
      <c r="B148" s="7" t="s">
        <v>80</v>
      </c>
      <c r="C148" s="7" t="s">
        <v>807</v>
      </c>
      <c r="D148" s="7" t="s">
        <v>813</v>
      </c>
      <c r="E148" s="7">
        <v>10</v>
      </c>
      <c r="F148" s="7" t="s">
        <v>845</v>
      </c>
      <c r="G148" s="7" t="s">
        <v>827</v>
      </c>
      <c r="H148" s="7">
        <v>5301</v>
      </c>
      <c r="I148" s="7" t="s">
        <v>851</v>
      </c>
      <c r="J148" s="8" t="str" cm="1">
        <f t="array" ref="J148">_xlfn.IFS(H148&gt;8000,"PLATINUM",H148&gt;6000,"GOLD",H148&gt;4000,"SILEVER",H148&gt;2000,"NORMAL",H148&gt;500,"BASIC")</f>
        <v>SILEVER</v>
      </c>
    </row>
    <row r="149" spans="1:10" ht="15.6" x14ac:dyDescent="0.3">
      <c r="A149" s="6">
        <v>45482</v>
      </c>
      <c r="B149" s="7" t="s">
        <v>80</v>
      </c>
      <c r="C149" s="7" t="s">
        <v>806</v>
      </c>
      <c r="D149" s="7" t="s">
        <v>817</v>
      </c>
      <c r="E149" s="7">
        <v>12</v>
      </c>
      <c r="F149" s="7" t="s">
        <v>845</v>
      </c>
      <c r="G149" s="7" t="s">
        <v>827</v>
      </c>
      <c r="H149" s="7">
        <v>1166</v>
      </c>
      <c r="I149" s="7" t="s">
        <v>851</v>
      </c>
      <c r="J149" s="8" t="str" cm="1">
        <f t="array" ref="J149">_xlfn.IFS(H149&gt;8000,"PLATINUM",H149&gt;6000,"GOLD",H149&gt;4000,"SILEVER",H149&gt;2000,"NORMAL",H149&gt;500,"BASIC")</f>
        <v>BASIC</v>
      </c>
    </row>
    <row r="150" spans="1:10" ht="15.6" x14ac:dyDescent="0.3">
      <c r="A150" s="6">
        <v>45482</v>
      </c>
      <c r="B150" s="7" t="s">
        <v>80</v>
      </c>
      <c r="C150" s="7" t="s">
        <v>806</v>
      </c>
      <c r="D150" s="7" t="s">
        <v>817</v>
      </c>
      <c r="E150" s="7">
        <v>15</v>
      </c>
      <c r="F150" s="7" t="s">
        <v>845</v>
      </c>
      <c r="G150" s="7" t="s">
        <v>827</v>
      </c>
      <c r="H150" s="7">
        <v>3196</v>
      </c>
      <c r="I150" s="7" t="s">
        <v>851</v>
      </c>
      <c r="J150" s="8" t="str" cm="1">
        <f t="array" ref="J150">_xlfn.IFS(H150&gt;8000,"PLATINUM",H150&gt;6000,"GOLD",H150&gt;4000,"SILEVER",H150&gt;2000,"NORMAL",H150&gt;500,"BASIC")</f>
        <v>NORMAL</v>
      </c>
    </row>
    <row r="151" spans="1:10" ht="15.6" x14ac:dyDescent="0.3">
      <c r="A151" s="6">
        <v>44985</v>
      </c>
      <c r="B151" s="7" t="s">
        <v>81</v>
      </c>
      <c r="C151" s="7" t="s">
        <v>807</v>
      </c>
      <c r="D151" s="7" t="s">
        <v>814</v>
      </c>
      <c r="E151" s="7">
        <v>1</v>
      </c>
      <c r="F151" s="7" t="s">
        <v>843</v>
      </c>
      <c r="G151" s="7" t="s">
        <v>829</v>
      </c>
      <c r="H151" s="7">
        <v>3428</v>
      </c>
      <c r="I151" s="7" t="s">
        <v>853</v>
      </c>
      <c r="J151" s="8" t="str" cm="1">
        <f t="array" ref="J151">_xlfn.IFS(H151&gt;8000,"PLATINUM",H151&gt;6000,"GOLD",H151&gt;4000,"SILEVER",H151&gt;2000,"NORMAL",H151&gt;500,"BASIC")</f>
        <v>NORMAL</v>
      </c>
    </row>
    <row r="152" spans="1:10" ht="15.6" x14ac:dyDescent="0.3">
      <c r="A152" s="6">
        <v>44985</v>
      </c>
      <c r="B152" s="7" t="s">
        <v>81</v>
      </c>
      <c r="C152" s="7" t="s">
        <v>806</v>
      </c>
      <c r="D152" s="7" t="s">
        <v>818</v>
      </c>
      <c r="E152" s="7">
        <v>12</v>
      </c>
      <c r="F152" s="7" t="s">
        <v>843</v>
      </c>
      <c r="G152" s="7" t="s">
        <v>829</v>
      </c>
      <c r="H152" s="7">
        <v>7223</v>
      </c>
      <c r="I152" s="7" t="s">
        <v>853</v>
      </c>
      <c r="J152" s="8" t="str" cm="1">
        <f t="array" ref="J152">_xlfn.IFS(H152&gt;8000,"PLATINUM",H152&gt;6000,"GOLD",H152&gt;4000,"SILEVER",H152&gt;2000,"NORMAL",H152&gt;500,"BASIC")</f>
        <v>GOLD</v>
      </c>
    </row>
    <row r="153" spans="1:10" ht="15.6" x14ac:dyDescent="0.3">
      <c r="A153" s="6">
        <v>44985</v>
      </c>
      <c r="B153" s="7" t="s">
        <v>81</v>
      </c>
      <c r="C153" s="7" t="s">
        <v>806</v>
      </c>
      <c r="D153" s="7" t="s">
        <v>811</v>
      </c>
      <c r="E153" s="7">
        <v>1</v>
      </c>
      <c r="F153" s="7" t="s">
        <v>843</v>
      </c>
      <c r="G153" s="7" t="s">
        <v>829</v>
      </c>
      <c r="H153" s="7">
        <v>3731</v>
      </c>
      <c r="I153" s="7" t="s">
        <v>853</v>
      </c>
      <c r="J153" s="8" t="str" cm="1">
        <f t="array" ref="J153">_xlfn.IFS(H153&gt;8000,"PLATINUM",H153&gt;6000,"GOLD",H153&gt;4000,"SILEVER",H153&gt;2000,"NORMAL",H153&gt;500,"BASIC")</f>
        <v>NORMAL</v>
      </c>
    </row>
    <row r="154" spans="1:10" ht="15.6" x14ac:dyDescent="0.3">
      <c r="A154" s="6">
        <v>44781</v>
      </c>
      <c r="B154" s="7" t="s">
        <v>82</v>
      </c>
      <c r="C154" s="7" t="s">
        <v>806</v>
      </c>
      <c r="D154" s="7" t="s">
        <v>811</v>
      </c>
      <c r="E154" s="7">
        <v>18</v>
      </c>
      <c r="F154" s="7" t="s">
        <v>847</v>
      </c>
      <c r="G154" s="7" t="s">
        <v>835</v>
      </c>
      <c r="H154" s="7">
        <v>8903</v>
      </c>
      <c r="I154" s="7" t="s">
        <v>853</v>
      </c>
      <c r="J154" s="8" t="str" cm="1">
        <f t="array" ref="J154">_xlfn.IFS(H154&gt;8000,"PLATINUM",H154&gt;6000,"GOLD",H154&gt;4000,"SILEVER",H154&gt;2000,"NORMAL",H154&gt;500,"BASIC")</f>
        <v>PLATINUM</v>
      </c>
    </row>
    <row r="155" spans="1:10" ht="15.6" x14ac:dyDescent="0.3">
      <c r="A155" s="6">
        <v>44902</v>
      </c>
      <c r="B155" s="7" t="s">
        <v>83</v>
      </c>
      <c r="C155" s="7" t="s">
        <v>805</v>
      </c>
      <c r="D155" s="7" t="s">
        <v>819</v>
      </c>
      <c r="E155" s="7">
        <v>7</v>
      </c>
      <c r="F155" s="7" t="s">
        <v>843</v>
      </c>
      <c r="G155" s="7" t="s">
        <v>824</v>
      </c>
      <c r="H155" s="7">
        <v>6009</v>
      </c>
      <c r="I155" s="7" t="s">
        <v>850</v>
      </c>
      <c r="J155" s="8" t="str" cm="1">
        <f t="array" ref="J155">_xlfn.IFS(H155&gt;8000,"PLATINUM",H155&gt;6000,"GOLD",H155&gt;4000,"SILEVER",H155&gt;2000,"NORMAL",H155&gt;500,"BASIC")</f>
        <v>GOLD</v>
      </c>
    </row>
    <row r="156" spans="1:10" ht="15.6" x14ac:dyDescent="0.3">
      <c r="A156" s="6">
        <v>45411</v>
      </c>
      <c r="B156" s="7" t="s">
        <v>84</v>
      </c>
      <c r="C156" s="7" t="s">
        <v>805</v>
      </c>
      <c r="D156" s="7" t="s">
        <v>819</v>
      </c>
      <c r="E156" s="7">
        <v>7</v>
      </c>
      <c r="F156" s="7" t="s">
        <v>846</v>
      </c>
      <c r="G156" s="7" t="s">
        <v>833</v>
      </c>
      <c r="H156" s="7">
        <v>6009</v>
      </c>
      <c r="I156" s="7" t="s">
        <v>850</v>
      </c>
      <c r="J156" s="8" t="str" cm="1">
        <f t="array" ref="J156">_xlfn.IFS(H156&gt;8000,"PLATINUM",H156&gt;6000,"GOLD",H156&gt;4000,"SILEVER",H156&gt;2000,"NORMAL",H156&gt;500,"BASIC")</f>
        <v>GOLD</v>
      </c>
    </row>
    <row r="157" spans="1:10" ht="15.6" x14ac:dyDescent="0.3">
      <c r="A157" s="6">
        <v>44902</v>
      </c>
      <c r="B157" s="7" t="s">
        <v>83</v>
      </c>
      <c r="C157" s="7" t="s">
        <v>807</v>
      </c>
      <c r="D157" s="7" t="s">
        <v>813</v>
      </c>
      <c r="E157" s="7">
        <v>3</v>
      </c>
      <c r="F157" s="7" t="s">
        <v>843</v>
      </c>
      <c r="G157" s="7" t="s">
        <v>824</v>
      </c>
      <c r="H157" s="7">
        <v>2858</v>
      </c>
      <c r="I157" s="7" t="s">
        <v>853</v>
      </c>
      <c r="J157" s="8" t="str" cm="1">
        <f t="array" ref="J157">_xlfn.IFS(H157&gt;8000,"PLATINUM",H157&gt;6000,"GOLD",H157&gt;4000,"SILEVER",H157&gt;2000,"NORMAL",H157&gt;500,"BASIC")</f>
        <v>NORMAL</v>
      </c>
    </row>
    <row r="158" spans="1:10" ht="15.6" x14ac:dyDescent="0.3">
      <c r="A158" s="6">
        <v>45411</v>
      </c>
      <c r="B158" s="7" t="s">
        <v>84</v>
      </c>
      <c r="C158" s="7" t="s">
        <v>807</v>
      </c>
      <c r="D158" s="7" t="s">
        <v>813</v>
      </c>
      <c r="E158" s="7">
        <v>3</v>
      </c>
      <c r="F158" s="7" t="s">
        <v>846</v>
      </c>
      <c r="G158" s="7" t="s">
        <v>833</v>
      </c>
      <c r="H158" s="7">
        <v>2858</v>
      </c>
      <c r="I158" s="7" t="s">
        <v>853</v>
      </c>
      <c r="J158" s="8" t="str" cm="1">
        <f t="array" ref="J158">_xlfn.IFS(H158&gt;8000,"PLATINUM",H158&gt;6000,"GOLD",H158&gt;4000,"SILEVER",H158&gt;2000,"NORMAL",H158&gt;500,"BASIC")</f>
        <v>NORMAL</v>
      </c>
    </row>
    <row r="159" spans="1:10" ht="15.6" x14ac:dyDescent="0.3">
      <c r="A159" s="6">
        <v>44902</v>
      </c>
      <c r="B159" s="7" t="s">
        <v>83</v>
      </c>
      <c r="C159" s="7" t="s">
        <v>807</v>
      </c>
      <c r="D159" s="7" t="s">
        <v>816</v>
      </c>
      <c r="E159" s="7">
        <v>7</v>
      </c>
      <c r="F159" s="7" t="s">
        <v>843</v>
      </c>
      <c r="G159" s="7" t="s">
        <v>824</v>
      </c>
      <c r="H159" s="7">
        <v>8175</v>
      </c>
      <c r="I159" s="7" t="s">
        <v>853</v>
      </c>
      <c r="J159" s="8" t="str" cm="1">
        <f t="array" ref="J159">_xlfn.IFS(H159&gt;8000,"PLATINUM",H159&gt;6000,"GOLD",H159&gt;4000,"SILEVER",H159&gt;2000,"NORMAL",H159&gt;500,"BASIC")</f>
        <v>PLATINUM</v>
      </c>
    </row>
    <row r="160" spans="1:10" ht="15.6" x14ac:dyDescent="0.3">
      <c r="A160" s="6">
        <v>45411</v>
      </c>
      <c r="B160" s="7" t="s">
        <v>84</v>
      </c>
      <c r="C160" s="7" t="s">
        <v>807</v>
      </c>
      <c r="D160" s="7" t="s">
        <v>816</v>
      </c>
      <c r="E160" s="7">
        <v>7</v>
      </c>
      <c r="F160" s="7" t="s">
        <v>846</v>
      </c>
      <c r="G160" s="7" t="s">
        <v>833</v>
      </c>
      <c r="H160" s="7">
        <v>8175</v>
      </c>
      <c r="I160" s="7" t="s">
        <v>853</v>
      </c>
      <c r="J160" s="8" t="str" cm="1">
        <f t="array" ref="J160">_xlfn.IFS(H160&gt;8000,"PLATINUM",H160&gt;6000,"GOLD",H160&gt;4000,"SILEVER",H160&gt;2000,"NORMAL",H160&gt;500,"BASIC")</f>
        <v>PLATINUM</v>
      </c>
    </row>
    <row r="161" spans="1:10" ht="15.6" x14ac:dyDescent="0.3">
      <c r="A161" s="6">
        <v>44902</v>
      </c>
      <c r="B161" s="7" t="s">
        <v>83</v>
      </c>
      <c r="C161" s="7" t="s">
        <v>807</v>
      </c>
      <c r="D161" s="7" t="s">
        <v>816</v>
      </c>
      <c r="E161" s="7">
        <v>18</v>
      </c>
      <c r="F161" s="7" t="s">
        <v>843</v>
      </c>
      <c r="G161" s="7" t="s">
        <v>824</v>
      </c>
      <c r="H161" s="7">
        <v>5846</v>
      </c>
      <c r="I161" s="7" t="s">
        <v>850</v>
      </c>
      <c r="J161" s="8" t="str" cm="1">
        <f t="array" ref="J161">_xlfn.IFS(H161&gt;8000,"PLATINUM",H161&gt;6000,"GOLD",H161&gt;4000,"SILEVER",H161&gt;2000,"NORMAL",H161&gt;500,"BASIC")</f>
        <v>SILEVER</v>
      </c>
    </row>
    <row r="162" spans="1:10" ht="15.6" x14ac:dyDescent="0.3">
      <c r="A162" s="6">
        <v>45411</v>
      </c>
      <c r="B162" s="7" t="s">
        <v>84</v>
      </c>
      <c r="C162" s="7" t="s">
        <v>807</v>
      </c>
      <c r="D162" s="7" t="s">
        <v>816</v>
      </c>
      <c r="E162" s="7">
        <v>18</v>
      </c>
      <c r="F162" s="7" t="s">
        <v>846</v>
      </c>
      <c r="G162" s="7" t="s">
        <v>833</v>
      </c>
      <c r="H162" s="7">
        <v>5846</v>
      </c>
      <c r="I162" s="7" t="s">
        <v>850</v>
      </c>
      <c r="J162" s="8" t="str" cm="1">
        <f t="array" ref="J162">_xlfn.IFS(H162&gt;8000,"PLATINUM",H162&gt;6000,"GOLD",H162&gt;4000,"SILEVER",H162&gt;2000,"NORMAL",H162&gt;500,"BASIC")</f>
        <v>SILEVER</v>
      </c>
    </row>
    <row r="163" spans="1:10" ht="15.6" x14ac:dyDescent="0.3">
      <c r="A163" s="6">
        <v>44563</v>
      </c>
      <c r="B163" s="7" t="s">
        <v>85</v>
      </c>
      <c r="C163" s="7" t="s">
        <v>805</v>
      </c>
      <c r="D163" s="7" t="s">
        <v>812</v>
      </c>
      <c r="E163" s="7">
        <v>11</v>
      </c>
      <c r="F163" s="7" t="s">
        <v>846</v>
      </c>
      <c r="G163" s="7" t="s">
        <v>833</v>
      </c>
      <c r="H163" s="7">
        <v>706</v>
      </c>
      <c r="I163" s="7" t="s">
        <v>853</v>
      </c>
      <c r="J163" s="8" t="str" cm="1">
        <f t="array" ref="J163">_xlfn.IFS(H163&gt;8000,"PLATINUM",H163&gt;6000,"GOLD",H163&gt;4000,"SILEVER",H163&gt;2000,"NORMAL",H163&gt;500,"BASIC")</f>
        <v>BASIC</v>
      </c>
    </row>
    <row r="164" spans="1:10" ht="15.6" x14ac:dyDescent="0.3">
      <c r="A164" s="6">
        <v>44722</v>
      </c>
      <c r="B164" s="7" t="s">
        <v>86</v>
      </c>
      <c r="C164" s="7" t="s">
        <v>807</v>
      </c>
      <c r="D164" s="7" t="s">
        <v>813</v>
      </c>
      <c r="E164" s="7">
        <v>16</v>
      </c>
      <c r="F164" s="7" t="s">
        <v>846</v>
      </c>
      <c r="G164" s="7" t="s">
        <v>831</v>
      </c>
      <c r="H164" s="7">
        <v>9835</v>
      </c>
      <c r="I164" s="7" t="s">
        <v>854</v>
      </c>
      <c r="J164" s="8" t="str" cm="1">
        <f t="array" ref="J164">_xlfn.IFS(H164&gt;8000,"PLATINUM",H164&gt;6000,"GOLD",H164&gt;4000,"SILEVER",H164&gt;2000,"NORMAL",H164&gt;500,"BASIC")</f>
        <v>PLATINUM</v>
      </c>
    </row>
    <row r="165" spans="1:10" ht="15.6" x14ac:dyDescent="0.3">
      <c r="A165" s="6">
        <v>44516</v>
      </c>
      <c r="B165" s="7" t="s">
        <v>87</v>
      </c>
      <c r="C165" s="7" t="s">
        <v>807</v>
      </c>
      <c r="D165" s="7" t="s">
        <v>813</v>
      </c>
      <c r="E165" s="7">
        <v>16</v>
      </c>
      <c r="F165" s="7" t="s">
        <v>842</v>
      </c>
      <c r="G165" s="7" t="s">
        <v>826</v>
      </c>
      <c r="H165" s="7">
        <v>9835</v>
      </c>
      <c r="I165" s="7" t="s">
        <v>854</v>
      </c>
      <c r="J165" s="8" t="str" cm="1">
        <f t="array" ref="J165">_xlfn.IFS(H165&gt;8000,"PLATINUM",H165&gt;6000,"GOLD",H165&gt;4000,"SILEVER",H165&gt;2000,"NORMAL",H165&gt;500,"BASIC")</f>
        <v>PLATINUM</v>
      </c>
    </row>
    <row r="166" spans="1:10" ht="15.6" x14ac:dyDescent="0.3">
      <c r="A166" s="6">
        <v>44790</v>
      </c>
      <c r="B166" s="7" t="s">
        <v>88</v>
      </c>
      <c r="C166" s="7" t="s">
        <v>807</v>
      </c>
      <c r="D166" s="7" t="s">
        <v>813</v>
      </c>
      <c r="E166" s="7">
        <v>16</v>
      </c>
      <c r="F166" s="7" t="s">
        <v>845</v>
      </c>
      <c r="G166" s="7" t="s">
        <v>827</v>
      </c>
      <c r="H166" s="7">
        <v>9835</v>
      </c>
      <c r="I166" s="7" t="s">
        <v>854</v>
      </c>
      <c r="J166" s="8" t="str" cm="1">
        <f t="array" ref="J166">_xlfn.IFS(H166&gt;8000,"PLATINUM",H166&gt;6000,"GOLD",H166&gt;4000,"SILEVER",H166&gt;2000,"NORMAL",H166&gt;500,"BASIC")</f>
        <v>PLATINUM</v>
      </c>
    </row>
    <row r="167" spans="1:10" ht="15.6" x14ac:dyDescent="0.3">
      <c r="A167" s="6">
        <v>44722</v>
      </c>
      <c r="B167" s="7" t="s">
        <v>86</v>
      </c>
      <c r="C167" s="7" t="s">
        <v>806</v>
      </c>
      <c r="D167" s="7" t="s">
        <v>815</v>
      </c>
      <c r="E167" s="7">
        <v>13</v>
      </c>
      <c r="F167" s="7" t="s">
        <v>846</v>
      </c>
      <c r="G167" s="7" t="s">
        <v>831</v>
      </c>
      <c r="H167" s="7">
        <v>9691</v>
      </c>
      <c r="I167" s="7" t="s">
        <v>853</v>
      </c>
      <c r="J167" s="8" t="str" cm="1">
        <f t="array" ref="J167">_xlfn.IFS(H167&gt;8000,"PLATINUM",H167&gt;6000,"GOLD",H167&gt;4000,"SILEVER",H167&gt;2000,"NORMAL",H167&gt;500,"BASIC")</f>
        <v>PLATINUM</v>
      </c>
    </row>
    <row r="168" spans="1:10" ht="15.6" x14ac:dyDescent="0.3">
      <c r="A168" s="6">
        <v>44516</v>
      </c>
      <c r="B168" s="7" t="s">
        <v>87</v>
      </c>
      <c r="C168" s="7" t="s">
        <v>806</v>
      </c>
      <c r="D168" s="7" t="s">
        <v>815</v>
      </c>
      <c r="E168" s="7">
        <v>13</v>
      </c>
      <c r="F168" s="7" t="s">
        <v>842</v>
      </c>
      <c r="G168" s="7" t="s">
        <v>826</v>
      </c>
      <c r="H168" s="7">
        <v>9691</v>
      </c>
      <c r="I168" s="7" t="s">
        <v>853</v>
      </c>
      <c r="J168" s="8" t="str" cm="1">
        <f t="array" ref="J168">_xlfn.IFS(H168&gt;8000,"PLATINUM",H168&gt;6000,"GOLD",H168&gt;4000,"SILEVER",H168&gt;2000,"NORMAL",H168&gt;500,"BASIC")</f>
        <v>PLATINUM</v>
      </c>
    </row>
    <row r="169" spans="1:10" ht="15.6" x14ac:dyDescent="0.3">
      <c r="A169" s="6">
        <v>44790</v>
      </c>
      <c r="B169" s="7" t="s">
        <v>88</v>
      </c>
      <c r="C169" s="7" t="s">
        <v>806</v>
      </c>
      <c r="D169" s="7" t="s">
        <v>815</v>
      </c>
      <c r="E169" s="7">
        <v>13</v>
      </c>
      <c r="F169" s="7" t="s">
        <v>845</v>
      </c>
      <c r="G169" s="7" t="s">
        <v>827</v>
      </c>
      <c r="H169" s="7">
        <v>9691</v>
      </c>
      <c r="I169" s="7" t="s">
        <v>853</v>
      </c>
      <c r="J169" s="8" t="str" cm="1">
        <f t="array" ref="J169">_xlfn.IFS(H169&gt;8000,"PLATINUM",H169&gt;6000,"GOLD",H169&gt;4000,"SILEVER",H169&gt;2000,"NORMAL",H169&gt;500,"BASIC")</f>
        <v>PLATINUM</v>
      </c>
    </row>
    <row r="170" spans="1:10" ht="15.6" x14ac:dyDescent="0.3">
      <c r="A170" s="6">
        <v>44722</v>
      </c>
      <c r="B170" s="7" t="s">
        <v>86</v>
      </c>
      <c r="C170" s="7" t="s">
        <v>807</v>
      </c>
      <c r="D170" s="7" t="s">
        <v>820</v>
      </c>
      <c r="E170" s="7">
        <v>14</v>
      </c>
      <c r="F170" s="7" t="s">
        <v>846</v>
      </c>
      <c r="G170" s="7" t="s">
        <v>831</v>
      </c>
      <c r="H170" s="7">
        <v>7826</v>
      </c>
      <c r="I170" s="7" t="s">
        <v>850</v>
      </c>
      <c r="J170" s="8" t="str" cm="1">
        <f t="array" ref="J170">_xlfn.IFS(H170&gt;8000,"PLATINUM",H170&gt;6000,"GOLD",H170&gt;4000,"SILEVER",H170&gt;2000,"NORMAL",H170&gt;500,"BASIC")</f>
        <v>GOLD</v>
      </c>
    </row>
    <row r="171" spans="1:10" ht="15.6" x14ac:dyDescent="0.3">
      <c r="A171" s="6">
        <v>44516</v>
      </c>
      <c r="B171" s="7" t="s">
        <v>87</v>
      </c>
      <c r="C171" s="7" t="s">
        <v>807</v>
      </c>
      <c r="D171" s="7" t="s">
        <v>820</v>
      </c>
      <c r="E171" s="7">
        <v>14</v>
      </c>
      <c r="F171" s="7" t="s">
        <v>842</v>
      </c>
      <c r="G171" s="7" t="s">
        <v>826</v>
      </c>
      <c r="H171" s="7">
        <v>7826</v>
      </c>
      <c r="I171" s="7" t="s">
        <v>850</v>
      </c>
      <c r="J171" s="8" t="str" cm="1">
        <f t="array" ref="J171">_xlfn.IFS(H171&gt;8000,"PLATINUM",H171&gt;6000,"GOLD",H171&gt;4000,"SILEVER",H171&gt;2000,"NORMAL",H171&gt;500,"BASIC")</f>
        <v>GOLD</v>
      </c>
    </row>
    <row r="172" spans="1:10" ht="15.6" x14ac:dyDescent="0.3">
      <c r="A172" s="6">
        <v>44790</v>
      </c>
      <c r="B172" s="7" t="s">
        <v>88</v>
      </c>
      <c r="C172" s="7" t="s">
        <v>807</v>
      </c>
      <c r="D172" s="7" t="s">
        <v>820</v>
      </c>
      <c r="E172" s="7">
        <v>14</v>
      </c>
      <c r="F172" s="7" t="s">
        <v>845</v>
      </c>
      <c r="G172" s="7" t="s">
        <v>827</v>
      </c>
      <c r="H172" s="7">
        <v>7826</v>
      </c>
      <c r="I172" s="7" t="s">
        <v>850</v>
      </c>
      <c r="J172" s="8" t="str" cm="1">
        <f t="array" ref="J172">_xlfn.IFS(H172&gt;8000,"PLATINUM",H172&gt;6000,"GOLD",H172&gt;4000,"SILEVER",H172&gt;2000,"NORMAL",H172&gt;500,"BASIC")</f>
        <v>GOLD</v>
      </c>
    </row>
    <row r="173" spans="1:10" ht="15.6" x14ac:dyDescent="0.3">
      <c r="A173" s="6">
        <v>44523</v>
      </c>
      <c r="B173" s="7" t="s">
        <v>89</v>
      </c>
      <c r="C173" s="7" t="s">
        <v>807</v>
      </c>
      <c r="D173" s="7" t="s">
        <v>816</v>
      </c>
      <c r="E173" s="7">
        <v>11</v>
      </c>
      <c r="F173" s="7" t="s">
        <v>846</v>
      </c>
      <c r="G173" s="7" t="s">
        <v>833</v>
      </c>
      <c r="H173" s="7">
        <v>770</v>
      </c>
      <c r="I173" s="7" t="s">
        <v>854</v>
      </c>
      <c r="J173" s="8" t="str" cm="1">
        <f t="array" ref="J173">_xlfn.IFS(H173&gt;8000,"PLATINUM",H173&gt;6000,"GOLD",H173&gt;4000,"SILEVER",H173&gt;2000,"NORMAL",H173&gt;500,"BASIC")</f>
        <v>BASIC</v>
      </c>
    </row>
    <row r="174" spans="1:10" ht="15.6" x14ac:dyDescent="0.3">
      <c r="A174" s="6">
        <v>44989</v>
      </c>
      <c r="B174" s="7" t="s">
        <v>90</v>
      </c>
      <c r="C174" s="7" t="s">
        <v>807</v>
      </c>
      <c r="D174" s="7" t="s">
        <v>816</v>
      </c>
      <c r="E174" s="7">
        <v>11</v>
      </c>
      <c r="F174" s="7" t="s">
        <v>847</v>
      </c>
      <c r="G174" s="7" t="s">
        <v>836</v>
      </c>
      <c r="H174" s="7">
        <v>770</v>
      </c>
      <c r="I174" s="7" t="s">
        <v>854</v>
      </c>
      <c r="J174" s="8" t="str" cm="1">
        <f t="array" ref="J174">_xlfn.IFS(H174&gt;8000,"PLATINUM",H174&gt;6000,"GOLD",H174&gt;4000,"SILEVER",H174&gt;2000,"NORMAL",H174&gt;500,"BASIC")</f>
        <v>BASIC</v>
      </c>
    </row>
    <row r="175" spans="1:10" ht="15.6" x14ac:dyDescent="0.3">
      <c r="A175" s="6">
        <v>45276</v>
      </c>
      <c r="B175" s="7" t="s">
        <v>91</v>
      </c>
      <c r="C175" s="7" t="s">
        <v>807</v>
      </c>
      <c r="D175" s="7" t="s">
        <v>820</v>
      </c>
      <c r="E175" s="7">
        <v>20</v>
      </c>
      <c r="F175" s="7" t="s">
        <v>844</v>
      </c>
      <c r="G175" s="7" t="s">
        <v>830</v>
      </c>
      <c r="H175" s="7">
        <v>9895</v>
      </c>
      <c r="I175" s="7" t="s">
        <v>854</v>
      </c>
      <c r="J175" s="8" t="str" cm="1">
        <f t="array" ref="J175">_xlfn.IFS(H175&gt;8000,"PLATINUM",H175&gt;6000,"GOLD",H175&gt;4000,"SILEVER",H175&gt;2000,"NORMAL",H175&gt;500,"BASIC")</f>
        <v>PLATINUM</v>
      </c>
    </row>
    <row r="176" spans="1:10" ht="15.6" x14ac:dyDescent="0.3">
      <c r="A176" s="6">
        <v>45431</v>
      </c>
      <c r="B176" s="7" t="s">
        <v>92</v>
      </c>
      <c r="C176" s="7" t="s">
        <v>806</v>
      </c>
      <c r="D176" s="7" t="s">
        <v>817</v>
      </c>
      <c r="E176" s="7">
        <v>10</v>
      </c>
      <c r="F176" s="7" t="s">
        <v>842</v>
      </c>
      <c r="G176" s="7" t="s">
        <v>823</v>
      </c>
      <c r="H176" s="7">
        <v>6517</v>
      </c>
      <c r="I176" s="7" t="s">
        <v>851</v>
      </c>
      <c r="J176" s="8" t="str" cm="1">
        <f t="array" ref="J176">_xlfn.IFS(H176&gt;8000,"PLATINUM",H176&gt;6000,"GOLD",H176&gt;4000,"SILEVER",H176&gt;2000,"NORMAL",H176&gt;500,"BASIC")</f>
        <v>GOLD</v>
      </c>
    </row>
    <row r="177" spans="1:10" ht="15.6" x14ac:dyDescent="0.3">
      <c r="A177" s="6">
        <v>43965</v>
      </c>
      <c r="B177" s="7" t="s">
        <v>93</v>
      </c>
      <c r="C177" s="7" t="s">
        <v>806</v>
      </c>
      <c r="D177" s="7" t="s">
        <v>817</v>
      </c>
      <c r="E177" s="7">
        <v>10</v>
      </c>
      <c r="F177" s="7" t="s">
        <v>842</v>
      </c>
      <c r="G177" s="7" t="s">
        <v>839</v>
      </c>
      <c r="H177" s="7">
        <v>6517</v>
      </c>
      <c r="I177" s="7" t="s">
        <v>851</v>
      </c>
      <c r="J177" s="8" t="str" cm="1">
        <f t="array" ref="J177">_xlfn.IFS(H177&gt;8000,"PLATINUM",H177&gt;6000,"GOLD",H177&gt;4000,"SILEVER",H177&gt;2000,"NORMAL",H177&gt;500,"BASIC")</f>
        <v>GOLD</v>
      </c>
    </row>
    <row r="178" spans="1:10" ht="15.6" x14ac:dyDescent="0.3">
      <c r="A178" s="6">
        <v>45431</v>
      </c>
      <c r="B178" s="7" t="s">
        <v>92</v>
      </c>
      <c r="C178" s="7" t="s">
        <v>807</v>
      </c>
      <c r="D178" s="7" t="s">
        <v>813</v>
      </c>
      <c r="E178" s="7">
        <v>11</v>
      </c>
      <c r="F178" s="7" t="s">
        <v>842</v>
      </c>
      <c r="G178" s="7" t="s">
        <v>823</v>
      </c>
      <c r="H178" s="7">
        <v>1166</v>
      </c>
      <c r="I178" s="7" t="s">
        <v>853</v>
      </c>
      <c r="J178" s="8" t="str" cm="1">
        <f t="array" ref="J178">_xlfn.IFS(H178&gt;8000,"PLATINUM",H178&gt;6000,"GOLD",H178&gt;4000,"SILEVER",H178&gt;2000,"NORMAL",H178&gt;500,"BASIC")</f>
        <v>BASIC</v>
      </c>
    </row>
    <row r="179" spans="1:10" ht="15.6" x14ac:dyDescent="0.3">
      <c r="A179" s="6">
        <v>43965</v>
      </c>
      <c r="B179" s="7" t="s">
        <v>93</v>
      </c>
      <c r="C179" s="7" t="s">
        <v>807</v>
      </c>
      <c r="D179" s="7" t="s">
        <v>813</v>
      </c>
      <c r="E179" s="7">
        <v>11</v>
      </c>
      <c r="F179" s="7" t="s">
        <v>842</v>
      </c>
      <c r="G179" s="7" t="s">
        <v>839</v>
      </c>
      <c r="H179" s="7">
        <v>1166</v>
      </c>
      <c r="I179" s="7" t="s">
        <v>853</v>
      </c>
      <c r="J179" s="8" t="str" cm="1">
        <f t="array" ref="J179">_xlfn.IFS(H179&gt;8000,"PLATINUM",H179&gt;6000,"GOLD",H179&gt;4000,"SILEVER",H179&gt;2000,"NORMAL",H179&gt;500,"BASIC")</f>
        <v>BASIC</v>
      </c>
    </row>
    <row r="180" spans="1:10" ht="15.6" x14ac:dyDescent="0.3">
      <c r="A180" s="6">
        <v>44437</v>
      </c>
      <c r="B180" s="7" t="s">
        <v>94</v>
      </c>
      <c r="C180" s="7" t="s">
        <v>807</v>
      </c>
      <c r="D180" s="7" t="s">
        <v>814</v>
      </c>
      <c r="E180" s="7">
        <v>16</v>
      </c>
      <c r="F180" s="7" t="s">
        <v>844</v>
      </c>
      <c r="G180" s="7" t="s">
        <v>825</v>
      </c>
      <c r="H180" s="7">
        <v>9820</v>
      </c>
      <c r="I180" s="7" t="s">
        <v>853</v>
      </c>
      <c r="J180" s="8" t="str" cm="1">
        <f t="array" ref="J180">_xlfn.IFS(H180&gt;8000,"PLATINUM",H180&gt;6000,"GOLD",H180&gt;4000,"SILEVER",H180&gt;2000,"NORMAL",H180&gt;500,"BASIC")</f>
        <v>PLATINUM</v>
      </c>
    </row>
    <row r="181" spans="1:10" ht="15.6" x14ac:dyDescent="0.3">
      <c r="A181" s="6">
        <v>45606</v>
      </c>
      <c r="B181" s="7" t="s">
        <v>95</v>
      </c>
      <c r="C181" s="7" t="s">
        <v>806</v>
      </c>
      <c r="D181" s="7" t="s">
        <v>818</v>
      </c>
      <c r="E181" s="7">
        <v>8</v>
      </c>
      <c r="F181" s="7" t="s">
        <v>846</v>
      </c>
      <c r="G181" s="7" t="s">
        <v>831</v>
      </c>
      <c r="H181" s="7">
        <v>8563</v>
      </c>
      <c r="I181" s="7" t="s">
        <v>854</v>
      </c>
      <c r="J181" s="8" t="str" cm="1">
        <f t="array" ref="J181">_xlfn.IFS(H181&gt;8000,"PLATINUM",H181&gt;6000,"GOLD",H181&gt;4000,"SILEVER",H181&gt;2000,"NORMAL",H181&gt;500,"BASIC")</f>
        <v>PLATINUM</v>
      </c>
    </row>
    <row r="182" spans="1:10" ht="15.6" x14ac:dyDescent="0.3">
      <c r="A182" s="6">
        <v>45606</v>
      </c>
      <c r="B182" s="7" t="s">
        <v>95</v>
      </c>
      <c r="C182" s="7" t="s">
        <v>805</v>
      </c>
      <c r="D182" s="7" t="s">
        <v>810</v>
      </c>
      <c r="E182" s="7">
        <v>20</v>
      </c>
      <c r="F182" s="7" t="s">
        <v>846</v>
      </c>
      <c r="G182" s="7" t="s">
        <v>831</v>
      </c>
      <c r="H182" s="7">
        <v>4441</v>
      </c>
      <c r="I182" s="7" t="s">
        <v>854</v>
      </c>
      <c r="J182" s="8" t="str" cm="1">
        <f t="array" ref="J182">_xlfn.IFS(H182&gt;8000,"PLATINUM",H182&gt;6000,"GOLD",H182&gt;4000,"SILEVER",H182&gt;2000,"NORMAL",H182&gt;500,"BASIC")</f>
        <v>SILEVER</v>
      </c>
    </row>
    <row r="183" spans="1:10" ht="15.6" x14ac:dyDescent="0.3">
      <c r="A183" s="6">
        <v>44535</v>
      </c>
      <c r="B183" s="7" t="s">
        <v>96</v>
      </c>
      <c r="C183" s="7" t="s">
        <v>806</v>
      </c>
      <c r="D183" s="7" t="s">
        <v>817</v>
      </c>
      <c r="E183" s="7">
        <v>8</v>
      </c>
      <c r="F183" s="7" t="s">
        <v>842</v>
      </c>
      <c r="G183" s="7" t="s">
        <v>826</v>
      </c>
      <c r="H183" s="7">
        <v>7340</v>
      </c>
      <c r="I183" s="7" t="s">
        <v>852</v>
      </c>
      <c r="J183" s="8" t="str" cm="1">
        <f t="array" ref="J183">_xlfn.IFS(H183&gt;8000,"PLATINUM",H183&gt;6000,"GOLD",H183&gt;4000,"SILEVER",H183&gt;2000,"NORMAL",H183&gt;500,"BASIC")</f>
        <v>GOLD</v>
      </c>
    </row>
    <row r="184" spans="1:10" ht="15.6" x14ac:dyDescent="0.3">
      <c r="A184" s="6">
        <v>44535</v>
      </c>
      <c r="B184" s="7" t="s">
        <v>96</v>
      </c>
      <c r="C184" s="7" t="s">
        <v>805</v>
      </c>
      <c r="D184" s="7" t="s">
        <v>819</v>
      </c>
      <c r="E184" s="7">
        <v>1</v>
      </c>
      <c r="F184" s="7" t="s">
        <v>842</v>
      </c>
      <c r="G184" s="7" t="s">
        <v>826</v>
      </c>
      <c r="H184" s="7">
        <v>5442</v>
      </c>
      <c r="I184" s="7" t="s">
        <v>852</v>
      </c>
      <c r="J184" s="8" t="str" cm="1">
        <f t="array" ref="J184">_xlfn.IFS(H184&gt;8000,"PLATINUM",H184&gt;6000,"GOLD",H184&gt;4000,"SILEVER",H184&gt;2000,"NORMAL",H184&gt;500,"BASIC")</f>
        <v>SILEVER</v>
      </c>
    </row>
    <row r="185" spans="1:10" ht="15.6" x14ac:dyDescent="0.3">
      <c r="A185" s="6">
        <v>45478</v>
      </c>
      <c r="B185" s="7" t="s">
        <v>97</v>
      </c>
      <c r="C185" s="7" t="s">
        <v>807</v>
      </c>
      <c r="D185" s="7" t="s">
        <v>813</v>
      </c>
      <c r="E185" s="7">
        <v>14</v>
      </c>
      <c r="F185" s="7" t="s">
        <v>842</v>
      </c>
      <c r="G185" s="7" t="s">
        <v>839</v>
      </c>
      <c r="H185" s="7">
        <v>1895</v>
      </c>
      <c r="I185" s="7" t="s">
        <v>850</v>
      </c>
      <c r="J185" s="8" t="str" cm="1">
        <f t="array" ref="J185">_xlfn.IFS(H185&gt;8000,"PLATINUM",H185&gt;6000,"GOLD",H185&gt;4000,"SILEVER",H185&gt;2000,"NORMAL",H185&gt;500,"BASIC")</f>
        <v>BASIC</v>
      </c>
    </row>
    <row r="186" spans="1:10" ht="15.6" x14ac:dyDescent="0.3">
      <c r="A186" s="6">
        <v>45478</v>
      </c>
      <c r="B186" s="7" t="s">
        <v>97</v>
      </c>
      <c r="C186" s="7" t="s">
        <v>806</v>
      </c>
      <c r="D186" s="7" t="s">
        <v>818</v>
      </c>
      <c r="E186" s="7">
        <v>13</v>
      </c>
      <c r="F186" s="7" t="s">
        <v>842</v>
      </c>
      <c r="G186" s="7" t="s">
        <v>839</v>
      </c>
      <c r="H186" s="7">
        <v>5323</v>
      </c>
      <c r="I186" s="7" t="s">
        <v>854</v>
      </c>
      <c r="J186" s="8" t="str" cm="1">
        <f t="array" ref="J186">_xlfn.IFS(H186&gt;8000,"PLATINUM",H186&gt;6000,"GOLD",H186&gt;4000,"SILEVER",H186&gt;2000,"NORMAL",H186&gt;500,"BASIC")</f>
        <v>SILEVER</v>
      </c>
    </row>
    <row r="187" spans="1:10" ht="15.6" x14ac:dyDescent="0.3">
      <c r="A187" s="6">
        <v>45468</v>
      </c>
      <c r="B187" s="7" t="s">
        <v>98</v>
      </c>
      <c r="C187" s="7" t="s">
        <v>806</v>
      </c>
      <c r="D187" s="7" t="s">
        <v>815</v>
      </c>
      <c r="E187" s="7">
        <v>13</v>
      </c>
      <c r="F187" s="7" t="s">
        <v>842</v>
      </c>
      <c r="G187" s="7" t="s">
        <v>823</v>
      </c>
      <c r="H187" s="7">
        <v>8850</v>
      </c>
      <c r="I187" s="7" t="s">
        <v>851</v>
      </c>
      <c r="J187" s="8" t="str" cm="1">
        <f t="array" ref="J187">_xlfn.IFS(H187&gt;8000,"PLATINUM",H187&gt;6000,"GOLD",H187&gt;4000,"SILEVER",H187&gt;2000,"NORMAL",H187&gt;500,"BASIC")</f>
        <v>PLATINUM</v>
      </c>
    </row>
    <row r="188" spans="1:10" ht="15.6" x14ac:dyDescent="0.3">
      <c r="A188" s="6">
        <v>45468</v>
      </c>
      <c r="B188" s="7" t="s">
        <v>98</v>
      </c>
      <c r="C188" s="7" t="s">
        <v>806</v>
      </c>
      <c r="D188" s="7" t="s">
        <v>817</v>
      </c>
      <c r="E188" s="7">
        <v>6</v>
      </c>
      <c r="F188" s="7" t="s">
        <v>842</v>
      </c>
      <c r="G188" s="7" t="s">
        <v>823</v>
      </c>
      <c r="H188" s="7">
        <v>8667</v>
      </c>
      <c r="I188" s="7" t="s">
        <v>851</v>
      </c>
      <c r="J188" s="8" t="str" cm="1">
        <f t="array" ref="J188">_xlfn.IFS(H188&gt;8000,"PLATINUM",H188&gt;6000,"GOLD",H188&gt;4000,"SILEVER",H188&gt;2000,"NORMAL",H188&gt;500,"BASIC")</f>
        <v>PLATINUM</v>
      </c>
    </row>
    <row r="189" spans="1:10" ht="15.6" x14ac:dyDescent="0.3">
      <c r="A189" s="6">
        <v>45443</v>
      </c>
      <c r="B189" s="7" t="s">
        <v>99</v>
      </c>
      <c r="C189" s="7" t="s">
        <v>807</v>
      </c>
      <c r="D189" s="7" t="s">
        <v>813</v>
      </c>
      <c r="E189" s="7">
        <v>1</v>
      </c>
      <c r="F189" s="7" t="s">
        <v>843</v>
      </c>
      <c r="G189" s="7" t="s">
        <v>824</v>
      </c>
      <c r="H189" s="7">
        <v>6903</v>
      </c>
      <c r="I189" s="7" t="s">
        <v>854</v>
      </c>
      <c r="J189" s="8" t="str" cm="1">
        <f t="array" ref="J189">_xlfn.IFS(H189&gt;8000,"PLATINUM",H189&gt;6000,"GOLD",H189&gt;4000,"SILEVER",H189&gt;2000,"NORMAL",H189&gt;500,"BASIC")</f>
        <v>GOLD</v>
      </c>
    </row>
    <row r="190" spans="1:10" ht="15.6" x14ac:dyDescent="0.3">
      <c r="A190" s="6">
        <v>45443</v>
      </c>
      <c r="B190" s="7" t="s">
        <v>99</v>
      </c>
      <c r="C190" s="7" t="s">
        <v>806</v>
      </c>
      <c r="D190" s="7" t="s">
        <v>811</v>
      </c>
      <c r="E190" s="7">
        <v>7</v>
      </c>
      <c r="F190" s="7" t="s">
        <v>843</v>
      </c>
      <c r="G190" s="7" t="s">
        <v>824</v>
      </c>
      <c r="H190" s="7">
        <v>8793</v>
      </c>
      <c r="I190" s="7" t="s">
        <v>854</v>
      </c>
      <c r="J190" s="8" t="str" cm="1">
        <f t="array" ref="J190">_xlfn.IFS(H190&gt;8000,"PLATINUM",H190&gt;6000,"GOLD",H190&gt;4000,"SILEVER",H190&gt;2000,"NORMAL",H190&gt;500,"BASIC")</f>
        <v>PLATINUM</v>
      </c>
    </row>
    <row r="191" spans="1:10" ht="15.6" x14ac:dyDescent="0.3">
      <c r="A191" s="6">
        <v>44124</v>
      </c>
      <c r="B191" s="7" t="s">
        <v>100</v>
      </c>
      <c r="C191" s="7" t="s">
        <v>806</v>
      </c>
      <c r="D191" s="7" t="s">
        <v>817</v>
      </c>
      <c r="E191" s="7">
        <v>16</v>
      </c>
      <c r="F191" s="7" t="s">
        <v>844</v>
      </c>
      <c r="G191" s="7" t="s">
        <v>825</v>
      </c>
      <c r="H191" s="7">
        <v>9883</v>
      </c>
      <c r="I191" s="7" t="s">
        <v>850</v>
      </c>
      <c r="J191" s="8" t="str" cm="1">
        <f t="array" ref="J191">_xlfn.IFS(H191&gt;8000,"PLATINUM",H191&gt;6000,"GOLD",H191&gt;4000,"SILEVER",H191&gt;2000,"NORMAL",H191&gt;500,"BASIC")</f>
        <v>PLATINUM</v>
      </c>
    </row>
    <row r="192" spans="1:10" ht="15.6" x14ac:dyDescent="0.3">
      <c r="A192" s="6">
        <v>44784</v>
      </c>
      <c r="B192" s="7" t="s">
        <v>101</v>
      </c>
      <c r="C192" s="7" t="s">
        <v>806</v>
      </c>
      <c r="D192" s="7" t="s">
        <v>817</v>
      </c>
      <c r="E192" s="7">
        <v>16</v>
      </c>
      <c r="F192" s="7" t="s">
        <v>842</v>
      </c>
      <c r="G192" s="7" t="s">
        <v>826</v>
      </c>
      <c r="H192" s="7">
        <v>9883</v>
      </c>
      <c r="I192" s="7" t="s">
        <v>850</v>
      </c>
      <c r="J192" s="8" t="str" cm="1">
        <f t="array" ref="J192">_xlfn.IFS(H192&gt;8000,"PLATINUM",H192&gt;6000,"GOLD",H192&gt;4000,"SILEVER",H192&gt;2000,"NORMAL",H192&gt;500,"BASIC")</f>
        <v>PLATINUM</v>
      </c>
    </row>
    <row r="193" spans="1:10" ht="15.6" x14ac:dyDescent="0.3">
      <c r="A193" s="6">
        <v>44486</v>
      </c>
      <c r="B193" s="7" t="s">
        <v>102</v>
      </c>
      <c r="C193" s="7" t="s">
        <v>806</v>
      </c>
      <c r="D193" s="7" t="s">
        <v>817</v>
      </c>
      <c r="E193" s="7">
        <v>16</v>
      </c>
      <c r="F193" s="7" t="s">
        <v>843</v>
      </c>
      <c r="G193" s="7" t="s">
        <v>829</v>
      </c>
      <c r="H193" s="7">
        <v>9883</v>
      </c>
      <c r="I193" s="7" t="s">
        <v>850</v>
      </c>
      <c r="J193" s="8" t="str" cm="1">
        <f t="array" ref="J193">_xlfn.IFS(H193&gt;8000,"PLATINUM",H193&gt;6000,"GOLD",H193&gt;4000,"SILEVER",H193&gt;2000,"NORMAL",H193&gt;500,"BASIC")</f>
        <v>PLATINUM</v>
      </c>
    </row>
    <row r="194" spans="1:10" ht="15.6" x14ac:dyDescent="0.3">
      <c r="A194" s="6">
        <v>44124</v>
      </c>
      <c r="B194" s="7" t="s">
        <v>100</v>
      </c>
      <c r="C194" s="7" t="s">
        <v>806</v>
      </c>
      <c r="D194" s="7" t="s">
        <v>817</v>
      </c>
      <c r="E194" s="7">
        <v>7</v>
      </c>
      <c r="F194" s="7" t="s">
        <v>844</v>
      </c>
      <c r="G194" s="7" t="s">
        <v>825</v>
      </c>
      <c r="H194" s="7">
        <v>5210</v>
      </c>
      <c r="I194" s="7" t="s">
        <v>850</v>
      </c>
      <c r="J194" s="8" t="str" cm="1">
        <f t="array" ref="J194">_xlfn.IFS(H194&gt;8000,"PLATINUM",H194&gt;6000,"GOLD",H194&gt;4000,"SILEVER",H194&gt;2000,"NORMAL",H194&gt;500,"BASIC")</f>
        <v>SILEVER</v>
      </c>
    </row>
    <row r="195" spans="1:10" ht="15.6" x14ac:dyDescent="0.3">
      <c r="A195" s="6">
        <v>44784</v>
      </c>
      <c r="B195" s="7" t="s">
        <v>101</v>
      </c>
      <c r="C195" s="7" t="s">
        <v>806</v>
      </c>
      <c r="D195" s="7" t="s">
        <v>817</v>
      </c>
      <c r="E195" s="7">
        <v>7</v>
      </c>
      <c r="F195" s="7" t="s">
        <v>842</v>
      </c>
      <c r="G195" s="7" t="s">
        <v>826</v>
      </c>
      <c r="H195" s="7">
        <v>5210</v>
      </c>
      <c r="I195" s="7" t="s">
        <v>850</v>
      </c>
      <c r="J195" s="8" t="str" cm="1">
        <f t="array" ref="J195">_xlfn.IFS(H195&gt;8000,"PLATINUM",H195&gt;6000,"GOLD",H195&gt;4000,"SILEVER",H195&gt;2000,"NORMAL",H195&gt;500,"BASIC")</f>
        <v>SILEVER</v>
      </c>
    </row>
    <row r="196" spans="1:10" ht="15.6" x14ac:dyDescent="0.3">
      <c r="A196" s="6">
        <v>44486</v>
      </c>
      <c r="B196" s="7" t="s">
        <v>102</v>
      </c>
      <c r="C196" s="7" t="s">
        <v>806</v>
      </c>
      <c r="D196" s="7" t="s">
        <v>817</v>
      </c>
      <c r="E196" s="7">
        <v>7</v>
      </c>
      <c r="F196" s="7" t="s">
        <v>843</v>
      </c>
      <c r="G196" s="7" t="s">
        <v>829</v>
      </c>
      <c r="H196" s="7">
        <v>5210</v>
      </c>
      <c r="I196" s="7" t="s">
        <v>850</v>
      </c>
      <c r="J196" s="8" t="str" cm="1">
        <f t="array" ref="J196">_xlfn.IFS(H196&gt;8000,"PLATINUM",H196&gt;6000,"GOLD",H196&gt;4000,"SILEVER",H196&gt;2000,"NORMAL",H196&gt;500,"BASIC")</f>
        <v>SILEVER</v>
      </c>
    </row>
    <row r="197" spans="1:10" ht="15.6" x14ac:dyDescent="0.3">
      <c r="A197" s="6">
        <v>44615</v>
      </c>
      <c r="B197" s="7" t="s">
        <v>103</v>
      </c>
      <c r="C197" s="7" t="s">
        <v>805</v>
      </c>
      <c r="D197" s="7" t="s">
        <v>810</v>
      </c>
      <c r="E197" s="7">
        <v>4</v>
      </c>
      <c r="F197" s="7" t="s">
        <v>845</v>
      </c>
      <c r="G197" s="7" t="s">
        <v>827</v>
      </c>
      <c r="H197" s="7">
        <v>3574</v>
      </c>
      <c r="I197" s="7" t="s">
        <v>853</v>
      </c>
      <c r="J197" s="8" t="str" cm="1">
        <f t="array" ref="J197">_xlfn.IFS(H197&gt;8000,"PLATINUM",H197&gt;6000,"GOLD",H197&gt;4000,"SILEVER",H197&gt;2000,"NORMAL",H197&gt;500,"BASIC")</f>
        <v>NORMAL</v>
      </c>
    </row>
    <row r="198" spans="1:10" ht="15.6" x14ac:dyDescent="0.3">
      <c r="A198" s="6">
        <v>44615</v>
      </c>
      <c r="B198" s="7" t="s">
        <v>103</v>
      </c>
      <c r="C198" s="7" t="s">
        <v>807</v>
      </c>
      <c r="D198" s="7" t="s">
        <v>816</v>
      </c>
      <c r="E198" s="7">
        <v>13</v>
      </c>
      <c r="F198" s="7" t="s">
        <v>845</v>
      </c>
      <c r="G198" s="7" t="s">
        <v>827</v>
      </c>
      <c r="H198" s="7">
        <v>576</v>
      </c>
      <c r="I198" s="7" t="s">
        <v>850</v>
      </c>
      <c r="J198" s="8" t="str" cm="1">
        <f t="array" ref="J198">_xlfn.IFS(H198&gt;8000,"PLATINUM",H198&gt;6000,"GOLD",H198&gt;4000,"SILEVER",H198&gt;2000,"NORMAL",H198&gt;500,"BASIC")</f>
        <v>BASIC</v>
      </c>
    </row>
    <row r="199" spans="1:10" ht="15.6" x14ac:dyDescent="0.3">
      <c r="A199" s="6">
        <v>45189</v>
      </c>
      <c r="B199" s="7" t="s">
        <v>104</v>
      </c>
      <c r="C199" s="7" t="s">
        <v>805</v>
      </c>
      <c r="D199" s="7" t="s">
        <v>810</v>
      </c>
      <c r="E199" s="7">
        <v>13</v>
      </c>
      <c r="F199" s="7" t="s">
        <v>847</v>
      </c>
      <c r="G199" s="7" t="s">
        <v>837</v>
      </c>
      <c r="H199" s="7">
        <v>1860</v>
      </c>
      <c r="I199" s="7" t="s">
        <v>852</v>
      </c>
      <c r="J199" s="8" t="str" cm="1">
        <f t="array" ref="J199">_xlfn.IFS(H199&gt;8000,"PLATINUM",H199&gt;6000,"GOLD",H199&gt;4000,"SILEVER",H199&gt;2000,"NORMAL",H199&gt;500,"BASIC")</f>
        <v>BASIC</v>
      </c>
    </row>
    <row r="200" spans="1:10" ht="15.6" x14ac:dyDescent="0.3">
      <c r="A200" s="6">
        <v>44215</v>
      </c>
      <c r="B200" s="7" t="s">
        <v>105</v>
      </c>
      <c r="C200" s="7" t="s">
        <v>806</v>
      </c>
      <c r="D200" s="7" t="s">
        <v>811</v>
      </c>
      <c r="E200" s="7">
        <v>8</v>
      </c>
      <c r="F200" s="7" t="s">
        <v>843</v>
      </c>
      <c r="G200" s="7" t="s">
        <v>840</v>
      </c>
      <c r="H200" s="7">
        <v>782</v>
      </c>
      <c r="I200" s="7" t="s">
        <v>852</v>
      </c>
      <c r="J200" s="8" t="str" cm="1">
        <f t="array" ref="J200">_xlfn.IFS(H200&gt;8000,"PLATINUM",H200&gt;6000,"GOLD",H200&gt;4000,"SILEVER",H200&gt;2000,"NORMAL",H200&gt;500,"BASIC")</f>
        <v>BASIC</v>
      </c>
    </row>
    <row r="201" spans="1:10" ht="15.6" x14ac:dyDescent="0.3">
      <c r="A201" s="6">
        <v>44215</v>
      </c>
      <c r="B201" s="7" t="s">
        <v>105</v>
      </c>
      <c r="C201" s="7" t="s">
        <v>805</v>
      </c>
      <c r="D201" s="7" t="s">
        <v>812</v>
      </c>
      <c r="E201" s="7">
        <v>1</v>
      </c>
      <c r="F201" s="7" t="s">
        <v>843</v>
      </c>
      <c r="G201" s="7" t="s">
        <v>840</v>
      </c>
      <c r="H201" s="7">
        <v>4371</v>
      </c>
      <c r="I201" s="7" t="s">
        <v>850</v>
      </c>
      <c r="J201" s="8" t="str" cm="1">
        <f t="array" ref="J201">_xlfn.IFS(H201&gt;8000,"PLATINUM",H201&gt;6000,"GOLD",H201&gt;4000,"SILEVER",H201&gt;2000,"NORMAL",H201&gt;500,"BASIC")</f>
        <v>SILEVER</v>
      </c>
    </row>
    <row r="202" spans="1:10" ht="15.6" x14ac:dyDescent="0.3">
      <c r="A202" s="6">
        <v>44064</v>
      </c>
      <c r="B202" s="7" t="s">
        <v>106</v>
      </c>
      <c r="C202" s="7" t="s">
        <v>805</v>
      </c>
      <c r="D202" s="7" t="s">
        <v>819</v>
      </c>
      <c r="E202" s="7">
        <v>1</v>
      </c>
      <c r="F202" s="7" t="s">
        <v>846</v>
      </c>
      <c r="G202" s="7" t="s">
        <v>838</v>
      </c>
      <c r="H202" s="7">
        <v>8346</v>
      </c>
      <c r="I202" s="7" t="s">
        <v>854</v>
      </c>
      <c r="J202" s="8" t="str" cm="1">
        <f t="array" ref="J202">_xlfn.IFS(H202&gt;8000,"PLATINUM",H202&gt;6000,"GOLD",H202&gt;4000,"SILEVER",H202&gt;2000,"NORMAL",H202&gt;500,"BASIC")</f>
        <v>PLATINUM</v>
      </c>
    </row>
    <row r="203" spans="1:10" ht="15.6" x14ac:dyDescent="0.3">
      <c r="A203" s="6">
        <v>45033</v>
      </c>
      <c r="B203" s="7" t="s">
        <v>107</v>
      </c>
      <c r="C203" s="7" t="s">
        <v>805</v>
      </c>
      <c r="D203" s="7" t="s">
        <v>819</v>
      </c>
      <c r="E203" s="7">
        <v>1</v>
      </c>
      <c r="F203" s="7" t="s">
        <v>843</v>
      </c>
      <c r="G203" s="7" t="s">
        <v>824</v>
      </c>
      <c r="H203" s="7">
        <v>8346</v>
      </c>
      <c r="I203" s="7" t="s">
        <v>854</v>
      </c>
      <c r="J203" s="8" t="str" cm="1">
        <f t="array" ref="J203">_xlfn.IFS(H203&gt;8000,"PLATINUM",H203&gt;6000,"GOLD",H203&gt;4000,"SILEVER",H203&gt;2000,"NORMAL",H203&gt;500,"BASIC")</f>
        <v>PLATINUM</v>
      </c>
    </row>
    <row r="204" spans="1:10" ht="15.6" x14ac:dyDescent="0.3">
      <c r="A204" s="6">
        <v>45284</v>
      </c>
      <c r="B204" s="7" t="s">
        <v>108</v>
      </c>
      <c r="C204" s="7" t="s">
        <v>805</v>
      </c>
      <c r="D204" s="7" t="s">
        <v>819</v>
      </c>
      <c r="E204" s="7">
        <v>1</v>
      </c>
      <c r="F204" s="7" t="s">
        <v>845</v>
      </c>
      <c r="G204" s="7" t="s">
        <v>834</v>
      </c>
      <c r="H204" s="7">
        <v>8346</v>
      </c>
      <c r="I204" s="7" t="s">
        <v>854</v>
      </c>
      <c r="J204" s="8" t="str" cm="1">
        <f t="array" ref="J204">_xlfn.IFS(H204&gt;8000,"PLATINUM",H204&gt;6000,"GOLD",H204&gt;4000,"SILEVER",H204&gt;2000,"NORMAL",H204&gt;500,"BASIC")</f>
        <v>PLATINUM</v>
      </c>
    </row>
    <row r="205" spans="1:10" ht="15.6" x14ac:dyDescent="0.3">
      <c r="A205" s="6">
        <v>44064</v>
      </c>
      <c r="B205" s="7" t="s">
        <v>106</v>
      </c>
      <c r="C205" s="7" t="s">
        <v>807</v>
      </c>
      <c r="D205" s="7" t="s">
        <v>813</v>
      </c>
      <c r="E205" s="7">
        <v>5</v>
      </c>
      <c r="F205" s="7" t="s">
        <v>846</v>
      </c>
      <c r="G205" s="7" t="s">
        <v>838</v>
      </c>
      <c r="H205" s="7">
        <v>6218</v>
      </c>
      <c r="I205" s="7" t="s">
        <v>851</v>
      </c>
      <c r="J205" s="8" t="str" cm="1">
        <f t="array" ref="J205">_xlfn.IFS(H205&gt;8000,"PLATINUM",H205&gt;6000,"GOLD",H205&gt;4000,"SILEVER",H205&gt;2000,"NORMAL",H205&gt;500,"BASIC")</f>
        <v>GOLD</v>
      </c>
    </row>
    <row r="206" spans="1:10" ht="15.6" x14ac:dyDescent="0.3">
      <c r="A206" s="6">
        <v>45033</v>
      </c>
      <c r="B206" s="7" t="s">
        <v>107</v>
      </c>
      <c r="C206" s="7" t="s">
        <v>807</v>
      </c>
      <c r="D206" s="7" t="s">
        <v>813</v>
      </c>
      <c r="E206" s="7">
        <v>5</v>
      </c>
      <c r="F206" s="7" t="s">
        <v>843</v>
      </c>
      <c r="G206" s="7" t="s">
        <v>824</v>
      </c>
      <c r="H206" s="7">
        <v>6218</v>
      </c>
      <c r="I206" s="7" t="s">
        <v>851</v>
      </c>
      <c r="J206" s="8" t="str" cm="1">
        <f t="array" ref="J206">_xlfn.IFS(H206&gt;8000,"PLATINUM",H206&gt;6000,"GOLD",H206&gt;4000,"SILEVER",H206&gt;2000,"NORMAL",H206&gt;500,"BASIC")</f>
        <v>GOLD</v>
      </c>
    </row>
    <row r="207" spans="1:10" ht="15.6" x14ac:dyDescent="0.3">
      <c r="A207" s="6">
        <v>45284</v>
      </c>
      <c r="B207" s="7" t="s">
        <v>108</v>
      </c>
      <c r="C207" s="7" t="s">
        <v>807</v>
      </c>
      <c r="D207" s="7" t="s">
        <v>813</v>
      </c>
      <c r="E207" s="7">
        <v>5</v>
      </c>
      <c r="F207" s="7" t="s">
        <v>845</v>
      </c>
      <c r="G207" s="7" t="s">
        <v>834</v>
      </c>
      <c r="H207" s="7">
        <v>6218</v>
      </c>
      <c r="I207" s="7" t="s">
        <v>851</v>
      </c>
      <c r="J207" s="8" t="str" cm="1">
        <f t="array" ref="J207">_xlfn.IFS(H207&gt;8000,"PLATINUM",H207&gt;6000,"GOLD",H207&gt;4000,"SILEVER",H207&gt;2000,"NORMAL",H207&gt;500,"BASIC")</f>
        <v>GOLD</v>
      </c>
    </row>
    <row r="208" spans="1:10" ht="15.6" x14ac:dyDescent="0.3">
      <c r="A208" s="6">
        <v>44064</v>
      </c>
      <c r="B208" s="7" t="s">
        <v>106</v>
      </c>
      <c r="C208" s="7" t="s">
        <v>805</v>
      </c>
      <c r="D208" s="7" t="s">
        <v>810</v>
      </c>
      <c r="E208" s="7">
        <v>14</v>
      </c>
      <c r="F208" s="7" t="s">
        <v>846</v>
      </c>
      <c r="G208" s="7" t="s">
        <v>838</v>
      </c>
      <c r="H208" s="7">
        <v>5167</v>
      </c>
      <c r="I208" s="7" t="s">
        <v>853</v>
      </c>
      <c r="J208" s="8" t="str" cm="1">
        <f t="array" ref="J208">_xlfn.IFS(H208&gt;8000,"PLATINUM",H208&gt;6000,"GOLD",H208&gt;4000,"SILEVER",H208&gt;2000,"NORMAL",H208&gt;500,"BASIC")</f>
        <v>SILEVER</v>
      </c>
    </row>
    <row r="209" spans="1:10" ht="15.6" x14ac:dyDescent="0.3">
      <c r="A209" s="6">
        <v>45033</v>
      </c>
      <c r="B209" s="7" t="s">
        <v>107</v>
      </c>
      <c r="C209" s="7" t="s">
        <v>805</v>
      </c>
      <c r="D209" s="7" t="s">
        <v>810</v>
      </c>
      <c r="E209" s="7">
        <v>14</v>
      </c>
      <c r="F209" s="7" t="s">
        <v>843</v>
      </c>
      <c r="G209" s="7" t="s">
        <v>824</v>
      </c>
      <c r="H209" s="7">
        <v>5167</v>
      </c>
      <c r="I209" s="7" t="s">
        <v>853</v>
      </c>
      <c r="J209" s="8" t="str" cm="1">
        <f t="array" ref="J209">_xlfn.IFS(H209&gt;8000,"PLATINUM",H209&gt;6000,"GOLD",H209&gt;4000,"SILEVER",H209&gt;2000,"NORMAL",H209&gt;500,"BASIC")</f>
        <v>SILEVER</v>
      </c>
    </row>
    <row r="210" spans="1:10" ht="15.6" x14ac:dyDescent="0.3">
      <c r="A210" s="6">
        <v>45284</v>
      </c>
      <c r="B210" s="7" t="s">
        <v>108</v>
      </c>
      <c r="C210" s="7" t="s">
        <v>805</v>
      </c>
      <c r="D210" s="7" t="s">
        <v>810</v>
      </c>
      <c r="E210" s="7">
        <v>14</v>
      </c>
      <c r="F210" s="7" t="s">
        <v>845</v>
      </c>
      <c r="G210" s="7" t="s">
        <v>834</v>
      </c>
      <c r="H210" s="7">
        <v>5167</v>
      </c>
      <c r="I210" s="7" t="s">
        <v>853</v>
      </c>
      <c r="J210" s="8" t="str" cm="1">
        <f t="array" ref="J210">_xlfn.IFS(H210&gt;8000,"PLATINUM",H210&gt;6000,"GOLD",H210&gt;4000,"SILEVER",H210&gt;2000,"NORMAL",H210&gt;500,"BASIC")</f>
        <v>SILEVER</v>
      </c>
    </row>
    <row r="211" spans="1:10" ht="15.6" x14ac:dyDescent="0.3">
      <c r="A211" s="6">
        <v>44064</v>
      </c>
      <c r="B211" s="7" t="s">
        <v>106</v>
      </c>
      <c r="C211" s="7" t="s">
        <v>807</v>
      </c>
      <c r="D211" s="7" t="s">
        <v>816</v>
      </c>
      <c r="E211" s="7">
        <v>5</v>
      </c>
      <c r="F211" s="7" t="s">
        <v>846</v>
      </c>
      <c r="G211" s="7" t="s">
        <v>838</v>
      </c>
      <c r="H211" s="7">
        <v>2799</v>
      </c>
      <c r="I211" s="7" t="s">
        <v>851</v>
      </c>
      <c r="J211" s="8" t="str" cm="1">
        <f t="array" ref="J211">_xlfn.IFS(H211&gt;8000,"PLATINUM",H211&gt;6000,"GOLD",H211&gt;4000,"SILEVER",H211&gt;2000,"NORMAL",H211&gt;500,"BASIC")</f>
        <v>NORMAL</v>
      </c>
    </row>
    <row r="212" spans="1:10" ht="15.6" x14ac:dyDescent="0.3">
      <c r="A212" s="6">
        <v>45033</v>
      </c>
      <c r="B212" s="7" t="s">
        <v>107</v>
      </c>
      <c r="C212" s="7" t="s">
        <v>807</v>
      </c>
      <c r="D212" s="7" t="s">
        <v>816</v>
      </c>
      <c r="E212" s="7">
        <v>5</v>
      </c>
      <c r="F212" s="7" t="s">
        <v>843</v>
      </c>
      <c r="G212" s="7" t="s">
        <v>824</v>
      </c>
      <c r="H212" s="7">
        <v>2799</v>
      </c>
      <c r="I212" s="7" t="s">
        <v>851</v>
      </c>
      <c r="J212" s="8" t="str" cm="1">
        <f t="array" ref="J212">_xlfn.IFS(H212&gt;8000,"PLATINUM",H212&gt;6000,"GOLD",H212&gt;4000,"SILEVER",H212&gt;2000,"NORMAL",H212&gt;500,"BASIC")</f>
        <v>NORMAL</v>
      </c>
    </row>
    <row r="213" spans="1:10" ht="15.6" x14ac:dyDescent="0.3">
      <c r="A213" s="6">
        <v>45284</v>
      </c>
      <c r="B213" s="7" t="s">
        <v>108</v>
      </c>
      <c r="C213" s="7" t="s">
        <v>807</v>
      </c>
      <c r="D213" s="7" t="s">
        <v>816</v>
      </c>
      <c r="E213" s="7">
        <v>5</v>
      </c>
      <c r="F213" s="7" t="s">
        <v>845</v>
      </c>
      <c r="G213" s="7" t="s">
        <v>834</v>
      </c>
      <c r="H213" s="7">
        <v>2799</v>
      </c>
      <c r="I213" s="7" t="s">
        <v>851</v>
      </c>
      <c r="J213" s="8" t="str" cm="1">
        <f t="array" ref="J213">_xlfn.IFS(H213&gt;8000,"PLATINUM",H213&gt;6000,"GOLD",H213&gt;4000,"SILEVER",H213&gt;2000,"NORMAL",H213&gt;500,"BASIC")</f>
        <v>NORMAL</v>
      </c>
    </row>
    <row r="214" spans="1:10" ht="15.6" x14ac:dyDescent="0.3">
      <c r="A214" s="6">
        <v>44640</v>
      </c>
      <c r="B214" s="7" t="s">
        <v>109</v>
      </c>
      <c r="C214" s="7" t="s">
        <v>806</v>
      </c>
      <c r="D214" s="7" t="s">
        <v>815</v>
      </c>
      <c r="E214" s="7">
        <v>20</v>
      </c>
      <c r="F214" s="7" t="s">
        <v>842</v>
      </c>
      <c r="G214" s="7" t="s">
        <v>823</v>
      </c>
      <c r="H214" s="7">
        <v>3234</v>
      </c>
      <c r="I214" s="7" t="s">
        <v>853</v>
      </c>
      <c r="J214" s="8" t="str" cm="1">
        <f t="array" ref="J214">_xlfn.IFS(H214&gt;8000,"PLATINUM",H214&gt;6000,"GOLD",H214&gt;4000,"SILEVER",H214&gt;2000,"NORMAL",H214&gt;500,"BASIC")</f>
        <v>NORMAL</v>
      </c>
    </row>
    <row r="215" spans="1:10" ht="15.6" x14ac:dyDescent="0.3">
      <c r="A215" s="6">
        <v>44420</v>
      </c>
      <c r="B215" s="7" t="s">
        <v>110</v>
      </c>
      <c r="C215" s="7" t="s">
        <v>807</v>
      </c>
      <c r="D215" s="7" t="s">
        <v>813</v>
      </c>
      <c r="E215" s="7">
        <v>12</v>
      </c>
      <c r="F215" s="7" t="s">
        <v>843</v>
      </c>
      <c r="G215" s="7" t="s">
        <v>829</v>
      </c>
      <c r="H215" s="7">
        <v>4920</v>
      </c>
      <c r="I215" s="7" t="s">
        <v>851</v>
      </c>
      <c r="J215" s="8" t="str" cm="1">
        <f t="array" ref="J215">_xlfn.IFS(H215&gt;8000,"PLATINUM",H215&gt;6000,"GOLD",H215&gt;4000,"SILEVER",H215&gt;2000,"NORMAL",H215&gt;500,"BASIC")</f>
        <v>SILEVER</v>
      </c>
    </row>
    <row r="216" spans="1:10" ht="15.6" x14ac:dyDescent="0.3">
      <c r="A216" s="6">
        <v>44420</v>
      </c>
      <c r="B216" s="7" t="s">
        <v>110</v>
      </c>
      <c r="C216" s="7" t="s">
        <v>807</v>
      </c>
      <c r="D216" s="7" t="s">
        <v>820</v>
      </c>
      <c r="E216" s="7">
        <v>15</v>
      </c>
      <c r="F216" s="7" t="s">
        <v>843</v>
      </c>
      <c r="G216" s="7" t="s">
        <v>829</v>
      </c>
      <c r="H216" s="7">
        <v>9078</v>
      </c>
      <c r="I216" s="7" t="s">
        <v>852</v>
      </c>
      <c r="J216" s="8" t="str" cm="1">
        <f t="array" ref="J216">_xlfn.IFS(H216&gt;8000,"PLATINUM",H216&gt;6000,"GOLD",H216&gt;4000,"SILEVER",H216&gt;2000,"NORMAL",H216&gt;500,"BASIC")</f>
        <v>PLATINUM</v>
      </c>
    </row>
    <row r="217" spans="1:10" ht="15.6" x14ac:dyDescent="0.3">
      <c r="A217" s="6">
        <v>44186</v>
      </c>
      <c r="B217" s="7" t="s">
        <v>111</v>
      </c>
      <c r="C217" s="7" t="s">
        <v>807</v>
      </c>
      <c r="D217" s="7" t="s">
        <v>820</v>
      </c>
      <c r="E217" s="7">
        <v>7</v>
      </c>
      <c r="F217" s="7" t="s">
        <v>842</v>
      </c>
      <c r="G217" s="7" t="s">
        <v>823</v>
      </c>
      <c r="H217" s="7">
        <v>8586</v>
      </c>
      <c r="I217" s="7" t="s">
        <v>850</v>
      </c>
      <c r="J217" s="8" t="str" cm="1">
        <f t="array" ref="J217">_xlfn.IFS(H217&gt;8000,"PLATINUM",H217&gt;6000,"GOLD",H217&gt;4000,"SILEVER",H217&gt;2000,"NORMAL",H217&gt;500,"BASIC")</f>
        <v>PLATINUM</v>
      </c>
    </row>
    <row r="218" spans="1:10" ht="15.6" x14ac:dyDescent="0.3">
      <c r="A218" s="6">
        <v>45114</v>
      </c>
      <c r="B218" s="7" t="s">
        <v>112</v>
      </c>
      <c r="C218" s="7" t="s">
        <v>807</v>
      </c>
      <c r="D218" s="7" t="s">
        <v>820</v>
      </c>
      <c r="E218" s="7">
        <v>7</v>
      </c>
      <c r="F218" s="7" t="s">
        <v>842</v>
      </c>
      <c r="G218" s="7" t="s">
        <v>839</v>
      </c>
      <c r="H218" s="7">
        <v>8586</v>
      </c>
      <c r="I218" s="7" t="s">
        <v>850</v>
      </c>
      <c r="J218" s="8" t="str" cm="1">
        <f t="array" ref="J218">_xlfn.IFS(H218&gt;8000,"PLATINUM",H218&gt;6000,"GOLD",H218&gt;4000,"SILEVER",H218&gt;2000,"NORMAL",H218&gt;500,"BASIC")</f>
        <v>PLATINUM</v>
      </c>
    </row>
    <row r="219" spans="1:10" ht="15.6" x14ac:dyDescent="0.3">
      <c r="A219" s="6">
        <v>45151</v>
      </c>
      <c r="B219" s="7" t="s">
        <v>113</v>
      </c>
      <c r="C219" s="7" t="s">
        <v>807</v>
      </c>
      <c r="D219" s="7" t="s">
        <v>816</v>
      </c>
      <c r="E219" s="7">
        <v>13</v>
      </c>
      <c r="F219" s="7" t="s">
        <v>845</v>
      </c>
      <c r="G219" s="7" t="s">
        <v>834</v>
      </c>
      <c r="H219" s="7">
        <v>5047</v>
      </c>
      <c r="I219" s="7" t="s">
        <v>852</v>
      </c>
      <c r="J219" s="8" t="str" cm="1">
        <f t="array" ref="J219">_xlfn.IFS(H219&gt;8000,"PLATINUM",H219&gt;6000,"GOLD",H219&gt;4000,"SILEVER",H219&gt;2000,"NORMAL",H219&gt;500,"BASIC")</f>
        <v>SILEVER</v>
      </c>
    </row>
    <row r="220" spans="1:10" ht="15.6" x14ac:dyDescent="0.3">
      <c r="A220" s="6">
        <v>44231</v>
      </c>
      <c r="B220" s="7" t="s">
        <v>114</v>
      </c>
      <c r="C220" s="7" t="s">
        <v>807</v>
      </c>
      <c r="D220" s="7" t="s">
        <v>816</v>
      </c>
      <c r="E220" s="7">
        <v>13</v>
      </c>
      <c r="F220" s="7" t="s">
        <v>843</v>
      </c>
      <c r="G220" s="7" t="s">
        <v>824</v>
      </c>
      <c r="H220" s="7">
        <v>5047</v>
      </c>
      <c r="I220" s="7" t="s">
        <v>852</v>
      </c>
      <c r="J220" s="8" t="str" cm="1">
        <f t="array" ref="J220">_xlfn.IFS(H220&gt;8000,"PLATINUM",H220&gt;6000,"GOLD",H220&gt;4000,"SILEVER",H220&gt;2000,"NORMAL",H220&gt;500,"BASIC")</f>
        <v>SILEVER</v>
      </c>
    </row>
    <row r="221" spans="1:10" ht="15.6" x14ac:dyDescent="0.3">
      <c r="A221" s="6">
        <v>44820</v>
      </c>
      <c r="B221" s="7" t="s">
        <v>115</v>
      </c>
      <c r="C221" s="7" t="s">
        <v>807</v>
      </c>
      <c r="D221" s="7" t="s">
        <v>816</v>
      </c>
      <c r="E221" s="7">
        <v>13</v>
      </c>
      <c r="F221" s="7" t="s">
        <v>843</v>
      </c>
      <c r="G221" s="7" t="s">
        <v>840</v>
      </c>
      <c r="H221" s="7">
        <v>5047</v>
      </c>
      <c r="I221" s="7" t="s">
        <v>852</v>
      </c>
      <c r="J221" s="8" t="str" cm="1">
        <f t="array" ref="J221">_xlfn.IFS(H221&gt;8000,"PLATINUM",H221&gt;6000,"GOLD",H221&gt;4000,"SILEVER",H221&gt;2000,"NORMAL",H221&gt;500,"BASIC")</f>
        <v>SILEVER</v>
      </c>
    </row>
    <row r="222" spans="1:10" ht="15.6" x14ac:dyDescent="0.3">
      <c r="A222" s="6">
        <v>44687</v>
      </c>
      <c r="B222" s="7" t="s">
        <v>116</v>
      </c>
      <c r="C222" s="7" t="s">
        <v>807</v>
      </c>
      <c r="D222" s="7" t="s">
        <v>816</v>
      </c>
      <c r="E222" s="7">
        <v>13</v>
      </c>
      <c r="F222" s="7" t="s">
        <v>844</v>
      </c>
      <c r="G222" s="7" t="s">
        <v>825</v>
      </c>
      <c r="H222" s="7">
        <v>5047</v>
      </c>
      <c r="I222" s="7" t="s">
        <v>852</v>
      </c>
      <c r="J222" s="8" t="str" cm="1">
        <f t="array" ref="J222">_xlfn.IFS(H222&gt;8000,"PLATINUM",H222&gt;6000,"GOLD",H222&gt;4000,"SILEVER",H222&gt;2000,"NORMAL",H222&gt;500,"BASIC")</f>
        <v>SILEVER</v>
      </c>
    </row>
    <row r="223" spans="1:10" ht="15.6" x14ac:dyDescent="0.3">
      <c r="A223" s="6">
        <v>44344</v>
      </c>
      <c r="B223" s="7" t="s">
        <v>117</v>
      </c>
      <c r="C223" s="7" t="s">
        <v>807</v>
      </c>
      <c r="D223" s="7" t="s">
        <v>816</v>
      </c>
      <c r="E223" s="7">
        <v>1</v>
      </c>
      <c r="F223" s="7" t="s">
        <v>845</v>
      </c>
      <c r="G223" s="7" t="s">
        <v>834</v>
      </c>
      <c r="H223" s="7">
        <v>3657</v>
      </c>
      <c r="I223" s="7" t="s">
        <v>850</v>
      </c>
      <c r="J223" s="8" t="str" cm="1">
        <f t="array" ref="J223">_xlfn.IFS(H223&gt;8000,"PLATINUM",H223&gt;6000,"GOLD",H223&gt;4000,"SILEVER",H223&gt;2000,"NORMAL",H223&gt;500,"BASIC")</f>
        <v>NORMAL</v>
      </c>
    </row>
    <row r="224" spans="1:10" ht="15.6" x14ac:dyDescent="0.3">
      <c r="A224" s="6">
        <v>45491</v>
      </c>
      <c r="B224" s="7" t="s">
        <v>118</v>
      </c>
      <c r="C224" s="7" t="s">
        <v>805</v>
      </c>
      <c r="D224" s="7" t="s">
        <v>809</v>
      </c>
      <c r="E224" s="7">
        <v>18</v>
      </c>
      <c r="F224" s="7" t="s">
        <v>843</v>
      </c>
      <c r="G224" s="7" t="s">
        <v>840</v>
      </c>
      <c r="H224" s="7">
        <v>6471</v>
      </c>
      <c r="I224" s="7" t="s">
        <v>850</v>
      </c>
      <c r="J224" s="8" t="str" cm="1">
        <f t="array" ref="J224">_xlfn.IFS(H224&gt;8000,"PLATINUM",H224&gt;6000,"GOLD",H224&gt;4000,"SILEVER",H224&gt;2000,"NORMAL",H224&gt;500,"BASIC")</f>
        <v>GOLD</v>
      </c>
    </row>
    <row r="225" spans="1:10" ht="15.6" x14ac:dyDescent="0.3">
      <c r="A225" s="6">
        <v>45632</v>
      </c>
      <c r="B225" s="7" t="s">
        <v>119</v>
      </c>
      <c r="C225" s="7" t="s">
        <v>806</v>
      </c>
      <c r="D225" s="7" t="s">
        <v>818</v>
      </c>
      <c r="E225" s="7">
        <v>9</v>
      </c>
      <c r="F225" s="7" t="s">
        <v>847</v>
      </c>
      <c r="G225" s="7" t="s">
        <v>837</v>
      </c>
      <c r="H225" s="7">
        <v>949</v>
      </c>
      <c r="I225" s="7" t="s">
        <v>850</v>
      </c>
      <c r="J225" s="8" t="str" cm="1">
        <f t="array" ref="J225">_xlfn.IFS(H225&gt;8000,"PLATINUM",H225&gt;6000,"GOLD",H225&gt;4000,"SILEVER",H225&gt;2000,"NORMAL",H225&gt;500,"BASIC")</f>
        <v>BASIC</v>
      </c>
    </row>
    <row r="226" spans="1:10" ht="15.6" x14ac:dyDescent="0.3">
      <c r="A226" s="6">
        <v>45632</v>
      </c>
      <c r="B226" s="7" t="s">
        <v>119</v>
      </c>
      <c r="C226" s="7" t="s">
        <v>806</v>
      </c>
      <c r="D226" s="7" t="s">
        <v>818</v>
      </c>
      <c r="E226" s="7">
        <v>6</v>
      </c>
      <c r="F226" s="7" t="s">
        <v>847</v>
      </c>
      <c r="G226" s="7" t="s">
        <v>837</v>
      </c>
      <c r="H226" s="7">
        <v>6823</v>
      </c>
      <c r="I226" s="7" t="s">
        <v>852</v>
      </c>
      <c r="J226" s="8" t="str" cm="1">
        <f t="array" ref="J226">_xlfn.IFS(H226&gt;8000,"PLATINUM",H226&gt;6000,"GOLD",H226&gt;4000,"SILEVER",H226&gt;2000,"NORMAL",H226&gt;500,"BASIC")</f>
        <v>GOLD</v>
      </c>
    </row>
    <row r="227" spans="1:10" ht="15.6" x14ac:dyDescent="0.3">
      <c r="A227" s="6">
        <v>45632</v>
      </c>
      <c r="B227" s="7" t="s">
        <v>119</v>
      </c>
      <c r="C227" s="7" t="s">
        <v>807</v>
      </c>
      <c r="D227" s="7" t="s">
        <v>813</v>
      </c>
      <c r="E227" s="7">
        <v>2</v>
      </c>
      <c r="F227" s="7" t="s">
        <v>847</v>
      </c>
      <c r="G227" s="7" t="s">
        <v>837</v>
      </c>
      <c r="H227" s="7">
        <v>4364</v>
      </c>
      <c r="I227" s="7" t="s">
        <v>852</v>
      </c>
      <c r="J227" s="8" t="str" cm="1">
        <f t="array" ref="J227">_xlfn.IFS(H227&gt;8000,"PLATINUM",H227&gt;6000,"GOLD",H227&gt;4000,"SILEVER",H227&gt;2000,"NORMAL",H227&gt;500,"BASIC")</f>
        <v>SILEVER</v>
      </c>
    </row>
    <row r="228" spans="1:10" ht="15.6" x14ac:dyDescent="0.3">
      <c r="A228" s="6">
        <v>44907</v>
      </c>
      <c r="B228" s="7" t="s">
        <v>120</v>
      </c>
      <c r="C228" s="7" t="s">
        <v>805</v>
      </c>
      <c r="D228" s="7" t="s">
        <v>819</v>
      </c>
      <c r="E228" s="7">
        <v>10</v>
      </c>
      <c r="F228" s="7" t="s">
        <v>843</v>
      </c>
      <c r="G228" s="7" t="s">
        <v>840</v>
      </c>
      <c r="H228" s="7">
        <v>6671</v>
      </c>
      <c r="I228" s="7" t="s">
        <v>850</v>
      </c>
      <c r="J228" s="8" t="str" cm="1">
        <f t="array" ref="J228">_xlfn.IFS(H228&gt;8000,"PLATINUM",H228&gt;6000,"GOLD",H228&gt;4000,"SILEVER",H228&gt;2000,"NORMAL",H228&gt;500,"BASIC")</f>
        <v>GOLD</v>
      </c>
    </row>
    <row r="229" spans="1:10" ht="15.6" x14ac:dyDescent="0.3">
      <c r="A229" s="6">
        <v>44854</v>
      </c>
      <c r="B229" s="7" t="s">
        <v>121</v>
      </c>
      <c r="C229" s="7" t="s">
        <v>806</v>
      </c>
      <c r="D229" s="7" t="s">
        <v>817</v>
      </c>
      <c r="E229" s="7">
        <v>3</v>
      </c>
      <c r="F229" s="7" t="s">
        <v>843</v>
      </c>
      <c r="G229" s="7" t="s">
        <v>829</v>
      </c>
      <c r="H229" s="7">
        <v>7472</v>
      </c>
      <c r="I229" s="7" t="s">
        <v>854</v>
      </c>
      <c r="J229" s="8" t="str" cm="1">
        <f t="array" ref="J229">_xlfn.IFS(H229&gt;8000,"PLATINUM",H229&gt;6000,"GOLD",H229&gt;4000,"SILEVER",H229&gt;2000,"NORMAL",H229&gt;500,"BASIC")</f>
        <v>GOLD</v>
      </c>
    </row>
    <row r="230" spans="1:10" ht="15.6" x14ac:dyDescent="0.3">
      <c r="A230" s="6">
        <v>44854</v>
      </c>
      <c r="B230" s="7" t="s">
        <v>121</v>
      </c>
      <c r="C230" s="7" t="s">
        <v>805</v>
      </c>
      <c r="D230" s="7" t="s">
        <v>810</v>
      </c>
      <c r="E230" s="7">
        <v>9</v>
      </c>
      <c r="F230" s="7" t="s">
        <v>843</v>
      </c>
      <c r="G230" s="7" t="s">
        <v>829</v>
      </c>
      <c r="H230" s="7">
        <v>9548</v>
      </c>
      <c r="I230" s="7" t="s">
        <v>854</v>
      </c>
      <c r="J230" s="8" t="str" cm="1">
        <f t="array" ref="J230">_xlfn.IFS(H230&gt;8000,"PLATINUM",H230&gt;6000,"GOLD",H230&gt;4000,"SILEVER",H230&gt;2000,"NORMAL",H230&gt;500,"BASIC")</f>
        <v>PLATINUM</v>
      </c>
    </row>
    <row r="231" spans="1:10" ht="15.6" x14ac:dyDescent="0.3">
      <c r="A231" s="6">
        <v>44279</v>
      </c>
      <c r="B231" s="7" t="s">
        <v>122</v>
      </c>
      <c r="C231" s="7" t="s">
        <v>805</v>
      </c>
      <c r="D231" s="7" t="s">
        <v>810</v>
      </c>
      <c r="E231" s="7">
        <v>17</v>
      </c>
      <c r="F231" s="7" t="s">
        <v>842</v>
      </c>
      <c r="G231" s="7" t="s">
        <v>823</v>
      </c>
      <c r="H231" s="7">
        <v>7759</v>
      </c>
      <c r="I231" s="7" t="s">
        <v>850</v>
      </c>
      <c r="J231" s="8" t="str" cm="1">
        <f t="array" ref="J231">_xlfn.IFS(H231&gt;8000,"PLATINUM",H231&gt;6000,"GOLD",H231&gt;4000,"SILEVER",H231&gt;2000,"NORMAL",H231&gt;500,"BASIC")</f>
        <v>GOLD</v>
      </c>
    </row>
    <row r="232" spans="1:10" ht="15.6" x14ac:dyDescent="0.3">
      <c r="A232" s="6">
        <v>45663</v>
      </c>
      <c r="B232" s="7" t="s">
        <v>123</v>
      </c>
      <c r="C232" s="7" t="s">
        <v>805</v>
      </c>
      <c r="D232" s="7" t="s">
        <v>810</v>
      </c>
      <c r="E232" s="7">
        <v>17</v>
      </c>
      <c r="F232" s="7" t="s">
        <v>846</v>
      </c>
      <c r="G232" s="7" t="s">
        <v>831</v>
      </c>
      <c r="H232" s="7">
        <v>7759</v>
      </c>
      <c r="I232" s="7" t="s">
        <v>850</v>
      </c>
      <c r="J232" s="8" t="str" cm="1">
        <f t="array" ref="J232">_xlfn.IFS(H232&gt;8000,"PLATINUM",H232&gt;6000,"GOLD",H232&gt;4000,"SILEVER",H232&gt;2000,"NORMAL",H232&gt;500,"BASIC")</f>
        <v>GOLD</v>
      </c>
    </row>
    <row r="233" spans="1:10" ht="15.6" x14ac:dyDescent="0.3">
      <c r="A233" s="6">
        <v>44279</v>
      </c>
      <c r="B233" s="7" t="s">
        <v>122</v>
      </c>
      <c r="C233" s="7" t="s">
        <v>806</v>
      </c>
      <c r="D233" s="7" t="s">
        <v>815</v>
      </c>
      <c r="E233" s="7">
        <v>16</v>
      </c>
      <c r="F233" s="7" t="s">
        <v>842</v>
      </c>
      <c r="G233" s="7" t="s">
        <v>823</v>
      </c>
      <c r="H233" s="7">
        <v>7521</v>
      </c>
      <c r="I233" s="7" t="s">
        <v>851</v>
      </c>
      <c r="J233" s="8" t="str" cm="1">
        <f t="array" ref="J233">_xlfn.IFS(H233&gt;8000,"PLATINUM",H233&gt;6000,"GOLD",H233&gt;4000,"SILEVER",H233&gt;2000,"NORMAL",H233&gt;500,"BASIC")</f>
        <v>GOLD</v>
      </c>
    </row>
    <row r="234" spans="1:10" ht="15.6" x14ac:dyDescent="0.3">
      <c r="A234" s="6">
        <v>45663</v>
      </c>
      <c r="B234" s="7" t="s">
        <v>123</v>
      </c>
      <c r="C234" s="7" t="s">
        <v>806</v>
      </c>
      <c r="D234" s="7" t="s">
        <v>815</v>
      </c>
      <c r="E234" s="7">
        <v>16</v>
      </c>
      <c r="F234" s="7" t="s">
        <v>846</v>
      </c>
      <c r="G234" s="7" t="s">
        <v>831</v>
      </c>
      <c r="H234" s="7">
        <v>7521</v>
      </c>
      <c r="I234" s="7" t="s">
        <v>851</v>
      </c>
      <c r="J234" s="8" t="str" cm="1">
        <f t="array" ref="J234">_xlfn.IFS(H234&gt;8000,"PLATINUM",H234&gt;6000,"GOLD",H234&gt;4000,"SILEVER",H234&gt;2000,"NORMAL",H234&gt;500,"BASIC")</f>
        <v>GOLD</v>
      </c>
    </row>
    <row r="235" spans="1:10" ht="15.6" x14ac:dyDescent="0.3">
      <c r="A235" s="6">
        <v>44261</v>
      </c>
      <c r="B235" s="7" t="s">
        <v>124</v>
      </c>
      <c r="C235" s="7" t="s">
        <v>806</v>
      </c>
      <c r="D235" s="7" t="s">
        <v>811</v>
      </c>
      <c r="E235" s="7">
        <v>12</v>
      </c>
      <c r="F235" s="7" t="s">
        <v>846</v>
      </c>
      <c r="G235" s="7" t="s">
        <v>838</v>
      </c>
      <c r="H235" s="7">
        <v>9704</v>
      </c>
      <c r="I235" s="7" t="s">
        <v>854</v>
      </c>
      <c r="J235" s="8" t="str" cm="1">
        <f t="array" ref="J235">_xlfn.IFS(H235&gt;8000,"PLATINUM",H235&gt;6000,"GOLD",H235&gt;4000,"SILEVER",H235&gt;2000,"NORMAL",H235&gt;500,"BASIC")</f>
        <v>PLATINUM</v>
      </c>
    </row>
    <row r="236" spans="1:10" ht="15.6" x14ac:dyDescent="0.3">
      <c r="A236" s="6">
        <v>44261</v>
      </c>
      <c r="B236" s="7" t="s">
        <v>124</v>
      </c>
      <c r="C236" s="7" t="s">
        <v>805</v>
      </c>
      <c r="D236" s="7" t="s">
        <v>810</v>
      </c>
      <c r="E236" s="7">
        <v>18</v>
      </c>
      <c r="F236" s="7" t="s">
        <v>846</v>
      </c>
      <c r="G236" s="7" t="s">
        <v>838</v>
      </c>
      <c r="H236" s="7">
        <v>4948</v>
      </c>
      <c r="I236" s="7" t="s">
        <v>851</v>
      </c>
      <c r="J236" s="8" t="str" cm="1">
        <f t="array" ref="J236">_xlfn.IFS(H236&gt;8000,"PLATINUM",H236&gt;6000,"GOLD",H236&gt;4000,"SILEVER",H236&gt;2000,"NORMAL",H236&gt;500,"BASIC")</f>
        <v>SILEVER</v>
      </c>
    </row>
    <row r="237" spans="1:10" ht="15.6" x14ac:dyDescent="0.3">
      <c r="A237" s="6">
        <v>44261</v>
      </c>
      <c r="B237" s="7" t="s">
        <v>124</v>
      </c>
      <c r="C237" s="7" t="s">
        <v>805</v>
      </c>
      <c r="D237" s="7" t="s">
        <v>809</v>
      </c>
      <c r="E237" s="7">
        <v>10</v>
      </c>
      <c r="F237" s="7" t="s">
        <v>846</v>
      </c>
      <c r="G237" s="7" t="s">
        <v>838</v>
      </c>
      <c r="H237" s="7">
        <v>6435</v>
      </c>
      <c r="I237" s="7" t="s">
        <v>851</v>
      </c>
      <c r="J237" s="8" t="str" cm="1">
        <f t="array" ref="J237">_xlfn.IFS(H237&gt;8000,"PLATINUM",H237&gt;6000,"GOLD",H237&gt;4000,"SILEVER",H237&gt;2000,"NORMAL",H237&gt;500,"BASIC")</f>
        <v>GOLD</v>
      </c>
    </row>
    <row r="238" spans="1:10" ht="15.6" x14ac:dyDescent="0.3">
      <c r="A238" s="6">
        <v>43999</v>
      </c>
      <c r="B238" s="7" t="s">
        <v>125</v>
      </c>
      <c r="C238" s="7" t="s">
        <v>806</v>
      </c>
      <c r="D238" s="7" t="s">
        <v>815</v>
      </c>
      <c r="E238" s="7">
        <v>16</v>
      </c>
      <c r="F238" s="7" t="s">
        <v>845</v>
      </c>
      <c r="G238" s="7" t="s">
        <v>834</v>
      </c>
      <c r="H238" s="7">
        <v>9965</v>
      </c>
      <c r="I238" s="7" t="s">
        <v>854</v>
      </c>
      <c r="J238" s="8" t="str" cm="1">
        <f t="array" ref="J238">_xlfn.IFS(H238&gt;8000,"PLATINUM",H238&gt;6000,"GOLD",H238&gt;4000,"SILEVER",H238&gt;2000,"NORMAL",H238&gt;500,"BASIC")</f>
        <v>PLATINUM</v>
      </c>
    </row>
    <row r="239" spans="1:10" ht="15.6" x14ac:dyDescent="0.3">
      <c r="A239" s="6">
        <v>45170</v>
      </c>
      <c r="B239" s="7" t="s">
        <v>126</v>
      </c>
      <c r="C239" s="7" t="s">
        <v>806</v>
      </c>
      <c r="D239" s="7" t="s">
        <v>815</v>
      </c>
      <c r="E239" s="7">
        <v>16</v>
      </c>
      <c r="F239" s="7" t="s">
        <v>844</v>
      </c>
      <c r="G239" s="7" t="s">
        <v>825</v>
      </c>
      <c r="H239" s="7">
        <v>9965</v>
      </c>
      <c r="I239" s="7" t="s">
        <v>854</v>
      </c>
      <c r="J239" s="8" t="str" cm="1">
        <f t="array" ref="J239">_xlfn.IFS(H239&gt;8000,"PLATINUM",H239&gt;6000,"GOLD",H239&gt;4000,"SILEVER",H239&gt;2000,"NORMAL",H239&gt;500,"BASIC")</f>
        <v>PLATINUM</v>
      </c>
    </row>
    <row r="240" spans="1:10" ht="15.6" x14ac:dyDescent="0.3">
      <c r="A240" s="6">
        <v>45085</v>
      </c>
      <c r="B240" s="7" t="s">
        <v>127</v>
      </c>
      <c r="C240" s="7" t="s">
        <v>807</v>
      </c>
      <c r="D240" s="7" t="s">
        <v>816</v>
      </c>
      <c r="E240" s="7">
        <v>3</v>
      </c>
      <c r="F240" s="7" t="s">
        <v>844</v>
      </c>
      <c r="G240" s="7" t="s">
        <v>830</v>
      </c>
      <c r="H240" s="7">
        <v>1523</v>
      </c>
      <c r="I240" s="7" t="s">
        <v>850</v>
      </c>
      <c r="J240" s="8" t="str" cm="1">
        <f t="array" ref="J240">_xlfn.IFS(H240&gt;8000,"PLATINUM",H240&gt;6000,"GOLD",H240&gt;4000,"SILEVER",H240&gt;2000,"NORMAL",H240&gt;500,"BASIC")</f>
        <v>BASIC</v>
      </c>
    </row>
    <row r="241" spans="1:10" ht="15.6" x14ac:dyDescent="0.3">
      <c r="A241" s="6">
        <v>45085</v>
      </c>
      <c r="B241" s="7" t="s">
        <v>127</v>
      </c>
      <c r="C241" s="7" t="s">
        <v>805</v>
      </c>
      <c r="D241" s="7" t="s">
        <v>809</v>
      </c>
      <c r="E241" s="7">
        <v>7</v>
      </c>
      <c r="F241" s="7" t="s">
        <v>844</v>
      </c>
      <c r="G241" s="7" t="s">
        <v>830</v>
      </c>
      <c r="H241" s="7">
        <v>9073</v>
      </c>
      <c r="I241" s="7" t="s">
        <v>851</v>
      </c>
      <c r="J241" s="8" t="str" cm="1">
        <f t="array" ref="J241">_xlfn.IFS(H241&gt;8000,"PLATINUM",H241&gt;6000,"GOLD",H241&gt;4000,"SILEVER",H241&gt;2000,"NORMAL",H241&gt;500,"BASIC")</f>
        <v>PLATINUM</v>
      </c>
    </row>
    <row r="242" spans="1:10" ht="15.6" x14ac:dyDescent="0.3">
      <c r="A242" s="6">
        <v>44280</v>
      </c>
      <c r="B242" s="7" t="s">
        <v>128</v>
      </c>
      <c r="C242" s="7" t="s">
        <v>805</v>
      </c>
      <c r="D242" s="7" t="s">
        <v>812</v>
      </c>
      <c r="E242" s="7">
        <v>20</v>
      </c>
      <c r="F242" s="7" t="s">
        <v>844</v>
      </c>
      <c r="G242" s="7" t="s">
        <v>830</v>
      </c>
      <c r="H242" s="7">
        <v>6447</v>
      </c>
      <c r="I242" s="7" t="s">
        <v>854</v>
      </c>
      <c r="J242" s="8" t="str" cm="1">
        <f t="array" ref="J242">_xlfn.IFS(H242&gt;8000,"PLATINUM",H242&gt;6000,"GOLD",H242&gt;4000,"SILEVER",H242&gt;2000,"NORMAL",H242&gt;500,"BASIC")</f>
        <v>GOLD</v>
      </c>
    </row>
    <row r="243" spans="1:10" ht="15.6" x14ac:dyDescent="0.3">
      <c r="A243" s="6">
        <v>44280</v>
      </c>
      <c r="B243" s="7" t="s">
        <v>128</v>
      </c>
      <c r="C243" s="7" t="s">
        <v>805</v>
      </c>
      <c r="D243" s="7" t="s">
        <v>809</v>
      </c>
      <c r="E243" s="7">
        <v>6</v>
      </c>
      <c r="F243" s="7" t="s">
        <v>844</v>
      </c>
      <c r="G243" s="7" t="s">
        <v>830</v>
      </c>
      <c r="H243" s="7">
        <v>8947</v>
      </c>
      <c r="I243" s="7" t="s">
        <v>853</v>
      </c>
      <c r="J243" s="8" t="str" cm="1">
        <f t="array" ref="J243">_xlfn.IFS(H243&gt;8000,"PLATINUM",H243&gt;6000,"GOLD",H243&gt;4000,"SILEVER",H243&gt;2000,"NORMAL",H243&gt;500,"BASIC")</f>
        <v>PLATINUM</v>
      </c>
    </row>
    <row r="244" spans="1:10" ht="15.6" x14ac:dyDescent="0.3">
      <c r="A244" s="6">
        <v>44199</v>
      </c>
      <c r="B244" s="7" t="s">
        <v>129</v>
      </c>
      <c r="C244" s="7" t="s">
        <v>806</v>
      </c>
      <c r="D244" s="7" t="s">
        <v>811</v>
      </c>
      <c r="E244" s="7">
        <v>8</v>
      </c>
      <c r="F244" s="7" t="s">
        <v>845</v>
      </c>
      <c r="G244" s="7" t="s">
        <v>827</v>
      </c>
      <c r="H244" s="7">
        <v>914</v>
      </c>
      <c r="I244" s="7" t="s">
        <v>851</v>
      </c>
      <c r="J244" s="8" t="str" cm="1">
        <f t="array" ref="J244">_xlfn.IFS(H244&gt;8000,"PLATINUM",H244&gt;6000,"GOLD",H244&gt;4000,"SILEVER",H244&gt;2000,"NORMAL",H244&gt;500,"BASIC")</f>
        <v>BASIC</v>
      </c>
    </row>
    <row r="245" spans="1:10" ht="15.6" x14ac:dyDescent="0.3">
      <c r="A245" s="6">
        <v>44199</v>
      </c>
      <c r="B245" s="7" t="s">
        <v>129</v>
      </c>
      <c r="C245" s="7" t="s">
        <v>806</v>
      </c>
      <c r="D245" s="7" t="s">
        <v>817</v>
      </c>
      <c r="E245" s="7">
        <v>3</v>
      </c>
      <c r="F245" s="7" t="s">
        <v>845</v>
      </c>
      <c r="G245" s="7" t="s">
        <v>827</v>
      </c>
      <c r="H245" s="7">
        <v>1548</v>
      </c>
      <c r="I245" s="7" t="s">
        <v>853</v>
      </c>
      <c r="J245" s="8" t="str" cm="1">
        <f t="array" ref="J245">_xlfn.IFS(H245&gt;8000,"PLATINUM",H245&gt;6000,"GOLD",H245&gt;4000,"SILEVER",H245&gt;2000,"NORMAL",H245&gt;500,"BASIC")</f>
        <v>BASIC</v>
      </c>
    </row>
    <row r="246" spans="1:10" ht="15.6" x14ac:dyDescent="0.3">
      <c r="A246" s="6">
        <v>45653</v>
      </c>
      <c r="B246" s="7" t="s">
        <v>130</v>
      </c>
      <c r="C246" s="7" t="s">
        <v>807</v>
      </c>
      <c r="D246" s="7" t="s">
        <v>813</v>
      </c>
      <c r="E246" s="7">
        <v>6</v>
      </c>
      <c r="F246" s="7" t="s">
        <v>844</v>
      </c>
      <c r="G246" s="7" t="s">
        <v>828</v>
      </c>
      <c r="H246" s="7">
        <v>2759</v>
      </c>
      <c r="I246" s="7" t="s">
        <v>853</v>
      </c>
      <c r="J246" s="8" t="str" cm="1">
        <f t="array" ref="J246">_xlfn.IFS(H246&gt;8000,"PLATINUM",H246&gt;6000,"GOLD",H246&gt;4000,"SILEVER",H246&gt;2000,"NORMAL",H246&gt;500,"BASIC")</f>
        <v>NORMAL</v>
      </c>
    </row>
    <row r="247" spans="1:10" ht="15.6" x14ac:dyDescent="0.3">
      <c r="A247" s="6">
        <v>44785</v>
      </c>
      <c r="B247" s="7" t="s">
        <v>131</v>
      </c>
      <c r="C247" s="7" t="s">
        <v>805</v>
      </c>
      <c r="D247" s="7" t="s">
        <v>812</v>
      </c>
      <c r="E247" s="7">
        <v>4</v>
      </c>
      <c r="F247" s="7" t="s">
        <v>842</v>
      </c>
      <c r="G247" s="7" t="s">
        <v>826</v>
      </c>
      <c r="H247" s="7">
        <v>1341</v>
      </c>
      <c r="I247" s="7" t="s">
        <v>850</v>
      </c>
      <c r="J247" s="8" t="str" cm="1">
        <f t="array" ref="J247">_xlfn.IFS(H247&gt;8000,"PLATINUM",H247&gt;6000,"GOLD",H247&gt;4000,"SILEVER",H247&gt;2000,"NORMAL",H247&gt;500,"BASIC")</f>
        <v>BASIC</v>
      </c>
    </row>
    <row r="248" spans="1:10" ht="15.6" x14ac:dyDescent="0.3">
      <c r="A248" s="6">
        <v>44648</v>
      </c>
      <c r="B248" s="7" t="s">
        <v>132</v>
      </c>
      <c r="C248" s="7" t="s">
        <v>805</v>
      </c>
      <c r="D248" s="7" t="s">
        <v>809</v>
      </c>
      <c r="E248" s="7">
        <v>19</v>
      </c>
      <c r="F248" s="7" t="s">
        <v>847</v>
      </c>
      <c r="G248" s="7" t="s">
        <v>837</v>
      </c>
      <c r="H248" s="7">
        <v>9851</v>
      </c>
      <c r="I248" s="7" t="s">
        <v>851</v>
      </c>
      <c r="J248" s="8" t="str" cm="1">
        <f t="array" ref="J248">_xlfn.IFS(H248&gt;8000,"PLATINUM",H248&gt;6000,"GOLD",H248&gt;4000,"SILEVER",H248&gt;2000,"NORMAL",H248&gt;500,"BASIC")</f>
        <v>PLATINUM</v>
      </c>
    </row>
    <row r="249" spans="1:10" ht="15.6" x14ac:dyDescent="0.3">
      <c r="A249" s="6">
        <v>45122</v>
      </c>
      <c r="B249" s="7" t="s">
        <v>133</v>
      </c>
      <c r="C249" s="7" t="s">
        <v>805</v>
      </c>
      <c r="D249" s="7" t="s">
        <v>809</v>
      </c>
      <c r="E249" s="7">
        <v>19</v>
      </c>
      <c r="F249" s="7" t="s">
        <v>844</v>
      </c>
      <c r="G249" s="7" t="s">
        <v>825</v>
      </c>
      <c r="H249" s="7">
        <v>9851</v>
      </c>
      <c r="I249" s="7" t="s">
        <v>851</v>
      </c>
      <c r="J249" s="8" t="str" cm="1">
        <f t="array" ref="J249">_xlfn.IFS(H249&gt;8000,"PLATINUM",H249&gt;6000,"GOLD",H249&gt;4000,"SILEVER",H249&gt;2000,"NORMAL",H249&gt;500,"BASIC")</f>
        <v>PLATINUM</v>
      </c>
    </row>
    <row r="250" spans="1:10" ht="15.6" x14ac:dyDescent="0.3">
      <c r="A250" s="6">
        <v>44826</v>
      </c>
      <c r="B250" s="7" t="s">
        <v>134</v>
      </c>
      <c r="C250" s="7" t="s">
        <v>805</v>
      </c>
      <c r="D250" s="7" t="s">
        <v>809</v>
      </c>
      <c r="E250" s="7">
        <v>19</v>
      </c>
      <c r="F250" s="7" t="s">
        <v>842</v>
      </c>
      <c r="G250" s="7" t="s">
        <v>826</v>
      </c>
      <c r="H250" s="7">
        <v>9851</v>
      </c>
      <c r="I250" s="7" t="s">
        <v>851</v>
      </c>
      <c r="J250" s="8" t="str" cm="1">
        <f t="array" ref="J250">_xlfn.IFS(H250&gt;8000,"PLATINUM",H250&gt;6000,"GOLD",H250&gt;4000,"SILEVER",H250&gt;2000,"NORMAL",H250&gt;500,"BASIC")</f>
        <v>PLATINUM</v>
      </c>
    </row>
    <row r="251" spans="1:10" ht="15.6" x14ac:dyDescent="0.3">
      <c r="A251" s="6">
        <v>44648</v>
      </c>
      <c r="B251" s="7" t="s">
        <v>132</v>
      </c>
      <c r="C251" s="7" t="s">
        <v>807</v>
      </c>
      <c r="D251" s="7" t="s">
        <v>813</v>
      </c>
      <c r="E251" s="7">
        <v>14</v>
      </c>
      <c r="F251" s="7" t="s">
        <v>847</v>
      </c>
      <c r="G251" s="7" t="s">
        <v>837</v>
      </c>
      <c r="H251" s="7">
        <v>9989</v>
      </c>
      <c r="I251" s="7" t="s">
        <v>851</v>
      </c>
      <c r="J251" s="8" t="str" cm="1">
        <f t="array" ref="J251">_xlfn.IFS(H251&gt;8000,"PLATINUM",H251&gt;6000,"GOLD",H251&gt;4000,"SILEVER",H251&gt;2000,"NORMAL",H251&gt;500,"BASIC")</f>
        <v>PLATINUM</v>
      </c>
    </row>
    <row r="252" spans="1:10" ht="15.6" x14ac:dyDescent="0.3">
      <c r="A252" s="6">
        <v>45122</v>
      </c>
      <c r="B252" s="7" t="s">
        <v>133</v>
      </c>
      <c r="C252" s="7" t="s">
        <v>807</v>
      </c>
      <c r="D252" s="7" t="s">
        <v>813</v>
      </c>
      <c r="E252" s="7">
        <v>14</v>
      </c>
      <c r="F252" s="7" t="s">
        <v>844</v>
      </c>
      <c r="G252" s="7" t="s">
        <v>825</v>
      </c>
      <c r="H252" s="7">
        <v>9989</v>
      </c>
      <c r="I252" s="7" t="s">
        <v>851</v>
      </c>
      <c r="J252" s="8" t="str" cm="1">
        <f t="array" ref="J252">_xlfn.IFS(H252&gt;8000,"PLATINUM",H252&gt;6000,"GOLD",H252&gt;4000,"SILEVER",H252&gt;2000,"NORMAL",H252&gt;500,"BASIC")</f>
        <v>PLATINUM</v>
      </c>
    </row>
    <row r="253" spans="1:10" ht="15.6" x14ac:dyDescent="0.3">
      <c r="A253" s="6">
        <v>44826</v>
      </c>
      <c r="B253" s="7" t="s">
        <v>134</v>
      </c>
      <c r="C253" s="7" t="s">
        <v>807</v>
      </c>
      <c r="D253" s="7" t="s">
        <v>813</v>
      </c>
      <c r="E253" s="7">
        <v>14</v>
      </c>
      <c r="F253" s="7" t="s">
        <v>842</v>
      </c>
      <c r="G253" s="7" t="s">
        <v>826</v>
      </c>
      <c r="H253" s="7">
        <v>9989</v>
      </c>
      <c r="I253" s="7" t="s">
        <v>851</v>
      </c>
      <c r="J253" s="8" t="str" cm="1">
        <f t="array" ref="J253">_xlfn.IFS(H253&gt;8000,"PLATINUM",H253&gt;6000,"GOLD",H253&gt;4000,"SILEVER",H253&gt;2000,"NORMAL",H253&gt;500,"BASIC")</f>
        <v>PLATINUM</v>
      </c>
    </row>
    <row r="254" spans="1:10" ht="15.6" x14ac:dyDescent="0.3">
      <c r="A254" s="6">
        <v>44915</v>
      </c>
      <c r="B254" s="7" t="s">
        <v>135</v>
      </c>
      <c r="C254" s="7" t="s">
        <v>807</v>
      </c>
      <c r="D254" s="7" t="s">
        <v>813</v>
      </c>
      <c r="E254" s="7">
        <v>10</v>
      </c>
      <c r="F254" s="7" t="s">
        <v>846</v>
      </c>
      <c r="G254" s="7" t="s">
        <v>838</v>
      </c>
      <c r="H254" s="7">
        <v>7421</v>
      </c>
      <c r="I254" s="7" t="s">
        <v>854</v>
      </c>
      <c r="J254" s="8" t="str" cm="1">
        <f t="array" ref="J254">_xlfn.IFS(H254&gt;8000,"PLATINUM",H254&gt;6000,"GOLD",H254&gt;4000,"SILEVER",H254&gt;2000,"NORMAL",H254&gt;500,"BASIC")</f>
        <v>GOLD</v>
      </c>
    </row>
    <row r="255" spans="1:10" ht="15.6" x14ac:dyDescent="0.3">
      <c r="A255" s="6">
        <v>44577</v>
      </c>
      <c r="B255" s="7" t="s">
        <v>136</v>
      </c>
      <c r="C255" s="7" t="s">
        <v>807</v>
      </c>
      <c r="D255" s="7" t="s">
        <v>813</v>
      </c>
      <c r="E255" s="7">
        <v>10</v>
      </c>
      <c r="F255" s="7" t="s">
        <v>846</v>
      </c>
      <c r="G255" s="7" t="s">
        <v>838</v>
      </c>
      <c r="H255" s="7">
        <v>7421</v>
      </c>
      <c r="I255" s="7" t="s">
        <v>854</v>
      </c>
      <c r="J255" s="8" t="str" cm="1">
        <f t="array" ref="J255">_xlfn.IFS(H255&gt;8000,"PLATINUM",H255&gt;6000,"GOLD",H255&gt;4000,"SILEVER",H255&gt;2000,"NORMAL",H255&gt;500,"BASIC")</f>
        <v>GOLD</v>
      </c>
    </row>
    <row r="256" spans="1:10" ht="15.6" x14ac:dyDescent="0.3">
      <c r="A256" s="6">
        <v>44955</v>
      </c>
      <c r="B256" s="7" t="s">
        <v>137</v>
      </c>
      <c r="C256" s="7" t="s">
        <v>807</v>
      </c>
      <c r="D256" s="7" t="s">
        <v>813</v>
      </c>
      <c r="E256" s="7">
        <v>10</v>
      </c>
      <c r="F256" s="7" t="s">
        <v>846</v>
      </c>
      <c r="G256" s="7" t="s">
        <v>831</v>
      </c>
      <c r="H256" s="7">
        <v>7421</v>
      </c>
      <c r="I256" s="7" t="s">
        <v>854</v>
      </c>
      <c r="J256" s="8" t="str" cm="1">
        <f t="array" ref="J256">_xlfn.IFS(H256&gt;8000,"PLATINUM",H256&gt;6000,"GOLD",H256&gt;4000,"SILEVER",H256&gt;2000,"NORMAL",H256&gt;500,"BASIC")</f>
        <v>GOLD</v>
      </c>
    </row>
    <row r="257" spans="1:10" ht="15.6" x14ac:dyDescent="0.3">
      <c r="A257" s="6">
        <v>44576</v>
      </c>
      <c r="B257" s="7" t="s">
        <v>138</v>
      </c>
      <c r="C257" s="7" t="s">
        <v>806</v>
      </c>
      <c r="D257" s="7" t="s">
        <v>817</v>
      </c>
      <c r="E257" s="7">
        <v>1</v>
      </c>
      <c r="F257" s="7" t="s">
        <v>844</v>
      </c>
      <c r="G257" s="7" t="s">
        <v>825</v>
      </c>
      <c r="H257" s="7">
        <v>3099</v>
      </c>
      <c r="I257" s="7" t="s">
        <v>854</v>
      </c>
      <c r="J257" s="8" t="str" cm="1">
        <f t="array" ref="J257">_xlfn.IFS(H257&gt;8000,"PLATINUM",H257&gt;6000,"GOLD",H257&gt;4000,"SILEVER",H257&gt;2000,"NORMAL",H257&gt;500,"BASIC")</f>
        <v>NORMAL</v>
      </c>
    </row>
    <row r="258" spans="1:10" ht="15.6" x14ac:dyDescent="0.3">
      <c r="A258" s="6">
        <v>44576</v>
      </c>
      <c r="B258" s="7" t="s">
        <v>138</v>
      </c>
      <c r="C258" s="7" t="s">
        <v>805</v>
      </c>
      <c r="D258" s="7" t="s">
        <v>819</v>
      </c>
      <c r="E258" s="7">
        <v>7</v>
      </c>
      <c r="F258" s="7" t="s">
        <v>844</v>
      </c>
      <c r="G258" s="7" t="s">
        <v>825</v>
      </c>
      <c r="H258" s="7">
        <v>2521</v>
      </c>
      <c r="I258" s="7" t="s">
        <v>854</v>
      </c>
      <c r="J258" s="8" t="str" cm="1">
        <f t="array" ref="J258">_xlfn.IFS(H258&gt;8000,"PLATINUM",H258&gt;6000,"GOLD",H258&gt;4000,"SILEVER",H258&gt;2000,"NORMAL",H258&gt;500,"BASIC")</f>
        <v>NORMAL</v>
      </c>
    </row>
    <row r="259" spans="1:10" ht="15.6" x14ac:dyDescent="0.3">
      <c r="A259" s="6">
        <v>45375</v>
      </c>
      <c r="B259" s="7" t="s">
        <v>139</v>
      </c>
      <c r="C259" s="7" t="s">
        <v>805</v>
      </c>
      <c r="D259" s="7" t="s">
        <v>809</v>
      </c>
      <c r="E259" s="7">
        <v>12</v>
      </c>
      <c r="F259" s="7" t="s">
        <v>846</v>
      </c>
      <c r="G259" s="7" t="s">
        <v>831</v>
      </c>
      <c r="H259" s="7">
        <v>6962</v>
      </c>
      <c r="I259" s="7" t="s">
        <v>850</v>
      </c>
      <c r="J259" s="8" t="str" cm="1">
        <f t="array" ref="J259">_xlfn.IFS(H259&gt;8000,"PLATINUM",H259&gt;6000,"GOLD",H259&gt;4000,"SILEVER",H259&gt;2000,"NORMAL",H259&gt;500,"BASIC")</f>
        <v>GOLD</v>
      </c>
    </row>
    <row r="260" spans="1:10" ht="15.6" x14ac:dyDescent="0.3">
      <c r="A260" s="6">
        <v>45707</v>
      </c>
      <c r="B260" s="7" t="s">
        <v>140</v>
      </c>
      <c r="C260" s="7" t="s">
        <v>805</v>
      </c>
      <c r="D260" s="7" t="s">
        <v>809</v>
      </c>
      <c r="E260" s="7">
        <v>12</v>
      </c>
      <c r="F260" s="7" t="s">
        <v>842</v>
      </c>
      <c r="G260" s="7" t="s">
        <v>823</v>
      </c>
      <c r="H260" s="7">
        <v>6962</v>
      </c>
      <c r="I260" s="7" t="s">
        <v>850</v>
      </c>
      <c r="J260" s="8" t="str" cm="1">
        <f t="array" ref="J260">_xlfn.IFS(H260&gt;8000,"PLATINUM",H260&gt;6000,"GOLD",H260&gt;4000,"SILEVER",H260&gt;2000,"NORMAL",H260&gt;500,"BASIC")</f>
        <v>GOLD</v>
      </c>
    </row>
    <row r="261" spans="1:10" ht="15.6" x14ac:dyDescent="0.3">
      <c r="A261" s="6">
        <v>45486</v>
      </c>
      <c r="B261" s="7" t="s">
        <v>141</v>
      </c>
      <c r="C261" s="7" t="s">
        <v>807</v>
      </c>
      <c r="D261" s="7" t="s">
        <v>820</v>
      </c>
      <c r="E261" s="7">
        <v>20</v>
      </c>
      <c r="F261" s="7" t="s">
        <v>844</v>
      </c>
      <c r="G261" s="7" t="s">
        <v>825</v>
      </c>
      <c r="H261" s="7">
        <v>1085</v>
      </c>
      <c r="I261" s="7" t="s">
        <v>850</v>
      </c>
      <c r="J261" s="8" t="str" cm="1">
        <f t="array" ref="J261">_xlfn.IFS(H261&gt;8000,"PLATINUM",H261&gt;6000,"GOLD",H261&gt;4000,"SILEVER",H261&gt;2000,"NORMAL",H261&gt;500,"BASIC")</f>
        <v>BASIC</v>
      </c>
    </row>
    <row r="262" spans="1:10" ht="15.6" x14ac:dyDescent="0.3">
      <c r="A262" s="6">
        <v>45044</v>
      </c>
      <c r="B262" s="7" t="s">
        <v>142</v>
      </c>
      <c r="C262" s="7" t="s">
        <v>807</v>
      </c>
      <c r="D262" s="7" t="s">
        <v>814</v>
      </c>
      <c r="E262" s="7">
        <v>2</v>
      </c>
      <c r="F262" s="7" t="s">
        <v>847</v>
      </c>
      <c r="G262" s="7" t="s">
        <v>836</v>
      </c>
      <c r="H262" s="7">
        <v>738</v>
      </c>
      <c r="I262" s="7" t="s">
        <v>851</v>
      </c>
      <c r="J262" s="8" t="str" cm="1">
        <f t="array" ref="J262">_xlfn.IFS(H262&gt;8000,"PLATINUM",H262&gt;6000,"GOLD",H262&gt;4000,"SILEVER",H262&gt;2000,"NORMAL",H262&gt;500,"BASIC")</f>
        <v>BASIC</v>
      </c>
    </row>
    <row r="263" spans="1:10" ht="15.6" x14ac:dyDescent="0.3">
      <c r="A263" s="6">
        <v>44170</v>
      </c>
      <c r="B263" s="7" t="s">
        <v>143</v>
      </c>
      <c r="C263" s="7" t="s">
        <v>807</v>
      </c>
      <c r="D263" s="7" t="s">
        <v>814</v>
      </c>
      <c r="E263" s="7">
        <v>2</v>
      </c>
      <c r="F263" s="7" t="s">
        <v>844</v>
      </c>
      <c r="G263" s="7" t="s">
        <v>825</v>
      </c>
      <c r="H263" s="7">
        <v>738</v>
      </c>
      <c r="I263" s="7" t="s">
        <v>851</v>
      </c>
      <c r="J263" s="8" t="str" cm="1">
        <f t="array" ref="J263">_xlfn.IFS(H263&gt;8000,"PLATINUM",H263&gt;6000,"GOLD",H263&gt;4000,"SILEVER",H263&gt;2000,"NORMAL",H263&gt;500,"BASIC")</f>
        <v>BASIC</v>
      </c>
    </row>
    <row r="264" spans="1:10" ht="15.6" x14ac:dyDescent="0.3">
      <c r="A264" s="6">
        <v>45426</v>
      </c>
      <c r="B264" s="7" t="s">
        <v>144</v>
      </c>
      <c r="C264" s="7" t="s">
        <v>807</v>
      </c>
      <c r="D264" s="7" t="s">
        <v>814</v>
      </c>
      <c r="E264" s="7">
        <v>2</v>
      </c>
      <c r="F264" s="7" t="s">
        <v>847</v>
      </c>
      <c r="G264" s="7" t="s">
        <v>836</v>
      </c>
      <c r="H264" s="7">
        <v>738</v>
      </c>
      <c r="I264" s="7" t="s">
        <v>851</v>
      </c>
      <c r="J264" s="8" t="str" cm="1">
        <f t="array" ref="J264">_xlfn.IFS(H264&gt;8000,"PLATINUM",H264&gt;6000,"GOLD",H264&gt;4000,"SILEVER",H264&gt;2000,"NORMAL",H264&gt;500,"BASIC")</f>
        <v>BASIC</v>
      </c>
    </row>
    <row r="265" spans="1:10" ht="15.6" x14ac:dyDescent="0.3">
      <c r="A265" s="6">
        <v>44579</v>
      </c>
      <c r="B265" s="7" t="s">
        <v>145</v>
      </c>
      <c r="C265" s="7" t="s">
        <v>807</v>
      </c>
      <c r="D265" s="7" t="s">
        <v>814</v>
      </c>
      <c r="E265" s="7">
        <v>2</v>
      </c>
      <c r="F265" s="7" t="s">
        <v>844</v>
      </c>
      <c r="G265" s="7" t="s">
        <v>828</v>
      </c>
      <c r="H265" s="7">
        <v>738</v>
      </c>
      <c r="I265" s="7" t="s">
        <v>851</v>
      </c>
      <c r="J265" s="8" t="str" cm="1">
        <f t="array" ref="J265">_xlfn.IFS(H265&gt;8000,"PLATINUM",H265&gt;6000,"GOLD",H265&gt;4000,"SILEVER",H265&gt;2000,"NORMAL",H265&gt;500,"BASIC")</f>
        <v>BASIC</v>
      </c>
    </row>
    <row r="266" spans="1:10" ht="15.6" x14ac:dyDescent="0.3">
      <c r="A266" s="6">
        <v>45187</v>
      </c>
      <c r="B266" s="7" t="s">
        <v>146</v>
      </c>
      <c r="C266" s="7" t="s">
        <v>805</v>
      </c>
      <c r="D266" s="7" t="s">
        <v>809</v>
      </c>
      <c r="E266" s="7">
        <v>17</v>
      </c>
      <c r="F266" s="7" t="s">
        <v>847</v>
      </c>
      <c r="G266" s="7" t="s">
        <v>835</v>
      </c>
      <c r="H266" s="7">
        <v>1366</v>
      </c>
      <c r="I266" s="7" t="s">
        <v>852</v>
      </c>
      <c r="J266" s="8" t="str" cm="1">
        <f t="array" ref="J266">_xlfn.IFS(H266&gt;8000,"PLATINUM",H266&gt;6000,"GOLD",H266&gt;4000,"SILEVER",H266&gt;2000,"NORMAL",H266&gt;500,"BASIC")</f>
        <v>BASIC</v>
      </c>
    </row>
    <row r="267" spans="1:10" ht="15.6" x14ac:dyDescent="0.3">
      <c r="A267" s="6">
        <v>45187</v>
      </c>
      <c r="B267" s="7" t="s">
        <v>146</v>
      </c>
      <c r="C267" s="7" t="s">
        <v>806</v>
      </c>
      <c r="D267" s="7" t="s">
        <v>815</v>
      </c>
      <c r="E267" s="7">
        <v>13</v>
      </c>
      <c r="F267" s="7" t="s">
        <v>847</v>
      </c>
      <c r="G267" s="7" t="s">
        <v>835</v>
      </c>
      <c r="H267" s="7">
        <v>1518</v>
      </c>
      <c r="I267" s="7" t="s">
        <v>853</v>
      </c>
      <c r="J267" s="8" t="str" cm="1">
        <f t="array" ref="J267">_xlfn.IFS(H267&gt;8000,"PLATINUM",H267&gt;6000,"GOLD",H267&gt;4000,"SILEVER",H267&gt;2000,"NORMAL",H267&gt;500,"BASIC")</f>
        <v>BASIC</v>
      </c>
    </row>
    <row r="268" spans="1:10" ht="15.6" x14ac:dyDescent="0.3">
      <c r="A268" s="6">
        <v>44328</v>
      </c>
      <c r="B268" s="7" t="s">
        <v>147</v>
      </c>
      <c r="C268" s="7" t="s">
        <v>805</v>
      </c>
      <c r="D268" s="7" t="s">
        <v>819</v>
      </c>
      <c r="E268" s="7">
        <v>1</v>
      </c>
      <c r="F268" s="7" t="s">
        <v>844</v>
      </c>
      <c r="G268" s="7" t="s">
        <v>825</v>
      </c>
      <c r="H268" s="7">
        <v>2962</v>
      </c>
      <c r="I268" s="7" t="s">
        <v>854</v>
      </c>
      <c r="J268" s="8" t="str" cm="1">
        <f t="array" ref="J268">_xlfn.IFS(H268&gt;8000,"PLATINUM",H268&gt;6000,"GOLD",H268&gt;4000,"SILEVER",H268&gt;2000,"NORMAL",H268&gt;500,"BASIC")</f>
        <v>NORMAL</v>
      </c>
    </row>
    <row r="269" spans="1:10" ht="15.6" x14ac:dyDescent="0.3">
      <c r="A269" s="6">
        <v>45186</v>
      </c>
      <c r="B269" s="7" t="s">
        <v>148</v>
      </c>
      <c r="C269" s="7" t="s">
        <v>805</v>
      </c>
      <c r="D269" s="7" t="s">
        <v>819</v>
      </c>
      <c r="E269" s="7">
        <v>1</v>
      </c>
      <c r="F269" s="7" t="s">
        <v>842</v>
      </c>
      <c r="G269" s="7" t="s">
        <v>839</v>
      </c>
      <c r="H269" s="7">
        <v>2962</v>
      </c>
      <c r="I269" s="7" t="s">
        <v>854</v>
      </c>
      <c r="J269" s="8" t="str" cm="1">
        <f t="array" ref="J269">_xlfn.IFS(H269&gt;8000,"PLATINUM",H269&gt;6000,"GOLD",H269&gt;4000,"SILEVER",H269&gt;2000,"NORMAL",H269&gt;500,"BASIC")</f>
        <v>NORMAL</v>
      </c>
    </row>
    <row r="270" spans="1:10" ht="15.6" x14ac:dyDescent="0.3">
      <c r="A270" s="6">
        <v>44328</v>
      </c>
      <c r="B270" s="7" t="s">
        <v>147</v>
      </c>
      <c r="C270" s="7" t="s">
        <v>805</v>
      </c>
      <c r="D270" s="7" t="s">
        <v>810</v>
      </c>
      <c r="E270" s="7">
        <v>12</v>
      </c>
      <c r="F270" s="7" t="s">
        <v>844</v>
      </c>
      <c r="G270" s="7" t="s">
        <v>825</v>
      </c>
      <c r="H270" s="7">
        <v>7131</v>
      </c>
      <c r="I270" s="7" t="s">
        <v>850</v>
      </c>
      <c r="J270" s="8" t="str" cm="1">
        <f t="array" ref="J270">_xlfn.IFS(H270&gt;8000,"PLATINUM",H270&gt;6000,"GOLD",H270&gt;4000,"SILEVER",H270&gt;2000,"NORMAL",H270&gt;500,"BASIC")</f>
        <v>GOLD</v>
      </c>
    </row>
    <row r="271" spans="1:10" ht="15.6" x14ac:dyDescent="0.3">
      <c r="A271" s="6">
        <v>45186</v>
      </c>
      <c r="B271" s="7" t="s">
        <v>148</v>
      </c>
      <c r="C271" s="7" t="s">
        <v>805</v>
      </c>
      <c r="D271" s="7" t="s">
        <v>810</v>
      </c>
      <c r="E271" s="7">
        <v>12</v>
      </c>
      <c r="F271" s="7" t="s">
        <v>842</v>
      </c>
      <c r="G271" s="7" t="s">
        <v>839</v>
      </c>
      <c r="H271" s="7">
        <v>7131</v>
      </c>
      <c r="I271" s="7" t="s">
        <v>850</v>
      </c>
      <c r="J271" s="8" t="str" cm="1">
        <f t="array" ref="J271">_xlfn.IFS(H271&gt;8000,"PLATINUM",H271&gt;6000,"GOLD",H271&gt;4000,"SILEVER",H271&gt;2000,"NORMAL",H271&gt;500,"BASIC")</f>
        <v>GOLD</v>
      </c>
    </row>
    <row r="272" spans="1:10" ht="15.6" x14ac:dyDescent="0.3">
      <c r="A272" s="6">
        <v>44328</v>
      </c>
      <c r="B272" s="7" t="s">
        <v>147</v>
      </c>
      <c r="C272" s="7" t="s">
        <v>806</v>
      </c>
      <c r="D272" s="7" t="s">
        <v>815</v>
      </c>
      <c r="E272" s="7">
        <v>10</v>
      </c>
      <c r="F272" s="7" t="s">
        <v>844</v>
      </c>
      <c r="G272" s="7" t="s">
        <v>825</v>
      </c>
      <c r="H272" s="7">
        <v>4200</v>
      </c>
      <c r="I272" s="7" t="s">
        <v>852</v>
      </c>
      <c r="J272" s="8" t="str" cm="1">
        <f t="array" ref="J272">_xlfn.IFS(H272&gt;8000,"PLATINUM",H272&gt;6000,"GOLD",H272&gt;4000,"SILEVER",H272&gt;2000,"NORMAL",H272&gt;500,"BASIC")</f>
        <v>SILEVER</v>
      </c>
    </row>
    <row r="273" spans="1:10" ht="15.6" x14ac:dyDescent="0.3">
      <c r="A273" s="6">
        <v>45186</v>
      </c>
      <c r="B273" s="7" t="s">
        <v>148</v>
      </c>
      <c r="C273" s="7" t="s">
        <v>806</v>
      </c>
      <c r="D273" s="7" t="s">
        <v>815</v>
      </c>
      <c r="E273" s="7">
        <v>10</v>
      </c>
      <c r="F273" s="7" t="s">
        <v>842</v>
      </c>
      <c r="G273" s="7" t="s">
        <v>839</v>
      </c>
      <c r="H273" s="7">
        <v>4200</v>
      </c>
      <c r="I273" s="7" t="s">
        <v>852</v>
      </c>
      <c r="J273" s="8" t="str" cm="1">
        <f t="array" ref="J273">_xlfn.IFS(H273&gt;8000,"PLATINUM",H273&gt;6000,"GOLD",H273&gt;4000,"SILEVER",H273&gt;2000,"NORMAL",H273&gt;500,"BASIC")</f>
        <v>SILEVER</v>
      </c>
    </row>
    <row r="274" spans="1:10" ht="15.6" x14ac:dyDescent="0.3">
      <c r="A274" s="6">
        <v>45541</v>
      </c>
      <c r="B274" s="7" t="s">
        <v>149</v>
      </c>
      <c r="C274" s="7" t="s">
        <v>806</v>
      </c>
      <c r="D274" s="7" t="s">
        <v>815</v>
      </c>
      <c r="E274" s="7">
        <v>2</v>
      </c>
      <c r="F274" s="7" t="s">
        <v>843</v>
      </c>
      <c r="G274" s="7" t="s">
        <v>840</v>
      </c>
      <c r="H274" s="7">
        <v>5934</v>
      </c>
      <c r="I274" s="7" t="s">
        <v>852</v>
      </c>
      <c r="J274" s="8" t="str" cm="1">
        <f t="array" ref="J274">_xlfn.IFS(H274&gt;8000,"PLATINUM",H274&gt;6000,"GOLD",H274&gt;4000,"SILEVER",H274&gt;2000,"NORMAL",H274&gt;500,"BASIC")</f>
        <v>SILEVER</v>
      </c>
    </row>
    <row r="275" spans="1:10" ht="15.6" x14ac:dyDescent="0.3">
      <c r="A275" s="6">
        <v>44730</v>
      </c>
      <c r="B275" s="7" t="s">
        <v>150</v>
      </c>
      <c r="C275" s="7" t="s">
        <v>805</v>
      </c>
      <c r="D275" s="7" t="s">
        <v>810</v>
      </c>
      <c r="E275" s="7">
        <v>11</v>
      </c>
      <c r="F275" s="7" t="s">
        <v>844</v>
      </c>
      <c r="G275" s="7" t="s">
        <v>828</v>
      </c>
      <c r="H275" s="7">
        <v>2701</v>
      </c>
      <c r="I275" s="7" t="s">
        <v>850</v>
      </c>
      <c r="J275" s="8" t="str" cm="1">
        <f t="array" ref="J275">_xlfn.IFS(H275&gt;8000,"PLATINUM",H275&gt;6000,"GOLD",H275&gt;4000,"SILEVER",H275&gt;2000,"NORMAL",H275&gt;500,"BASIC")</f>
        <v>NORMAL</v>
      </c>
    </row>
    <row r="276" spans="1:10" ht="15.6" x14ac:dyDescent="0.3">
      <c r="A276" s="6">
        <v>44730</v>
      </c>
      <c r="B276" s="7" t="s">
        <v>150</v>
      </c>
      <c r="C276" s="7" t="s">
        <v>806</v>
      </c>
      <c r="D276" s="7" t="s">
        <v>817</v>
      </c>
      <c r="E276" s="7">
        <v>18</v>
      </c>
      <c r="F276" s="7" t="s">
        <v>844</v>
      </c>
      <c r="G276" s="7" t="s">
        <v>828</v>
      </c>
      <c r="H276" s="7">
        <v>7273</v>
      </c>
      <c r="I276" s="7" t="s">
        <v>854</v>
      </c>
      <c r="J276" s="8" t="str" cm="1">
        <f t="array" ref="J276">_xlfn.IFS(H276&gt;8000,"PLATINUM",H276&gt;6000,"GOLD",H276&gt;4000,"SILEVER",H276&gt;2000,"NORMAL",H276&gt;500,"BASIC")</f>
        <v>GOLD</v>
      </c>
    </row>
    <row r="277" spans="1:10" ht="15.6" x14ac:dyDescent="0.3">
      <c r="A277" s="6">
        <v>43973</v>
      </c>
      <c r="B277" s="7" t="s">
        <v>151</v>
      </c>
      <c r="C277" s="7" t="s">
        <v>806</v>
      </c>
      <c r="D277" s="7" t="s">
        <v>815</v>
      </c>
      <c r="E277" s="7">
        <v>18</v>
      </c>
      <c r="F277" s="7" t="s">
        <v>845</v>
      </c>
      <c r="G277" s="7" t="s">
        <v>834</v>
      </c>
      <c r="H277" s="7">
        <v>2465</v>
      </c>
      <c r="I277" s="7" t="s">
        <v>851</v>
      </c>
      <c r="J277" s="8" t="str" cm="1">
        <f t="array" ref="J277">_xlfn.IFS(H277&gt;8000,"PLATINUM",H277&gt;6000,"GOLD",H277&gt;4000,"SILEVER",H277&gt;2000,"NORMAL",H277&gt;500,"BASIC")</f>
        <v>NORMAL</v>
      </c>
    </row>
    <row r="278" spans="1:10" ht="15.6" x14ac:dyDescent="0.3">
      <c r="A278" s="6">
        <v>45582</v>
      </c>
      <c r="B278" s="7" t="s">
        <v>152</v>
      </c>
      <c r="C278" s="7" t="s">
        <v>806</v>
      </c>
      <c r="D278" s="7" t="s">
        <v>815</v>
      </c>
      <c r="E278" s="7">
        <v>2</v>
      </c>
      <c r="F278" s="7" t="s">
        <v>846</v>
      </c>
      <c r="G278" s="7" t="s">
        <v>831</v>
      </c>
      <c r="H278" s="7">
        <v>3479</v>
      </c>
      <c r="I278" s="7" t="s">
        <v>852</v>
      </c>
      <c r="J278" s="8" t="str" cm="1">
        <f t="array" ref="J278">_xlfn.IFS(H278&gt;8000,"PLATINUM",H278&gt;6000,"GOLD",H278&gt;4000,"SILEVER",H278&gt;2000,"NORMAL",H278&gt;500,"BASIC")</f>
        <v>NORMAL</v>
      </c>
    </row>
    <row r="279" spans="1:10" ht="15.6" x14ac:dyDescent="0.3">
      <c r="A279" s="6">
        <v>45582</v>
      </c>
      <c r="B279" s="7" t="s">
        <v>152</v>
      </c>
      <c r="C279" s="7" t="s">
        <v>805</v>
      </c>
      <c r="D279" s="7" t="s">
        <v>810</v>
      </c>
      <c r="E279" s="7">
        <v>7</v>
      </c>
      <c r="F279" s="7" t="s">
        <v>846</v>
      </c>
      <c r="G279" s="7" t="s">
        <v>831</v>
      </c>
      <c r="H279" s="7">
        <v>5457</v>
      </c>
      <c r="I279" s="7" t="s">
        <v>852</v>
      </c>
      <c r="J279" s="8" t="str" cm="1">
        <f t="array" ref="J279">_xlfn.IFS(H279&gt;8000,"PLATINUM",H279&gt;6000,"GOLD",H279&gt;4000,"SILEVER",H279&gt;2000,"NORMAL",H279&gt;500,"BASIC")</f>
        <v>SILEVER</v>
      </c>
    </row>
    <row r="280" spans="1:10" ht="15.6" x14ac:dyDescent="0.3">
      <c r="A280" s="6">
        <v>44642</v>
      </c>
      <c r="B280" s="7" t="s">
        <v>153</v>
      </c>
      <c r="C280" s="7" t="s">
        <v>806</v>
      </c>
      <c r="D280" s="7" t="s">
        <v>815</v>
      </c>
      <c r="E280" s="7">
        <v>8</v>
      </c>
      <c r="F280" s="7" t="s">
        <v>847</v>
      </c>
      <c r="G280" s="7" t="s">
        <v>837</v>
      </c>
      <c r="H280" s="7">
        <v>4957</v>
      </c>
      <c r="I280" s="7" t="s">
        <v>853</v>
      </c>
      <c r="J280" s="8" t="str" cm="1">
        <f t="array" ref="J280">_xlfn.IFS(H280&gt;8000,"PLATINUM",H280&gt;6000,"GOLD",H280&gt;4000,"SILEVER",H280&gt;2000,"NORMAL",H280&gt;500,"BASIC")</f>
        <v>SILEVER</v>
      </c>
    </row>
    <row r="281" spans="1:10" ht="15.6" x14ac:dyDescent="0.3">
      <c r="A281" s="6">
        <v>45368</v>
      </c>
      <c r="B281" s="7" t="s">
        <v>154</v>
      </c>
      <c r="C281" s="7" t="s">
        <v>806</v>
      </c>
      <c r="D281" s="7" t="s">
        <v>811</v>
      </c>
      <c r="E281" s="7">
        <v>17</v>
      </c>
      <c r="F281" s="7" t="s">
        <v>847</v>
      </c>
      <c r="G281" s="7" t="s">
        <v>835</v>
      </c>
      <c r="H281" s="7">
        <v>4404</v>
      </c>
      <c r="I281" s="7" t="s">
        <v>851</v>
      </c>
      <c r="J281" s="8" t="str" cm="1">
        <f t="array" ref="J281">_xlfn.IFS(H281&gt;8000,"PLATINUM",H281&gt;6000,"GOLD",H281&gt;4000,"SILEVER",H281&gt;2000,"NORMAL",H281&gt;500,"BASIC")</f>
        <v>SILEVER</v>
      </c>
    </row>
    <row r="282" spans="1:10" ht="15.6" x14ac:dyDescent="0.3">
      <c r="A282" s="6">
        <v>45368</v>
      </c>
      <c r="B282" s="7" t="s">
        <v>154</v>
      </c>
      <c r="C282" s="7" t="s">
        <v>807</v>
      </c>
      <c r="D282" s="7" t="s">
        <v>816</v>
      </c>
      <c r="E282" s="7">
        <v>15</v>
      </c>
      <c r="F282" s="7" t="s">
        <v>847</v>
      </c>
      <c r="G282" s="7" t="s">
        <v>835</v>
      </c>
      <c r="H282" s="7">
        <v>8776</v>
      </c>
      <c r="I282" s="7" t="s">
        <v>853</v>
      </c>
      <c r="J282" s="8" t="str" cm="1">
        <f t="array" ref="J282">_xlfn.IFS(H282&gt;8000,"PLATINUM",H282&gt;6000,"GOLD",H282&gt;4000,"SILEVER",H282&gt;2000,"NORMAL",H282&gt;500,"BASIC")</f>
        <v>PLATINUM</v>
      </c>
    </row>
    <row r="283" spans="1:10" ht="15.6" x14ac:dyDescent="0.3">
      <c r="A283" s="6">
        <v>43923</v>
      </c>
      <c r="B283" s="7" t="s">
        <v>155</v>
      </c>
      <c r="C283" s="7" t="s">
        <v>805</v>
      </c>
      <c r="D283" s="7" t="s">
        <v>819</v>
      </c>
      <c r="E283" s="7">
        <v>9</v>
      </c>
      <c r="F283" s="7" t="s">
        <v>842</v>
      </c>
      <c r="G283" s="7" t="s">
        <v>826</v>
      </c>
      <c r="H283" s="7">
        <v>9536</v>
      </c>
      <c r="I283" s="7" t="s">
        <v>850</v>
      </c>
      <c r="J283" s="8" t="str" cm="1">
        <f t="array" ref="J283">_xlfn.IFS(H283&gt;8000,"PLATINUM",H283&gt;6000,"GOLD",H283&gt;4000,"SILEVER",H283&gt;2000,"NORMAL",H283&gt;500,"BASIC")</f>
        <v>PLATINUM</v>
      </c>
    </row>
    <row r="284" spans="1:10" ht="15.6" x14ac:dyDescent="0.3">
      <c r="A284" s="6">
        <v>43923</v>
      </c>
      <c r="B284" s="7" t="s">
        <v>155</v>
      </c>
      <c r="C284" s="7" t="s">
        <v>807</v>
      </c>
      <c r="D284" s="7" t="s">
        <v>816</v>
      </c>
      <c r="E284" s="7">
        <v>7</v>
      </c>
      <c r="F284" s="7" t="s">
        <v>842</v>
      </c>
      <c r="G284" s="7" t="s">
        <v>826</v>
      </c>
      <c r="H284" s="7">
        <v>2225</v>
      </c>
      <c r="I284" s="7" t="s">
        <v>853</v>
      </c>
      <c r="J284" s="8" t="str" cm="1">
        <f t="array" ref="J284">_xlfn.IFS(H284&gt;8000,"PLATINUM",H284&gt;6000,"GOLD",H284&gt;4000,"SILEVER",H284&gt;2000,"NORMAL",H284&gt;500,"BASIC")</f>
        <v>NORMAL</v>
      </c>
    </row>
    <row r="285" spans="1:10" ht="15.6" x14ac:dyDescent="0.3">
      <c r="A285" s="6">
        <v>45364</v>
      </c>
      <c r="B285" s="7" t="s">
        <v>156</v>
      </c>
      <c r="C285" s="7" t="s">
        <v>807</v>
      </c>
      <c r="D285" s="7" t="s">
        <v>820</v>
      </c>
      <c r="E285" s="7">
        <v>19</v>
      </c>
      <c r="F285" s="7" t="s">
        <v>845</v>
      </c>
      <c r="G285" s="7" t="s">
        <v>834</v>
      </c>
      <c r="H285" s="7">
        <v>9574</v>
      </c>
      <c r="I285" s="7" t="s">
        <v>850</v>
      </c>
      <c r="J285" s="8" t="str" cm="1">
        <f t="array" ref="J285">_xlfn.IFS(H285&gt;8000,"PLATINUM",H285&gt;6000,"GOLD",H285&gt;4000,"SILEVER",H285&gt;2000,"NORMAL",H285&gt;500,"BASIC")</f>
        <v>PLATINUM</v>
      </c>
    </row>
    <row r="286" spans="1:10" ht="15.6" x14ac:dyDescent="0.3">
      <c r="A286" s="6">
        <v>45364</v>
      </c>
      <c r="B286" s="7" t="s">
        <v>156</v>
      </c>
      <c r="C286" s="7" t="s">
        <v>805</v>
      </c>
      <c r="D286" s="7" t="s">
        <v>809</v>
      </c>
      <c r="E286" s="7">
        <v>17</v>
      </c>
      <c r="F286" s="7" t="s">
        <v>845</v>
      </c>
      <c r="G286" s="7" t="s">
        <v>834</v>
      </c>
      <c r="H286" s="7">
        <v>4382</v>
      </c>
      <c r="I286" s="7" t="s">
        <v>854</v>
      </c>
      <c r="J286" s="8" t="str" cm="1">
        <f t="array" ref="J286">_xlfn.IFS(H286&gt;8000,"PLATINUM",H286&gt;6000,"GOLD",H286&gt;4000,"SILEVER",H286&gt;2000,"NORMAL",H286&gt;500,"BASIC")</f>
        <v>SILEVER</v>
      </c>
    </row>
    <row r="287" spans="1:10" ht="15.6" x14ac:dyDescent="0.3">
      <c r="A287" s="6">
        <v>45006</v>
      </c>
      <c r="B287" s="7" t="s">
        <v>157</v>
      </c>
      <c r="C287" s="7" t="s">
        <v>805</v>
      </c>
      <c r="D287" s="7" t="s">
        <v>812</v>
      </c>
      <c r="E287" s="7">
        <v>19</v>
      </c>
      <c r="F287" s="7" t="s">
        <v>847</v>
      </c>
      <c r="G287" s="7" t="s">
        <v>836</v>
      </c>
      <c r="H287" s="7">
        <v>8200</v>
      </c>
      <c r="I287" s="7" t="s">
        <v>854</v>
      </c>
      <c r="J287" s="8" t="str" cm="1">
        <f t="array" ref="J287">_xlfn.IFS(H287&gt;8000,"PLATINUM",H287&gt;6000,"GOLD",H287&gt;4000,"SILEVER",H287&gt;2000,"NORMAL",H287&gt;500,"BASIC")</f>
        <v>PLATINUM</v>
      </c>
    </row>
    <row r="288" spans="1:10" ht="15.6" x14ac:dyDescent="0.3">
      <c r="A288" s="6">
        <v>45006</v>
      </c>
      <c r="B288" s="7" t="s">
        <v>157</v>
      </c>
      <c r="C288" s="7" t="s">
        <v>807</v>
      </c>
      <c r="D288" s="7" t="s">
        <v>816</v>
      </c>
      <c r="E288" s="7">
        <v>13</v>
      </c>
      <c r="F288" s="7" t="s">
        <v>847</v>
      </c>
      <c r="G288" s="7" t="s">
        <v>836</v>
      </c>
      <c r="H288" s="7">
        <v>9316</v>
      </c>
      <c r="I288" s="7" t="s">
        <v>853</v>
      </c>
      <c r="J288" s="8" t="str" cm="1">
        <f t="array" ref="J288">_xlfn.IFS(H288&gt;8000,"PLATINUM",H288&gt;6000,"GOLD",H288&gt;4000,"SILEVER",H288&gt;2000,"NORMAL",H288&gt;500,"BASIC")</f>
        <v>PLATINUM</v>
      </c>
    </row>
    <row r="289" spans="1:10" ht="15.6" x14ac:dyDescent="0.3">
      <c r="A289" s="6">
        <v>45006</v>
      </c>
      <c r="B289" s="7" t="s">
        <v>157</v>
      </c>
      <c r="C289" s="7" t="s">
        <v>805</v>
      </c>
      <c r="D289" s="7" t="s">
        <v>809</v>
      </c>
      <c r="E289" s="7">
        <v>15</v>
      </c>
      <c r="F289" s="7" t="s">
        <v>847</v>
      </c>
      <c r="G289" s="7" t="s">
        <v>836</v>
      </c>
      <c r="H289" s="7">
        <v>6379</v>
      </c>
      <c r="I289" s="7" t="s">
        <v>854</v>
      </c>
      <c r="J289" s="8" t="str" cm="1">
        <f t="array" ref="J289">_xlfn.IFS(H289&gt;8000,"PLATINUM",H289&gt;6000,"GOLD",H289&gt;4000,"SILEVER",H289&gt;2000,"NORMAL",H289&gt;500,"BASIC")</f>
        <v>GOLD</v>
      </c>
    </row>
    <row r="290" spans="1:10" ht="15.6" x14ac:dyDescent="0.3">
      <c r="A290" s="6">
        <v>45353</v>
      </c>
      <c r="B290" s="7" t="s">
        <v>158</v>
      </c>
      <c r="C290" s="7" t="s">
        <v>806</v>
      </c>
      <c r="D290" s="7" t="s">
        <v>815</v>
      </c>
      <c r="E290" s="7">
        <v>5</v>
      </c>
      <c r="F290" s="7" t="s">
        <v>847</v>
      </c>
      <c r="G290" s="7" t="s">
        <v>837</v>
      </c>
      <c r="H290" s="7">
        <v>3348</v>
      </c>
      <c r="I290" s="7" t="s">
        <v>853</v>
      </c>
      <c r="J290" s="8" t="str" cm="1">
        <f t="array" ref="J290">_xlfn.IFS(H290&gt;8000,"PLATINUM",H290&gt;6000,"GOLD",H290&gt;4000,"SILEVER",H290&gt;2000,"NORMAL",H290&gt;500,"BASIC")</f>
        <v>NORMAL</v>
      </c>
    </row>
    <row r="291" spans="1:10" ht="15.6" x14ac:dyDescent="0.3">
      <c r="A291" s="6">
        <v>44316</v>
      </c>
      <c r="B291" s="7" t="s">
        <v>159</v>
      </c>
      <c r="C291" s="7" t="s">
        <v>806</v>
      </c>
      <c r="D291" s="7" t="s">
        <v>815</v>
      </c>
      <c r="E291" s="7">
        <v>5</v>
      </c>
      <c r="F291" s="7" t="s">
        <v>844</v>
      </c>
      <c r="G291" s="7" t="s">
        <v>830</v>
      </c>
      <c r="H291" s="7">
        <v>3348</v>
      </c>
      <c r="I291" s="7" t="s">
        <v>853</v>
      </c>
      <c r="J291" s="8" t="str" cm="1">
        <f t="array" ref="J291">_xlfn.IFS(H291&gt;8000,"PLATINUM",H291&gt;6000,"GOLD",H291&gt;4000,"SILEVER",H291&gt;2000,"NORMAL",H291&gt;500,"BASIC")</f>
        <v>NORMAL</v>
      </c>
    </row>
    <row r="292" spans="1:10" ht="15.6" x14ac:dyDescent="0.3">
      <c r="A292" s="6">
        <v>45353</v>
      </c>
      <c r="B292" s="7" t="s">
        <v>158</v>
      </c>
      <c r="C292" s="7" t="s">
        <v>806</v>
      </c>
      <c r="D292" s="7" t="s">
        <v>811</v>
      </c>
      <c r="E292" s="7">
        <v>9</v>
      </c>
      <c r="F292" s="7" t="s">
        <v>847</v>
      </c>
      <c r="G292" s="7" t="s">
        <v>837</v>
      </c>
      <c r="H292" s="7">
        <v>8856</v>
      </c>
      <c r="I292" s="7" t="s">
        <v>851</v>
      </c>
      <c r="J292" s="8" t="str" cm="1">
        <f t="array" ref="J292">_xlfn.IFS(H292&gt;8000,"PLATINUM",H292&gt;6000,"GOLD",H292&gt;4000,"SILEVER",H292&gt;2000,"NORMAL",H292&gt;500,"BASIC")</f>
        <v>PLATINUM</v>
      </c>
    </row>
    <row r="293" spans="1:10" ht="15.6" x14ac:dyDescent="0.3">
      <c r="A293" s="6">
        <v>44316</v>
      </c>
      <c r="B293" s="7" t="s">
        <v>159</v>
      </c>
      <c r="C293" s="7" t="s">
        <v>806</v>
      </c>
      <c r="D293" s="7" t="s">
        <v>811</v>
      </c>
      <c r="E293" s="7">
        <v>9</v>
      </c>
      <c r="F293" s="7" t="s">
        <v>844</v>
      </c>
      <c r="G293" s="7" t="s">
        <v>830</v>
      </c>
      <c r="H293" s="7">
        <v>8856</v>
      </c>
      <c r="I293" s="7" t="s">
        <v>851</v>
      </c>
      <c r="J293" s="8" t="str" cm="1">
        <f t="array" ref="J293">_xlfn.IFS(H293&gt;8000,"PLATINUM",H293&gt;6000,"GOLD",H293&gt;4000,"SILEVER",H293&gt;2000,"NORMAL",H293&gt;500,"BASIC")</f>
        <v>PLATINUM</v>
      </c>
    </row>
    <row r="294" spans="1:10" ht="15.6" x14ac:dyDescent="0.3">
      <c r="A294" s="6">
        <v>44454</v>
      </c>
      <c r="B294" s="7" t="s">
        <v>160</v>
      </c>
      <c r="C294" s="7" t="s">
        <v>807</v>
      </c>
      <c r="D294" s="7" t="s">
        <v>816</v>
      </c>
      <c r="E294" s="7">
        <v>16</v>
      </c>
      <c r="F294" s="7" t="s">
        <v>847</v>
      </c>
      <c r="G294" s="7" t="s">
        <v>835</v>
      </c>
      <c r="H294" s="7">
        <v>1760</v>
      </c>
      <c r="I294" s="7" t="s">
        <v>851</v>
      </c>
      <c r="J294" s="8" t="str" cm="1">
        <f t="array" ref="J294">_xlfn.IFS(H294&gt;8000,"PLATINUM",H294&gt;6000,"GOLD",H294&gt;4000,"SILEVER",H294&gt;2000,"NORMAL",H294&gt;500,"BASIC")</f>
        <v>BASIC</v>
      </c>
    </row>
    <row r="295" spans="1:10" ht="15.6" x14ac:dyDescent="0.3">
      <c r="A295" s="6">
        <v>44954</v>
      </c>
      <c r="B295" s="7" t="s">
        <v>161</v>
      </c>
      <c r="C295" s="7" t="s">
        <v>807</v>
      </c>
      <c r="D295" s="7" t="s">
        <v>816</v>
      </c>
      <c r="E295" s="7">
        <v>16</v>
      </c>
      <c r="F295" s="7" t="s">
        <v>846</v>
      </c>
      <c r="G295" s="7" t="s">
        <v>838</v>
      </c>
      <c r="H295" s="7">
        <v>1760</v>
      </c>
      <c r="I295" s="7" t="s">
        <v>851</v>
      </c>
      <c r="J295" s="8" t="str" cm="1">
        <f t="array" ref="J295">_xlfn.IFS(H295&gt;8000,"PLATINUM",H295&gt;6000,"GOLD",H295&gt;4000,"SILEVER",H295&gt;2000,"NORMAL",H295&gt;500,"BASIC")</f>
        <v>BASIC</v>
      </c>
    </row>
    <row r="296" spans="1:10" ht="15.6" x14ac:dyDescent="0.3">
      <c r="A296" s="6">
        <v>44454</v>
      </c>
      <c r="B296" s="7" t="s">
        <v>160</v>
      </c>
      <c r="C296" s="7" t="s">
        <v>805</v>
      </c>
      <c r="D296" s="7" t="s">
        <v>810</v>
      </c>
      <c r="E296" s="7">
        <v>15</v>
      </c>
      <c r="F296" s="7" t="s">
        <v>847</v>
      </c>
      <c r="G296" s="7" t="s">
        <v>835</v>
      </c>
      <c r="H296" s="7">
        <v>6351</v>
      </c>
      <c r="I296" s="7" t="s">
        <v>850</v>
      </c>
      <c r="J296" s="8" t="str" cm="1">
        <f t="array" ref="J296">_xlfn.IFS(H296&gt;8000,"PLATINUM",H296&gt;6000,"GOLD",H296&gt;4000,"SILEVER",H296&gt;2000,"NORMAL",H296&gt;500,"BASIC")</f>
        <v>GOLD</v>
      </c>
    </row>
    <row r="297" spans="1:10" ht="15.6" x14ac:dyDescent="0.3">
      <c r="A297" s="6">
        <v>44954</v>
      </c>
      <c r="B297" s="7" t="s">
        <v>161</v>
      </c>
      <c r="C297" s="7" t="s">
        <v>805</v>
      </c>
      <c r="D297" s="7" t="s">
        <v>810</v>
      </c>
      <c r="E297" s="7">
        <v>15</v>
      </c>
      <c r="F297" s="7" t="s">
        <v>846</v>
      </c>
      <c r="G297" s="7" t="s">
        <v>838</v>
      </c>
      <c r="H297" s="7">
        <v>6351</v>
      </c>
      <c r="I297" s="7" t="s">
        <v>850</v>
      </c>
      <c r="J297" s="8" t="str" cm="1">
        <f t="array" ref="J297">_xlfn.IFS(H297&gt;8000,"PLATINUM",H297&gt;6000,"GOLD",H297&gt;4000,"SILEVER",H297&gt;2000,"NORMAL",H297&gt;500,"BASIC")</f>
        <v>GOLD</v>
      </c>
    </row>
    <row r="298" spans="1:10" ht="15.6" x14ac:dyDescent="0.3">
      <c r="A298" s="6">
        <v>44385</v>
      </c>
      <c r="B298" s="7" t="s">
        <v>162</v>
      </c>
      <c r="C298" s="7" t="s">
        <v>806</v>
      </c>
      <c r="D298" s="7" t="s">
        <v>817</v>
      </c>
      <c r="E298" s="7">
        <v>14</v>
      </c>
      <c r="F298" s="7" t="s">
        <v>844</v>
      </c>
      <c r="G298" s="7" t="s">
        <v>828</v>
      </c>
      <c r="H298" s="7">
        <v>869</v>
      </c>
      <c r="I298" s="7" t="s">
        <v>853</v>
      </c>
      <c r="J298" s="8" t="str" cm="1">
        <f t="array" ref="J298">_xlfn.IFS(H298&gt;8000,"PLATINUM",H298&gt;6000,"GOLD",H298&gt;4000,"SILEVER",H298&gt;2000,"NORMAL",H298&gt;500,"BASIC")</f>
        <v>BASIC</v>
      </c>
    </row>
    <row r="299" spans="1:10" ht="15.6" x14ac:dyDescent="0.3">
      <c r="A299" s="6">
        <v>43929</v>
      </c>
      <c r="B299" s="7" t="s">
        <v>163</v>
      </c>
      <c r="C299" s="7" t="s">
        <v>806</v>
      </c>
      <c r="D299" s="7" t="s">
        <v>817</v>
      </c>
      <c r="E299" s="7">
        <v>14</v>
      </c>
      <c r="F299" s="7" t="s">
        <v>847</v>
      </c>
      <c r="G299" s="7" t="s">
        <v>837</v>
      </c>
      <c r="H299" s="7">
        <v>869</v>
      </c>
      <c r="I299" s="7" t="s">
        <v>853</v>
      </c>
      <c r="J299" s="8" t="str" cm="1">
        <f t="array" ref="J299">_xlfn.IFS(H299&gt;8000,"PLATINUM",H299&gt;6000,"GOLD",H299&gt;4000,"SILEVER",H299&gt;2000,"NORMAL",H299&gt;500,"BASIC")</f>
        <v>BASIC</v>
      </c>
    </row>
    <row r="300" spans="1:10" ht="15.6" x14ac:dyDescent="0.3">
      <c r="A300" s="6">
        <v>44385</v>
      </c>
      <c r="B300" s="7" t="s">
        <v>162</v>
      </c>
      <c r="C300" s="7" t="s">
        <v>807</v>
      </c>
      <c r="D300" s="7" t="s">
        <v>820</v>
      </c>
      <c r="E300" s="7">
        <v>7</v>
      </c>
      <c r="F300" s="7" t="s">
        <v>844</v>
      </c>
      <c r="G300" s="7" t="s">
        <v>828</v>
      </c>
      <c r="H300" s="7">
        <v>1486</v>
      </c>
      <c r="I300" s="7" t="s">
        <v>850</v>
      </c>
      <c r="J300" s="8" t="str" cm="1">
        <f t="array" ref="J300">_xlfn.IFS(H300&gt;8000,"PLATINUM",H300&gt;6000,"GOLD",H300&gt;4000,"SILEVER",H300&gt;2000,"NORMAL",H300&gt;500,"BASIC")</f>
        <v>BASIC</v>
      </c>
    </row>
    <row r="301" spans="1:10" ht="15.6" x14ac:dyDescent="0.3">
      <c r="A301" s="6">
        <v>43929</v>
      </c>
      <c r="B301" s="7" t="s">
        <v>163</v>
      </c>
      <c r="C301" s="7" t="s">
        <v>807</v>
      </c>
      <c r="D301" s="7" t="s">
        <v>820</v>
      </c>
      <c r="E301" s="7">
        <v>7</v>
      </c>
      <c r="F301" s="7" t="s">
        <v>847</v>
      </c>
      <c r="G301" s="7" t="s">
        <v>837</v>
      </c>
      <c r="H301" s="7">
        <v>1486</v>
      </c>
      <c r="I301" s="7" t="s">
        <v>850</v>
      </c>
      <c r="J301" s="8" t="str" cm="1">
        <f t="array" ref="J301">_xlfn.IFS(H301&gt;8000,"PLATINUM",H301&gt;6000,"GOLD",H301&gt;4000,"SILEVER",H301&gt;2000,"NORMAL",H301&gt;500,"BASIC")</f>
        <v>BASIC</v>
      </c>
    </row>
    <row r="302" spans="1:10" ht="15.6" x14ac:dyDescent="0.3">
      <c r="A302" s="6">
        <v>44796</v>
      </c>
      <c r="B302" s="7" t="s">
        <v>164</v>
      </c>
      <c r="C302" s="7" t="s">
        <v>806</v>
      </c>
      <c r="D302" s="7" t="s">
        <v>818</v>
      </c>
      <c r="E302" s="7">
        <v>13</v>
      </c>
      <c r="F302" s="7" t="s">
        <v>843</v>
      </c>
      <c r="G302" s="7" t="s">
        <v>824</v>
      </c>
      <c r="H302" s="7">
        <v>2999</v>
      </c>
      <c r="I302" s="7" t="s">
        <v>854</v>
      </c>
      <c r="J302" s="8" t="str" cm="1">
        <f t="array" ref="J302">_xlfn.IFS(H302&gt;8000,"PLATINUM",H302&gt;6000,"GOLD",H302&gt;4000,"SILEVER",H302&gt;2000,"NORMAL",H302&gt;500,"BASIC")</f>
        <v>NORMAL</v>
      </c>
    </row>
    <row r="303" spans="1:10" ht="15.6" x14ac:dyDescent="0.3">
      <c r="A303" s="6">
        <v>44796</v>
      </c>
      <c r="B303" s="7" t="s">
        <v>164</v>
      </c>
      <c r="C303" s="7" t="s">
        <v>806</v>
      </c>
      <c r="D303" s="7" t="s">
        <v>817</v>
      </c>
      <c r="E303" s="7">
        <v>20</v>
      </c>
      <c r="F303" s="7" t="s">
        <v>843</v>
      </c>
      <c r="G303" s="7" t="s">
        <v>824</v>
      </c>
      <c r="H303" s="7">
        <v>5142</v>
      </c>
      <c r="I303" s="7" t="s">
        <v>852</v>
      </c>
      <c r="J303" s="8" t="str" cm="1">
        <f t="array" ref="J303">_xlfn.IFS(H303&gt;8000,"PLATINUM",H303&gt;6000,"GOLD",H303&gt;4000,"SILEVER",H303&gt;2000,"NORMAL",H303&gt;500,"BASIC")</f>
        <v>SILEVER</v>
      </c>
    </row>
    <row r="304" spans="1:10" ht="15.6" x14ac:dyDescent="0.3">
      <c r="A304" s="6">
        <v>44912</v>
      </c>
      <c r="B304" s="7" t="s">
        <v>165</v>
      </c>
      <c r="C304" s="7" t="s">
        <v>805</v>
      </c>
      <c r="D304" s="7" t="s">
        <v>812</v>
      </c>
      <c r="E304" s="7">
        <v>17</v>
      </c>
      <c r="F304" s="7" t="s">
        <v>844</v>
      </c>
      <c r="G304" s="7" t="s">
        <v>830</v>
      </c>
      <c r="H304" s="7">
        <v>1239</v>
      </c>
      <c r="I304" s="7" t="s">
        <v>850</v>
      </c>
      <c r="J304" s="8" t="str" cm="1">
        <f t="array" ref="J304">_xlfn.IFS(H304&gt;8000,"PLATINUM",H304&gt;6000,"GOLD",H304&gt;4000,"SILEVER",H304&gt;2000,"NORMAL",H304&gt;500,"BASIC")</f>
        <v>BASIC</v>
      </c>
    </row>
    <row r="305" spans="1:10" ht="15.6" x14ac:dyDescent="0.3">
      <c r="A305" s="6">
        <v>44720</v>
      </c>
      <c r="B305" s="7" t="s">
        <v>166</v>
      </c>
      <c r="C305" s="7" t="s">
        <v>805</v>
      </c>
      <c r="D305" s="7" t="s">
        <v>812</v>
      </c>
      <c r="E305" s="7">
        <v>17</v>
      </c>
      <c r="F305" s="7" t="s">
        <v>843</v>
      </c>
      <c r="G305" s="7" t="s">
        <v>829</v>
      </c>
      <c r="H305" s="7">
        <v>1239</v>
      </c>
      <c r="I305" s="7" t="s">
        <v>850</v>
      </c>
      <c r="J305" s="8" t="str" cm="1">
        <f t="array" ref="J305">_xlfn.IFS(H305&gt;8000,"PLATINUM",H305&gt;6000,"GOLD",H305&gt;4000,"SILEVER",H305&gt;2000,"NORMAL",H305&gt;500,"BASIC")</f>
        <v>BASIC</v>
      </c>
    </row>
    <row r="306" spans="1:10" ht="15.6" x14ac:dyDescent="0.3">
      <c r="A306" s="6">
        <v>44912</v>
      </c>
      <c r="B306" s="7" t="s">
        <v>165</v>
      </c>
      <c r="C306" s="7" t="s">
        <v>805</v>
      </c>
      <c r="D306" s="7" t="s">
        <v>809</v>
      </c>
      <c r="E306" s="7">
        <v>16</v>
      </c>
      <c r="F306" s="7" t="s">
        <v>844</v>
      </c>
      <c r="G306" s="7" t="s">
        <v>830</v>
      </c>
      <c r="H306" s="7">
        <v>1262</v>
      </c>
      <c r="I306" s="7" t="s">
        <v>852</v>
      </c>
      <c r="J306" s="8" t="str" cm="1">
        <f t="array" ref="J306">_xlfn.IFS(H306&gt;8000,"PLATINUM",H306&gt;6000,"GOLD",H306&gt;4000,"SILEVER",H306&gt;2000,"NORMAL",H306&gt;500,"BASIC")</f>
        <v>BASIC</v>
      </c>
    </row>
    <row r="307" spans="1:10" ht="15.6" x14ac:dyDescent="0.3">
      <c r="A307" s="6">
        <v>44720</v>
      </c>
      <c r="B307" s="7" t="s">
        <v>166</v>
      </c>
      <c r="C307" s="7" t="s">
        <v>805</v>
      </c>
      <c r="D307" s="7" t="s">
        <v>809</v>
      </c>
      <c r="E307" s="7">
        <v>16</v>
      </c>
      <c r="F307" s="7" t="s">
        <v>843</v>
      </c>
      <c r="G307" s="7" t="s">
        <v>829</v>
      </c>
      <c r="H307" s="7">
        <v>1262</v>
      </c>
      <c r="I307" s="7" t="s">
        <v>852</v>
      </c>
      <c r="J307" s="8" t="str" cm="1">
        <f t="array" ref="J307">_xlfn.IFS(H307&gt;8000,"PLATINUM",H307&gt;6000,"GOLD",H307&gt;4000,"SILEVER",H307&gt;2000,"NORMAL",H307&gt;500,"BASIC")</f>
        <v>BASIC</v>
      </c>
    </row>
    <row r="308" spans="1:10" ht="15.6" x14ac:dyDescent="0.3">
      <c r="A308" s="6">
        <v>44071</v>
      </c>
      <c r="B308" s="7" t="s">
        <v>167</v>
      </c>
      <c r="C308" s="7" t="s">
        <v>807</v>
      </c>
      <c r="D308" s="7" t="s">
        <v>820</v>
      </c>
      <c r="E308" s="7">
        <v>5</v>
      </c>
      <c r="F308" s="7" t="s">
        <v>844</v>
      </c>
      <c r="G308" s="7" t="s">
        <v>830</v>
      </c>
      <c r="H308" s="7">
        <v>1033</v>
      </c>
      <c r="I308" s="7" t="s">
        <v>854</v>
      </c>
      <c r="J308" s="8" t="str" cm="1">
        <f t="array" ref="J308">_xlfn.IFS(H308&gt;8000,"PLATINUM",H308&gt;6000,"GOLD",H308&gt;4000,"SILEVER",H308&gt;2000,"NORMAL",H308&gt;500,"BASIC")</f>
        <v>BASIC</v>
      </c>
    </row>
    <row r="309" spans="1:10" ht="15.6" x14ac:dyDescent="0.3">
      <c r="A309" s="6">
        <v>44100</v>
      </c>
      <c r="B309" s="7" t="s">
        <v>168</v>
      </c>
      <c r="C309" s="7" t="s">
        <v>805</v>
      </c>
      <c r="D309" s="7" t="s">
        <v>810</v>
      </c>
      <c r="E309" s="7">
        <v>19</v>
      </c>
      <c r="F309" s="7" t="s">
        <v>845</v>
      </c>
      <c r="G309" s="7" t="s">
        <v>832</v>
      </c>
      <c r="H309" s="7">
        <v>1518</v>
      </c>
      <c r="I309" s="7" t="s">
        <v>850</v>
      </c>
      <c r="J309" s="8" t="str" cm="1">
        <f t="array" ref="J309">_xlfn.IFS(H309&gt;8000,"PLATINUM",H309&gt;6000,"GOLD",H309&gt;4000,"SILEVER",H309&gt;2000,"NORMAL",H309&gt;500,"BASIC")</f>
        <v>BASIC</v>
      </c>
    </row>
    <row r="310" spans="1:10" ht="15.6" x14ac:dyDescent="0.3">
      <c r="A310" s="6">
        <v>44178</v>
      </c>
      <c r="B310" s="7" t="s">
        <v>169</v>
      </c>
      <c r="C310" s="7" t="s">
        <v>806</v>
      </c>
      <c r="D310" s="7" t="s">
        <v>817</v>
      </c>
      <c r="E310" s="7">
        <v>2</v>
      </c>
      <c r="F310" s="7" t="s">
        <v>843</v>
      </c>
      <c r="G310" s="7" t="s">
        <v>840</v>
      </c>
      <c r="H310" s="7">
        <v>8581</v>
      </c>
      <c r="I310" s="7" t="s">
        <v>851</v>
      </c>
      <c r="J310" s="8" t="str" cm="1">
        <f t="array" ref="J310">_xlfn.IFS(H310&gt;8000,"PLATINUM",H310&gt;6000,"GOLD",H310&gt;4000,"SILEVER",H310&gt;2000,"NORMAL",H310&gt;500,"BASIC")</f>
        <v>PLATINUM</v>
      </c>
    </row>
    <row r="311" spans="1:10" ht="15.6" x14ac:dyDescent="0.3">
      <c r="A311" s="6">
        <v>44154</v>
      </c>
      <c r="B311" s="7" t="s">
        <v>170</v>
      </c>
      <c r="C311" s="7" t="s">
        <v>806</v>
      </c>
      <c r="D311" s="7" t="s">
        <v>817</v>
      </c>
      <c r="E311" s="7">
        <v>2</v>
      </c>
      <c r="F311" s="7" t="s">
        <v>842</v>
      </c>
      <c r="G311" s="7" t="s">
        <v>826</v>
      </c>
      <c r="H311" s="7">
        <v>8581</v>
      </c>
      <c r="I311" s="7" t="s">
        <v>851</v>
      </c>
      <c r="J311" s="8" t="str" cm="1">
        <f t="array" ref="J311">_xlfn.IFS(H311&gt;8000,"PLATINUM",H311&gt;6000,"GOLD",H311&gt;4000,"SILEVER",H311&gt;2000,"NORMAL",H311&gt;500,"BASIC")</f>
        <v>PLATINUM</v>
      </c>
    </row>
    <row r="312" spans="1:10" ht="15.6" x14ac:dyDescent="0.3">
      <c r="A312" s="6">
        <v>45182</v>
      </c>
      <c r="B312" s="7" t="s">
        <v>171</v>
      </c>
      <c r="C312" s="7" t="s">
        <v>806</v>
      </c>
      <c r="D312" s="7" t="s">
        <v>811</v>
      </c>
      <c r="E312" s="7">
        <v>5</v>
      </c>
      <c r="F312" s="7" t="s">
        <v>846</v>
      </c>
      <c r="G312" s="7" t="s">
        <v>833</v>
      </c>
      <c r="H312" s="7">
        <v>1167</v>
      </c>
      <c r="I312" s="7" t="s">
        <v>850</v>
      </c>
      <c r="J312" s="8" t="str" cm="1">
        <f t="array" ref="J312">_xlfn.IFS(H312&gt;8000,"PLATINUM",H312&gt;6000,"GOLD",H312&gt;4000,"SILEVER",H312&gt;2000,"NORMAL",H312&gt;500,"BASIC")</f>
        <v>BASIC</v>
      </c>
    </row>
    <row r="313" spans="1:10" ht="15.6" x14ac:dyDescent="0.3">
      <c r="A313" s="6">
        <v>45182</v>
      </c>
      <c r="B313" s="7" t="s">
        <v>171</v>
      </c>
      <c r="C313" s="7" t="s">
        <v>805</v>
      </c>
      <c r="D313" s="7" t="s">
        <v>812</v>
      </c>
      <c r="E313" s="7">
        <v>20</v>
      </c>
      <c r="F313" s="7" t="s">
        <v>846</v>
      </c>
      <c r="G313" s="7" t="s">
        <v>833</v>
      </c>
      <c r="H313" s="7">
        <v>2841</v>
      </c>
      <c r="I313" s="7" t="s">
        <v>853</v>
      </c>
      <c r="J313" s="8" t="str" cm="1">
        <f t="array" ref="J313">_xlfn.IFS(H313&gt;8000,"PLATINUM",H313&gt;6000,"GOLD",H313&gt;4000,"SILEVER",H313&gt;2000,"NORMAL",H313&gt;500,"BASIC")</f>
        <v>NORMAL</v>
      </c>
    </row>
    <row r="314" spans="1:10" ht="15.6" x14ac:dyDescent="0.3">
      <c r="A314" s="6">
        <v>45182</v>
      </c>
      <c r="B314" s="7" t="s">
        <v>171</v>
      </c>
      <c r="C314" s="7" t="s">
        <v>807</v>
      </c>
      <c r="D314" s="7" t="s">
        <v>813</v>
      </c>
      <c r="E314" s="7">
        <v>19</v>
      </c>
      <c r="F314" s="7" t="s">
        <v>846</v>
      </c>
      <c r="G314" s="7" t="s">
        <v>833</v>
      </c>
      <c r="H314" s="7">
        <v>5680</v>
      </c>
      <c r="I314" s="7" t="s">
        <v>850</v>
      </c>
      <c r="J314" s="8" t="str" cm="1">
        <f t="array" ref="J314">_xlfn.IFS(H314&gt;8000,"PLATINUM",H314&gt;6000,"GOLD",H314&gt;4000,"SILEVER",H314&gt;2000,"NORMAL",H314&gt;500,"BASIC")</f>
        <v>SILEVER</v>
      </c>
    </row>
    <row r="315" spans="1:10" ht="15.6" x14ac:dyDescent="0.3">
      <c r="A315" s="6">
        <v>43921</v>
      </c>
      <c r="B315" s="7" t="s">
        <v>172</v>
      </c>
      <c r="C315" s="7" t="s">
        <v>806</v>
      </c>
      <c r="D315" s="7" t="s">
        <v>811</v>
      </c>
      <c r="E315" s="7">
        <v>6</v>
      </c>
      <c r="F315" s="7" t="s">
        <v>843</v>
      </c>
      <c r="G315" s="7" t="s">
        <v>824</v>
      </c>
      <c r="H315" s="7">
        <v>8204</v>
      </c>
      <c r="I315" s="7" t="s">
        <v>850</v>
      </c>
      <c r="J315" s="8" t="str" cm="1">
        <f t="array" ref="J315">_xlfn.IFS(H315&gt;8000,"PLATINUM",H315&gt;6000,"GOLD",H315&gt;4000,"SILEVER",H315&gt;2000,"NORMAL",H315&gt;500,"BASIC")</f>
        <v>PLATINUM</v>
      </c>
    </row>
    <row r="316" spans="1:10" ht="15.6" x14ac:dyDescent="0.3">
      <c r="A316" s="6">
        <v>44124</v>
      </c>
      <c r="B316" s="7" t="s">
        <v>173</v>
      </c>
      <c r="C316" s="7" t="s">
        <v>806</v>
      </c>
      <c r="D316" s="7" t="s">
        <v>811</v>
      </c>
      <c r="E316" s="7">
        <v>6</v>
      </c>
      <c r="F316" s="7" t="s">
        <v>844</v>
      </c>
      <c r="G316" s="7" t="s">
        <v>825</v>
      </c>
      <c r="H316" s="7">
        <v>8204</v>
      </c>
      <c r="I316" s="7" t="s">
        <v>850</v>
      </c>
      <c r="J316" s="8" t="str" cm="1">
        <f t="array" ref="J316">_xlfn.IFS(H316&gt;8000,"PLATINUM",H316&gt;6000,"GOLD",H316&gt;4000,"SILEVER",H316&gt;2000,"NORMAL",H316&gt;500,"BASIC")</f>
        <v>PLATINUM</v>
      </c>
    </row>
    <row r="317" spans="1:10" ht="15.6" x14ac:dyDescent="0.3">
      <c r="A317" s="6">
        <v>43921</v>
      </c>
      <c r="B317" s="7" t="s">
        <v>172</v>
      </c>
      <c r="C317" s="7" t="s">
        <v>805</v>
      </c>
      <c r="D317" s="7" t="s">
        <v>819</v>
      </c>
      <c r="E317" s="7">
        <v>6</v>
      </c>
      <c r="F317" s="7" t="s">
        <v>843</v>
      </c>
      <c r="G317" s="7" t="s">
        <v>824</v>
      </c>
      <c r="H317" s="7">
        <v>2850</v>
      </c>
      <c r="I317" s="7" t="s">
        <v>852</v>
      </c>
      <c r="J317" s="8" t="str" cm="1">
        <f t="array" ref="J317">_xlfn.IFS(H317&gt;8000,"PLATINUM",H317&gt;6000,"GOLD",H317&gt;4000,"SILEVER",H317&gt;2000,"NORMAL",H317&gt;500,"BASIC")</f>
        <v>NORMAL</v>
      </c>
    </row>
    <row r="318" spans="1:10" ht="15.6" x14ac:dyDescent="0.3">
      <c r="A318" s="6">
        <v>44124</v>
      </c>
      <c r="B318" s="7" t="s">
        <v>173</v>
      </c>
      <c r="C318" s="7" t="s">
        <v>805</v>
      </c>
      <c r="D318" s="7" t="s">
        <v>819</v>
      </c>
      <c r="E318" s="7">
        <v>6</v>
      </c>
      <c r="F318" s="7" t="s">
        <v>844</v>
      </c>
      <c r="G318" s="7" t="s">
        <v>825</v>
      </c>
      <c r="H318" s="7">
        <v>2850</v>
      </c>
      <c r="I318" s="7" t="s">
        <v>852</v>
      </c>
      <c r="J318" s="8" t="str" cm="1">
        <f t="array" ref="J318">_xlfn.IFS(H318&gt;8000,"PLATINUM",H318&gt;6000,"GOLD",H318&gt;4000,"SILEVER",H318&gt;2000,"NORMAL",H318&gt;500,"BASIC")</f>
        <v>NORMAL</v>
      </c>
    </row>
    <row r="319" spans="1:10" ht="15.6" x14ac:dyDescent="0.3">
      <c r="A319" s="6">
        <v>45142</v>
      </c>
      <c r="B319" s="7" t="s">
        <v>174</v>
      </c>
      <c r="C319" s="7" t="s">
        <v>806</v>
      </c>
      <c r="D319" s="7" t="s">
        <v>811</v>
      </c>
      <c r="E319" s="7">
        <v>9</v>
      </c>
      <c r="F319" s="7" t="s">
        <v>844</v>
      </c>
      <c r="G319" s="7" t="s">
        <v>828</v>
      </c>
      <c r="H319" s="7">
        <v>907</v>
      </c>
      <c r="I319" s="7" t="s">
        <v>853</v>
      </c>
      <c r="J319" s="8" t="str" cm="1">
        <f t="array" ref="J319">_xlfn.IFS(H319&gt;8000,"PLATINUM",H319&gt;6000,"GOLD",H319&gt;4000,"SILEVER",H319&gt;2000,"NORMAL",H319&gt;500,"BASIC")</f>
        <v>BASIC</v>
      </c>
    </row>
    <row r="320" spans="1:10" ht="15.6" x14ac:dyDescent="0.3">
      <c r="A320" s="6">
        <v>44662</v>
      </c>
      <c r="B320" s="7" t="s">
        <v>175</v>
      </c>
      <c r="C320" s="7" t="s">
        <v>806</v>
      </c>
      <c r="D320" s="7" t="s">
        <v>811</v>
      </c>
      <c r="E320" s="7">
        <v>19</v>
      </c>
      <c r="F320" s="7" t="s">
        <v>847</v>
      </c>
      <c r="G320" s="7" t="s">
        <v>836</v>
      </c>
      <c r="H320" s="7">
        <v>2174</v>
      </c>
      <c r="I320" s="7" t="s">
        <v>853</v>
      </c>
      <c r="J320" s="8" t="str" cm="1">
        <f t="array" ref="J320">_xlfn.IFS(H320&gt;8000,"PLATINUM",H320&gt;6000,"GOLD",H320&gt;4000,"SILEVER",H320&gt;2000,"NORMAL",H320&gt;500,"BASIC")</f>
        <v>NORMAL</v>
      </c>
    </row>
    <row r="321" spans="1:10" ht="15.6" x14ac:dyDescent="0.3">
      <c r="A321" s="6">
        <v>44662</v>
      </c>
      <c r="B321" s="7" t="s">
        <v>175</v>
      </c>
      <c r="C321" s="7" t="s">
        <v>805</v>
      </c>
      <c r="D321" s="7" t="s">
        <v>809</v>
      </c>
      <c r="E321" s="7">
        <v>12</v>
      </c>
      <c r="F321" s="7" t="s">
        <v>847</v>
      </c>
      <c r="G321" s="7" t="s">
        <v>836</v>
      </c>
      <c r="H321" s="7">
        <v>8541</v>
      </c>
      <c r="I321" s="7" t="s">
        <v>853</v>
      </c>
      <c r="J321" s="8" t="str" cm="1">
        <f t="array" ref="J321">_xlfn.IFS(H321&gt;8000,"PLATINUM",H321&gt;6000,"GOLD",H321&gt;4000,"SILEVER",H321&gt;2000,"NORMAL",H321&gt;500,"BASIC")</f>
        <v>PLATINUM</v>
      </c>
    </row>
    <row r="322" spans="1:10" ht="15.6" x14ac:dyDescent="0.3">
      <c r="A322" s="6">
        <v>44662</v>
      </c>
      <c r="B322" s="7" t="s">
        <v>175</v>
      </c>
      <c r="C322" s="7" t="s">
        <v>807</v>
      </c>
      <c r="D322" s="7" t="s">
        <v>820</v>
      </c>
      <c r="E322" s="7">
        <v>3</v>
      </c>
      <c r="F322" s="7" t="s">
        <v>847</v>
      </c>
      <c r="G322" s="7" t="s">
        <v>836</v>
      </c>
      <c r="H322" s="7">
        <v>1931</v>
      </c>
      <c r="I322" s="7" t="s">
        <v>852</v>
      </c>
      <c r="J322" s="8" t="str" cm="1">
        <f t="array" ref="J322">_xlfn.IFS(H322&gt;8000,"PLATINUM",H322&gt;6000,"GOLD",H322&gt;4000,"SILEVER",H322&gt;2000,"NORMAL",H322&gt;500,"BASIC")</f>
        <v>BASIC</v>
      </c>
    </row>
    <row r="323" spans="1:10" ht="15.6" x14ac:dyDescent="0.3">
      <c r="A323" s="6">
        <v>44561</v>
      </c>
      <c r="B323" s="7" t="s">
        <v>176</v>
      </c>
      <c r="C323" s="7" t="s">
        <v>805</v>
      </c>
      <c r="D323" s="7" t="s">
        <v>809</v>
      </c>
      <c r="E323" s="7">
        <v>3</v>
      </c>
      <c r="F323" s="7" t="s">
        <v>846</v>
      </c>
      <c r="G323" s="7" t="s">
        <v>833</v>
      </c>
      <c r="H323" s="7">
        <v>1281</v>
      </c>
      <c r="I323" s="7" t="s">
        <v>851</v>
      </c>
      <c r="J323" s="8" t="str" cm="1">
        <f t="array" ref="J323">_xlfn.IFS(H323&gt;8000,"PLATINUM",H323&gt;6000,"GOLD",H323&gt;4000,"SILEVER",H323&gt;2000,"NORMAL",H323&gt;500,"BASIC")</f>
        <v>BASIC</v>
      </c>
    </row>
    <row r="324" spans="1:10" ht="15.6" x14ac:dyDescent="0.3">
      <c r="A324" s="6">
        <v>44561</v>
      </c>
      <c r="B324" s="7" t="s">
        <v>176</v>
      </c>
      <c r="C324" s="7" t="s">
        <v>805</v>
      </c>
      <c r="D324" s="7" t="s">
        <v>812</v>
      </c>
      <c r="E324" s="7">
        <v>15</v>
      </c>
      <c r="F324" s="7" t="s">
        <v>846</v>
      </c>
      <c r="G324" s="7" t="s">
        <v>833</v>
      </c>
      <c r="H324" s="7">
        <v>2404</v>
      </c>
      <c r="I324" s="7" t="s">
        <v>854</v>
      </c>
      <c r="J324" s="8" t="str" cm="1">
        <f t="array" ref="J324">_xlfn.IFS(H324&gt;8000,"PLATINUM",H324&gt;6000,"GOLD",H324&gt;4000,"SILEVER",H324&gt;2000,"NORMAL",H324&gt;500,"BASIC")</f>
        <v>NORMAL</v>
      </c>
    </row>
    <row r="325" spans="1:10" ht="15.6" x14ac:dyDescent="0.3">
      <c r="A325" s="6">
        <v>44059</v>
      </c>
      <c r="B325" s="7" t="s">
        <v>177</v>
      </c>
      <c r="C325" s="7" t="s">
        <v>807</v>
      </c>
      <c r="D325" s="7" t="s">
        <v>816</v>
      </c>
      <c r="E325" s="7">
        <v>1</v>
      </c>
      <c r="F325" s="7" t="s">
        <v>845</v>
      </c>
      <c r="G325" s="7" t="s">
        <v>827</v>
      </c>
      <c r="H325" s="7">
        <v>2119</v>
      </c>
      <c r="I325" s="7" t="s">
        <v>854</v>
      </c>
      <c r="J325" s="8" t="str" cm="1">
        <f t="array" ref="J325">_xlfn.IFS(H325&gt;8000,"PLATINUM",H325&gt;6000,"GOLD",H325&gt;4000,"SILEVER",H325&gt;2000,"NORMAL",H325&gt;500,"BASIC")</f>
        <v>NORMAL</v>
      </c>
    </row>
    <row r="326" spans="1:10" ht="15.6" x14ac:dyDescent="0.3">
      <c r="A326" s="6">
        <v>45690</v>
      </c>
      <c r="B326" s="7" t="s">
        <v>178</v>
      </c>
      <c r="C326" s="7" t="s">
        <v>806</v>
      </c>
      <c r="D326" s="7" t="s">
        <v>811</v>
      </c>
      <c r="E326" s="7">
        <v>9</v>
      </c>
      <c r="F326" s="7" t="s">
        <v>843</v>
      </c>
      <c r="G326" s="7" t="s">
        <v>824</v>
      </c>
      <c r="H326" s="7">
        <v>3137</v>
      </c>
      <c r="I326" s="7" t="s">
        <v>851</v>
      </c>
      <c r="J326" s="8" t="str" cm="1">
        <f t="array" ref="J326">_xlfn.IFS(H326&gt;8000,"PLATINUM",H326&gt;6000,"GOLD",H326&gt;4000,"SILEVER",H326&gt;2000,"NORMAL",H326&gt;500,"BASIC")</f>
        <v>NORMAL</v>
      </c>
    </row>
    <row r="327" spans="1:10" ht="15.6" x14ac:dyDescent="0.3">
      <c r="A327" s="6">
        <v>44616</v>
      </c>
      <c r="B327" s="7" t="s">
        <v>179</v>
      </c>
      <c r="C327" s="7" t="s">
        <v>807</v>
      </c>
      <c r="D327" s="7" t="s">
        <v>813</v>
      </c>
      <c r="E327" s="7">
        <v>7</v>
      </c>
      <c r="F327" s="7" t="s">
        <v>846</v>
      </c>
      <c r="G327" s="7" t="s">
        <v>831</v>
      </c>
      <c r="H327" s="7">
        <v>2323</v>
      </c>
      <c r="I327" s="7" t="s">
        <v>854</v>
      </c>
      <c r="J327" s="8" t="str" cm="1">
        <f t="array" ref="J327">_xlfn.IFS(H327&gt;8000,"PLATINUM",H327&gt;6000,"GOLD",H327&gt;4000,"SILEVER",H327&gt;2000,"NORMAL",H327&gt;500,"BASIC")</f>
        <v>NORMAL</v>
      </c>
    </row>
    <row r="328" spans="1:10" ht="15.6" x14ac:dyDescent="0.3">
      <c r="A328" s="6">
        <v>44616</v>
      </c>
      <c r="B328" s="7" t="s">
        <v>179</v>
      </c>
      <c r="C328" s="7" t="s">
        <v>807</v>
      </c>
      <c r="D328" s="7" t="s">
        <v>820</v>
      </c>
      <c r="E328" s="7">
        <v>9</v>
      </c>
      <c r="F328" s="7" t="s">
        <v>846</v>
      </c>
      <c r="G328" s="7" t="s">
        <v>831</v>
      </c>
      <c r="H328" s="7">
        <v>1368</v>
      </c>
      <c r="I328" s="7" t="s">
        <v>850</v>
      </c>
      <c r="J328" s="8" t="str" cm="1">
        <f t="array" ref="J328">_xlfn.IFS(H328&gt;8000,"PLATINUM",H328&gt;6000,"GOLD",H328&gt;4000,"SILEVER",H328&gt;2000,"NORMAL",H328&gt;500,"BASIC")</f>
        <v>BASIC</v>
      </c>
    </row>
    <row r="329" spans="1:10" ht="15.6" x14ac:dyDescent="0.3">
      <c r="A329" s="6">
        <v>45347</v>
      </c>
      <c r="B329" s="7" t="s">
        <v>180</v>
      </c>
      <c r="C329" s="7" t="s">
        <v>805</v>
      </c>
      <c r="D329" s="7" t="s">
        <v>812</v>
      </c>
      <c r="E329" s="7">
        <v>16</v>
      </c>
      <c r="F329" s="7" t="s">
        <v>842</v>
      </c>
      <c r="G329" s="7" t="s">
        <v>823</v>
      </c>
      <c r="H329" s="7">
        <v>9204</v>
      </c>
      <c r="I329" s="7" t="s">
        <v>853</v>
      </c>
      <c r="J329" s="8" t="str" cm="1">
        <f t="array" ref="J329">_xlfn.IFS(H329&gt;8000,"PLATINUM",H329&gt;6000,"GOLD",H329&gt;4000,"SILEVER",H329&gt;2000,"NORMAL",H329&gt;500,"BASIC")</f>
        <v>PLATINUM</v>
      </c>
    </row>
    <row r="330" spans="1:10" ht="15.6" x14ac:dyDescent="0.3">
      <c r="A330" s="6">
        <v>44362</v>
      </c>
      <c r="B330" s="7" t="s">
        <v>181</v>
      </c>
      <c r="C330" s="7" t="s">
        <v>805</v>
      </c>
      <c r="D330" s="7" t="s">
        <v>812</v>
      </c>
      <c r="E330" s="7">
        <v>16</v>
      </c>
      <c r="F330" s="7" t="s">
        <v>842</v>
      </c>
      <c r="G330" s="7" t="s">
        <v>823</v>
      </c>
      <c r="H330" s="7">
        <v>9204</v>
      </c>
      <c r="I330" s="7" t="s">
        <v>853</v>
      </c>
      <c r="J330" s="8" t="str" cm="1">
        <f t="array" ref="J330">_xlfn.IFS(H330&gt;8000,"PLATINUM",H330&gt;6000,"GOLD",H330&gt;4000,"SILEVER",H330&gt;2000,"NORMAL",H330&gt;500,"BASIC")</f>
        <v>PLATINUM</v>
      </c>
    </row>
    <row r="331" spans="1:10" ht="15.6" x14ac:dyDescent="0.3">
      <c r="A331" s="6">
        <v>45347</v>
      </c>
      <c r="B331" s="7" t="s">
        <v>180</v>
      </c>
      <c r="C331" s="7" t="s">
        <v>806</v>
      </c>
      <c r="D331" s="7" t="s">
        <v>817</v>
      </c>
      <c r="E331" s="7">
        <v>20</v>
      </c>
      <c r="F331" s="7" t="s">
        <v>842</v>
      </c>
      <c r="G331" s="7" t="s">
        <v>823</v>
      </c>
      <c r="H331" s="7">
        <v>9894</v>
      </c>
      <c r="I331" s="7" t="s">
        <v>852</v>
      </c>
      <c r="J331" s="8" t="str" cm="1">
        <f t="array" ref="J331">_xlfn.IFS(H331&gt;8000,"PLATINUM",H331&gt;6000,"GOLD",H331&gt;4000,"SILEVER",H331&gt;2000,"NORMAL",H331&gt;500,"BASIC")</f>
        <v>PLATINUM</v>
      </c>
    </row>
    <row r="332" spans="1:10" ht="15.6" x14ac:dyDescent="0.3">
      <c r="A332" s="6">
        <v>44362</v>
      </c>
      <c r="B332" s="7" t="s">
        <v>181</v>
      </c>
      <c r="C332" s="7" t="s">
        <v>806</v>
      </c>
      <c r="D332" s="7" t="s">
        <v>817</v>
      </c>
      <c r="E332" s="7">
        <v>20</v>
      </c>
      <c r="F332" s="7" t="s">
        <v>842</v>
      </c>
      <c r="G332" s="7" t="s">
        <v>823</v>
      </c>
      <c r="H332" s="7">
        <v>9894</v>
      </c>
      <c r="I332" s="7" t="s">
        <v>852</v>
      </c>
      <c r="J332" s="8" t="str" cm="1">
        <f t="array" ref="J332">_xlfn.IFS(H332&gt;8000,"PLATINUM",H332&gt;6000,"GOLD",H332&gt;4000,"SILEVER",H332&gt;2000,"NORMAL",H332&gt;500,"BASIC")</f>
        <v>PLATINUM</v>
      </c>
    </row>
    <row r="333" spans="1:10" ht="15.6" x14ac:dyDescent="0.3">
      <c r="A333" s="6">
        <v>44903</v>
      </c>
      <c r="B333" s="7" t="s">
        <v>182</v>
      </c>
      <c r="C333" s="7" t="s">
        <v>807</v>
      </c>
      <c r="D333" s="7" t="s">
        <v>816</v>
      </c>
      <c r="E333" s="7">
        <v>18</v>
      </c>
      <c r="F333" s="7" t="s">
        <v>846</v>
      </c>
      <c r="G333" s="7" t="s">
        <v>838</v>
      </c>
      <c r="H333" s="7">
        <v>5322</v>
      </c>
      <c r="I333" s="7" t="s">
        <v>854</v>
      </c>
      <c r="J333" s="8" t="str" cm="1">
        <f t="array" ref="J333">_xlfn.IFS(H333&gt;8000,"PLATINUM",H333&gt;6000,"GOLD",H333&gt;4000,"SILEVER",H333&gt;2000,"NORMAL",H333&gt;500,"BASIC")</f>
        <v>SILEVER</v>
      </c>
    </row>
    <row r="334" spans="1:10" ht="15.6" x14ac:dyDescent="0.3">
      <c r="A334" s="6">
        <v>45269</v>
      </c>
      <c r="B334" s="7" t="s">
        <v>183</v>
      </c>
      <c r="C334" s="7" t="s">
        <v>807</v>
      </c>
      <c r="D334" s="7" t="s">
        <v>816</v>
      </c>
      <c r="E334" s="7">
        <v>18</v>
      </c>
      <c r="F334" s="7" t="s">
        <v>846</v>
      </c>
      <c r="G334" s="7" t="s">
        <v>831</v>
      </c>
      <c r="H334" s="7">
        <v>5322</v>
      </c>
      <c r="I334" s="7" t="s">
        <v>854</v>
      </c>
      <c r="J334" s="8" t="str" cm="1">
        <f t="array" ref="J334">_xlfn.IFS(H334&gt;8000,"PLATINUM",H334&gt;6000,"GOLD",H334&gt;4000,"SILEVER",H334&gt;2000,"NORMAL",H334&gt;500,"BASIC")</f>
        <v>SILEVER</v>
      </c>
    </row>
    <row r="335" spans="1:10" ht="15.6" x14ac:dyDescent="0.3">
      <c r="A335" s="6">
        <v>44758</v>
      </c>
      <c r="B335" s="7" t="s">
        <v>184</v>
      </c>
      <c r="C335" s="7" t="s">
        <v>807</v>
      </c>
      <c r="D335" s="7" t="s">
        <v>814</v>
      </c>
      <c r="E335" s="7">
        <v>14</v>
      </c>
      <c r="F335" s="7" t="s">
        <v>847</v>
      </c>
      <c r="G335" s="7" t="s">
        <v>837</v>
      </c>
      <c r="H335" s="7">
        <v>2666</v>
      </c>
      <c r="I335" s="7" t="s">
        <v>854</v>
      </c>
      <c r="J335" s="8" t="str" cm="1">
        <f t="array" ref="J335">_xlfn.IFS(H335&gt;8000,"PLATINUM",H335&gt;6000,"GOLD",H335&gt;4000,"SILEVER",H335&gt;2000,"NORMAL",H335&gt;500,"BASIC")</f>
        <v>NORMAL</v>
      </c>
    </row>
    <row r="336" spans="1:10" ht="15.6" x14ac:dyDescent="0.3">
      <c r="A336" s="6">
        <v>45417</v>
      </c>
      <c r="B336" s="7" t="s">
        <v>185</v>
      </c>
      <c r="C336" s="7" t="s">
        <v>807</v>
      </c>
      <c r="D336" s="7" t="s">
        <v>816</v>
      </c>
      <c r="E336" s="7">
        <v>4</v>
      </c>
      <c r="F336" s="7" t="s">
        <v>842</v>
      </c>
      <c r="G336" s="7" t="s">
        <v>826</v>
      </c>
      <c r="H336" s="7">
        <v>8383</v>
      </c>
      <c r="I336" s="7" t="s">
        <v>850</v>
      </c>
      <c r="J336" s="8" t="str" cm="1">
        <f t="array" ref="J336">_xlfn.IFS(H336&gt;8000,"PLATINUM",H336&gt;6000,"GOLD",H336&gt;4000,"SILEVER",H336&gt;2000,"NORMAL",H336&gt;500,"BASIC")</f>
        <v>PLATINUM</v>
      </c>
    </row>
    <row r="337" spans="1:10" ht="15.6" x14ac:dyDescent="0.3">
      <c r="A337" s="6">
        <v>44473</v>
      </c>
      <c r="B337" s="7" t="s">
        <v>186</v>
      </c>
      <c r="C337" s="7" t="s">
        <v>806</v>
      </c>
      <c r="D337" s="7" t="s">
        <v>817</v>
      </c>
      <c r="E337" s="7">
        <v>4</v>
      </c>
      <c r="F337" s="7" t="s">
        <v>843</v>
      </c>
      <c r="G337" s="7" t="s">
        <v>824</v>
      </c>
      <c r="H337" s="7">
        <v>7560</v>
      </c>
      <c r="I337" s="7" t="s">
        <v>852</v>
      </c>
      <c r="J337" s="8" t="str" cm="1">
        <f t="array" ref="J337">_xlfn.IFS(H337&gt;8000,"PLATINUM",H337&gt;6000,"GOLD",H337&gt;4000,"SILEVER",H337&gt;2000,"NORMAL",H337&gt;500,"BASIC")</f>
        <v>GOLD</v>
      </c>
    </row>
    <row r="338" spans="1:10" ht="15.6" x14ac:dyDescent="0.3">
      <c r="A338" s="6">
        <v>44520</v>
      </c>
      <c r="B338" s="7" t="s">
        <v>187</v>
      </c>
      <c r="C338" s="7" t="s">
        <v>807</v>
      </c>
      <c r="D338" s="7" t="s">
        <v>816</v>
      </c>
      <c r="E338" s="7">
        <v>16</v>
      </c>
      <c r="F338" s="7" t="s">
        <v>844</v>
      </c>
      <c r="G338" s="7" t="s">
        <v>825</v>
      </c>
      <c r="H338" s="7">
        <v>1314</v>
      </c>
      <c r="I338" s="7" t="s">
        <v>850</v>
      </c>
      <c r="J338" s="8" t="str" cm="1">
        <f t="array" ref="J338">_xlfn.IFS(H338&gt;8000,"PLATINUM",H338&gt;6000,"GOLD",H338&gt;4000,"SILEVER",H338&gt;2000,"NORMAL",H338&gt;500,"BASIC")</f>
        <v>BASIC</v>
      </c>
    </row>
    <row r="339" spans="1:10" ht="15.6" x14ac:dyDescent="0.3">
      <c r="A339" s="6">
        <v>44520</v>
      </c>
      <c r="B339" s="7" t="s">
        <v>187</v>
      </c>
      <c r="C339" s="7" t="s">
        <v>807</v>
      </c>
      <c r="D339" s="7" t="s">
        <v>813</v>
      </c>
      <c r="E339" s="7">
        <v>1</v>
      </c>
      <c r="F339" s="7" t="s">
        <v>844</v>
      </c>
      <c r="G339" s="7" t="s">
        <v>825</v>
      </c>
      <c r="H339" s="7">
        <v>4390</v>
      </c>
      <c r="I339" s="7" t="s">
        <v>851</v>
      </c>
      <c r="J339" s="8" t="str" cm="1">
        <f t="array" ref="J339">_xlfn.IFS(H339&gt;8000,"PLATINUM",H339&gt;6000,"GOLD",H339&gt;4000,"SILEVER",H339&gt;2000,"NORMAL",H339&gt;500,"BASIC")</f>
        <v>SILEVER</v>
      </c>
    </row>
    <row r="340" spans="1:10" ht="15.6" x14ac:dyDescent="0.3">
      <c r="A340" s="6">
        <v>44520</v>
      </c>
      <c r="B340" s="7" t="s">
        <v>187</v>
      </c>
      <c r="C340" s="7" t="s">
        <v>806</v>
      </c>
      <c r="D340" s="7" t="s">
        <v>818</v>
      </c>
      <c r="E340" s="7">
        <v>7</v>
      </c>
      <c r="F340" s="7" t="s">
        <v>844</v>
      </c>
      <c r="G340" s="7" t="s">
        <v>825</v>
      </c>
      <c r="H340" s="7">
        <v>1150</v>
      </c>
      <c r="I340" s="7" t="s">
        <v>851</v>
      </c>
      <c r="J340" s="8" t="str" cm="1">
        <f t="array" ref="J340">_xlfn.IFS(H340&gt;8000,"PLATINUM",H340&gt;6000,"GOLD",H340&gt;4000,"SILEVER",H340&gt;2000,"NORMAL",H340&gt;500,"BASIC")</f>
        <v>BASIC</v>
      </c>
    </row>
    <row r="341" spans="1:10" ht="15.6" x14ac:dyDescent="0.3">
      <c r="A341" s="6">
        <v>44089</v>
      </c>
      <c r="B341" s="7" t="s">
        <v>188</v>
      </c>
      <c r="C341" s="7" t="s">
        <v>806</v>
      </c>
      <c r="D341" s="7" t="s">
        <v>811</v>
      </c>
      <c r="E341" s="7">
        <v>17</v>
      </c>
      <c r="F341" s="7" t="s">
        <v>845</v>
      </c>
      <c r="G341" s="7" t="s">
        <v>832</v>
      </c>
      <c r="H341" s="7">
        <v>1574</v>
      </c>
      <c r="I341" s="7" t="s">
        <v>852</v>
      </c>
      <c r="J341" s="8" t="str" cm="1">
        <f t="array" ref="J341">_xlfn.IFS(H341&gt;8000,"PLATINUM",H341&gt;6000,"GOLD",H341&gt;4000,"SILEVER",H341&gt;2000,"NORMAL",H341&gt;500,"BASIC")</f>
        <v>BASIC</v>
      </c>
    </row>
    <row r="342" spans="1:10" ht="15.6" x14ac:dyDescent="0.3">
      <c r="A342" s="6">
        <v>44089</v>
      </c>
      <c r="B342" s="7" t="s">
        <v>188</v>
      </c>
      <c r="C342" s="7" t="s">
        <v>806</v>
      </c>
      <c r="D342" s="7" t="s">
        <v>818</v>
      </c>
      <c r="E342" s="7">
        <v>17</v>
      </c>
      <c r="F342" s="7" t="s">
        <v>845</v>
      </c>
      <c r="G342" s="7" t="s">
        <v>832</v>
      </c>
      <c r="H342" s="7">
        <v>5635</v>
      </c>
      <c r="I342" s="7" t="s">
        <v>850</v>
      </c>
      <c r="J342" s="8" t="str" cm="1">
        <f t="array" ref="J342">_xlfn.IFS(H342&gt;8000,"PLATINUM",H342&gt;6000,"GOLD",H342&gt;4000,"SILEVER",H342&gt;2000,"NORMAL",H342&gt;500,"BASIC")</f>
        <v>SILEVER</v>
      </c>
    </row>
    <row r="343" spans="1:10" ht="15.6" x14ac:dyDescent="0.3">
      <c r="A343" s="6">
        <v>44089</v>
      </c>
      <c r="B343" s="7" t="s">
        <v>188</v>
      </c>
      <c r="C343" s="7" t="s">
        <v>807</v>
      </c>
      <c r="D343" s="7" t="s">
        <v>816</v>
      </c>
      <c r="E343" s="7">
        <v>11</v>
      </c>
      <c r="F343" s="7" t="s">
        <v>845</v>
      </c>
      <c r="G343" s="7" t="s">
        <v>832</v>
      </c>
      <c r="H343" s="7">
        <v>6515</v>
      </c>
      <c r="I343" s="7" t="s">
        <v>851</v>
      </c>
      <c r="J343" s="8" t="str" cm="1">
        <f t="array" ref="J343">_xlfn.IFS(H343&gt;8000,"PLATINUM",H343&gt;6000,"GOLD",H343&gt;4000,"SILEVER",H343&gt;2000,"NORMAL",H343&gt;500,"BASIC")</f>
        <v>GOLD</v>
      </c>
    </row>
    <row r="344" spans="1:10" ht="15.6" x14ac:dyDescent="0.3">
      <c r="A344" s="6">
        <v>44943</v>
      </c>
      <c r="B344" s="7" t="s">
        <v>189</v>
      </c>
      <c r="C344" s="7" t="s">
        <v>805</v>
      </c>
      <c r="D344" s="7" t="s">
        <v>812</v>
      </c>
      <c r="E344" s="7">
        <v>20</v>
      </c>
      <c r="F344" s="7" t="s">
        <v>847</v>
      </c>
      <c r="G344" s="7" t="s">
        <v>835</v>
      </c>
      <c r="H344" s="7">
        <v>1231</v>
      </c>
      <c r="I344" s="7" t="s">
        <v>851</v>
      </c>
      <c r="J344" s="8" t="str" cm="1">
        <f t="array" ref="J344">_xlfn.IFS(H344&gt;8000,"PLATINUM",H344&gt;6000,"GOLD",H344&gt;4000,"SILEVER",H344&gt;2000,"NORMAL",H344&gt;500,"BASIC")</f>
        <v>BASIC</v>
      </c>
    </row>
    <row r="345" spans="1:10" ht="15.6" x14ac:dyDescent="0.3">
      <c r="A345" s="6">
        <v>43998</v>
      </c>
      <c r="B345" s="7" t="s">
        <v>190</v>
      </c>
      <c r="C345" s="7" t="s">
        <v>805</v>
      </c>
      <c r="D345" s="7" t="s">
        <v>812</v>
      </c>
      <c r="E345" s="7">
        <v>20</v>
      </c>
      <c r="F345" s="7" t="s">
        <v>844</v>
      </c>
      <c r="G345" s="7" t="s">
        <v>830</v>
      </c>
      <c r="H345" s="7">
        <v>1231</v>
      </c>
      <c r="I345" s="7" t="s">
        <v>851</v>
      </c>
      <c r="J345" s="8" t="str" cm="1">
        <f t="array" ref="J345">_xlfn.IFS(H345&gt;8000,"PLATINUM",H345&gt;6000,"GOLD",H345&gt;4000,"SILEVER",H345&gt;2000,"NORMAL",H345&gt;500,"BASIC")</f>
        <v>BASIC</v>
      </c>
    </row>
    <row r="346" spans="1:10" ht="15.6" x14ac:dyDescent="0.3">
      <c r="A346" s="6">
        <v>45413</v>
      </c>
      <c r="B346" s="7" t="s">
        <v>191</v>
      </c>
      <c r="C346" s="7" t="s">
        <v>806</v>
      </c>
      <c r="D346" s="7" t="s">
        <v>818</v>
      </c>
      <c r="E346" s="7">
        <v>3</v>
      </c>
      <c r="F346" s="7" t="s">
        <v>847</v>
      </c>
      <c r="G346" s="7" t="s">
        <v>837</v>
      </c>
      <c r="H346" s="7">
        <v>6891</v>
      </c>
      <c r="I346" s="7" t="s">
        <v>851</v>
      </c>
      <c r="J346" s="8" t="str" cm="1">
        <f t="array" ref="J346">_xlfn.IFS(H346&gt;8000,"PLATINUM",H346&gt;6000,"GOLD",H346&gt;4000,"SILEVER",H346&gt;2000,"NORMAL",H346&gt;500,"BASIC")</f>
        <v>GOLD</v>
      </c>
    </row>
    <row r="347" spans="1:10" ht="15.6" x14ac:dyDescent="0.3">
      <c r="A347" s="6">
        <v>45267</v>
      </c>
      <c r="B347" s="7" t="s">
        <v>192</v>
      </c>
      <c r="C347" s="7" t="s">
        <v>805</v>
      </c>
      <c r="D347" s="7" t="s">
        <v>812</v>
      </c>
      <c r="E347" s="7">
        <v>15</v>
      </c>
      <c r="F347" s="7" t="s">
        <v>846</v>
      </c>
      <c r="G347" s="7" t="s">
        <v>833</v>
      </c>
      <c r="H347" s="7">
        <v>7524</v>
      </c>
      <c r="I347" s="7" t="s">
        <v>852</v>
      </c>
      <c r="J347" s="8" t="str" cm="1">
        <f t="array" ref="J347">_xlfn.IFS(H347&gt;8000,"PLATINUM",H347&gt;6000,"GOLD",H347&gt;4000,"SILEVER",H347&gt;2000,"NORMAL",H347&gt;500,"BASIC")</f>
        <v>GOLD</v>
      </c>
    </row>
    <row r="348" spans="1:10" ht="15.6" x14ac:dyDescent="0.3">
      <c r="A348" s="6">
        <v>45267</v>
      </c>
      <c r="B348" s="7" t="s">
        <v>192</v>
      </c>
      <c r="C348" s="7" t="s">
        <v>805</v>
      </c>
      <c r="D348" s="7" t="s">
        <v>810</v>
      </c>
      <c r="E348" s="7">
        <v>14</v>
      </c>
      <c r="F348" s="7" t="s">
        <v>846</v>
      </c>
      <c r="G348" s="7" t="s">
        <v>833</v>
      </c>
      <c r="H348" s="7">
        <v>6864</v>
      </c>
      <c r="I348" s="7" t="s">
        <v>853</v>
      </c>
      <c r="J348" s="8" t="str" cm="1">
        <f t="array" ref="J348">_xlfn.IFS(H348&gt;8000,"PLATINUM",H348&gt;6000,"GOLD",H348&gt;4000,"SILEVER",H348&gt;2000,"NORMAL",H348&gt;500,"BASIC")</f>
        <v>GOLD</v>
      </c>
    </row>
    <row r="349" spans="1:10" ht="15.6" x14ac:dyDescent="0.3">
      <c r="A349" s="6">
        <v>45324</v>
      </c>
      <c r="B349" s="7" t="s">
        <v>193</v>
      </c>
      <c r="C349" s="7" t="s">
        <v>807</v>
      </c>
      <c r="D349" s="7" t="s">
        <v>814</v>
      </c>
      <c r="E349" s="7">
        <v>14</v>
      </c>
      <c r="F349" s="7" t="s">
        <v>847</v>
      </c>
      <c r="G349" s="7" t="s">
        <v>835</v>
      </c>
      <c r="H349" s="7">
        <v>4215</v>
      </c>
      <c r="I349" s="7" t="s">
        <v>851</v>
      </c>
      <c r="J349" s="8" t="str" cm="1">
        <f t="array" ref="J349">_xlfn.IFS(H349&gt;8000,"PLATINUM",H349&gt;6000,"GOLD",H349&gt;4000,"SILEVER",H349&gt;2000,"NORMAL",H349&gt;500,"BASIC")</f>
        <v>SILEVER</v>
      </c>
    </row>
    <row r="350" spans="1:10" ht="15.6" x14ac:dyDescent="0.3">
      <c r="A350" s="6">
        <v>45466</v>
      </c>
      <c r="B350" s="7" t="s">
        <v>194</v>
      </c>
      <c r="C350" s="7" t="s">
        <v>807</v>
      </c>
      <c r="D350" s="7" t="s">
        <v>820</v>
      </c>
      <c r="E350" s="7">
        <v>19</v>
      </c>
      <c r="F350" s="7" t="s">
        <v>845</v>
      </c>
      <c r="G350" s="7" t="s">
        <v>832</v>
      </c>
      <c r="H350" s="7">
        <v>622</v>
      </c>
      <c r="I350" s="7" t="s">
        <v>853</v>
      </c>
      <c r="J350" s="8" t="str" cm="1">
        <f t="array" ref="J350">_xlfn.IFS(H350&gt;8000,"PLATINUM",H350&gt;6000,"GOLD",H350&gt;4000,"SILEVER",H350&gt;2000,"NORMAL",H350&gt;500,"BASIC")</f>
        <v>BASIC</v>
      </c>
    </row>
    <row r="351" spans="1:10" ht="15.6" x14ac:dyDescent="0.3">
      <c r="A351" s="6">
        <v>45466</v>
      </c>
      <c r="B351" s="7" t="s">
        <v>194</v>
      </c>
      <c r="C351" s="7" t="s">
        <v>806</v>
      </c>
      <c r="D351" s="7" t="s">
        <v>811</v>
      </c>
      <c r="E351" s="7">
        <v>18</v>
      </c>
      <c r="F351" s="7" t="s">
        <v>845</v>
      </c>
      <c r="G351" s="7" t="s">
        <v>832</v>
      </c>
      <c r="H351" s="7">
        <v>1755</v>
      </c>
      <c r="I351" s="7" t="s">
        <v>850</v>
      </c>
      <c r="J351" s="8" t="str" cm="1">
        <f t="array" ref="J351">_xlfn.IFS(H351&gt;8000,"PLATINUM",H351&gt;6000,"GOLD",H351&gt;4000,"SILEVER",H351&gt;2000,"NORMAL",H351&gt;500,"BASIC")</f>
        <v>BASIC</v>
      </c>
    </row>
    <row r="352" spans="1:10" ht="15.6" x14ac:dyDescent="0.3">
      <c r="A352" s="6">
        <v>45466</v>
      </c>
      <c r="B352" s="7" t="s">
        <v>194</v>
      </c>
      <c r="C352" s="7" t="s">
        <v>805</v>
      </c>
      <c r="D352" s="7" t="s">
        <v>809</v>
      </c>
      <c r="E352" s="7">
        <v>20</v>
      </c>
      <c r="F352" s="7" t="s">
        <v>845</v>
      </c>
      <c r="G352" s="7" t="s">
        <v>832</v>
      </c>
      <c r="H352" s="7">
        <v>8020</v>
      </c>
      <c r="I352" s="7" t="s">
        <v>852</v>
      </c>
      <c r="J352" s="8" t="str" cm="1">
        <f t="array" ref="J352">_xlfn.IFS(H352&gt;8000,"PLATINUM",H352&gt;6000,"GOLD",H352&gt;4000,"SILEVER",H352&gt;2000,"NORMAL",H352&gt;500,"BASIC")</f>
        <v>PLATINUM</v>
      </c>
    </row>
    <row r="353" spans="1:10" ht="15.6" x14ac:dyDescent="0.3">
      <c r="A353" s="6">
        <v>45450</v>
      </c>
      <c r="B353" s="7" t="s">
        <v>195</v>
      </c>
      <c r="C353" s="7" t="s">
        <v>805</v>
      </c>
      <c r="D353" s="7" t="s">
        <v>812</v>
      </c>
      <c r="E353" s="7">
        <v>4</v>
      </c>
      <c r="F353" s="7" t="s">
        <v>844</v>
      </c>
      <c r="G353" s="7" t="s">
        <v>825</v>
      </c>
      <c r="H353" s="7">
        <v>7333</v>
      </c>
      <c r="I353" s="7" t="s">
        <v>853</v>
      </c>
      <c r="J353" s="8" t="str" cm="1">
        <f t="array" ref="J353">_xlfn.IFS(H353&gt;8000,"PLATINUM",H353&gt;6000,"GOLD",H353&gt;4000,"SILEVER",H353&gt;2000,"NORMAL",H353&gt;500,"BASIC")</f>
        <v>GOLD</v>
      </c>
    </row>
    <row r="354" spans="1:10" ht="15.6" x14ac:dyDescent="0.3">
      <c r="A354" s="6">
        <v>45212</v>
      </c>
      <c r="B354" s="7" t="s">
        <v>196</v>
      </c>
      <c r="C354" s="7" t="s">
        <v>805</v>
      </c>
      <c r="D354" s="7" t="s">
        <v>809</v>
      </c>
      <c r="E354" s="7">
        <v>4</v>
      </c>
      <c r="F354" s="7" t="s">
        <v>844</v>
      </c>
      <c r="G354" s="7" t="s">
        <v>830</v>
      </c>
      <c r="H354" s="7">
        <v>7690</v>
      </c>
      <c r="I354" s="7" t="s">
        <v>854</v>
      </c>
      <c r="J354" s="8" t="str" cm="1">
        <f t="array" ref="J354">_xlfn.IFS(H354&gt;8000,"PLATINUM",H354&gt;6000,"GOLD",H354&gt;4000,"SILEVER",H354&gt;2000,"NORMAL",H354&gt;500,"BASIC")</f>
        <v>GOLD</v>
      </c>
    </row>
    <row r="355" spans="1:10" ht="15.6" x14ac:dyDescent="0.3">
      <c r="A355" s="6">
        <v>45212</v>
      </c>
      <c r="B355" s="7" t="s">
        <v>196</v>
      </c>
      <c r="C355" s="7" t="s">
        <v>807</v>
      </c>
      <c r="D355" s="7" t="s">
        <v>816</v>
      </c>
      <c r="E355" s="7">
        <v>2</v>
      </c>
      <c r="F355" s="7" t="s">
        <v>844</v>
      </c>
      <c r="G355" s="7" t="s">
        <v>830</v>
      </c>
      <c r="H355" s="7">
        <v>912</v>
      </c>
      <c r="I355" s="7" t="s">
        <v>852</v>
      </c>
      <c r="J355" s="8" t="str" cm="1">
        <f t="array" ref="J355">_xlfn.IFS(H355&gt;8000,"PLATINUM",H355&gt;6000,"GOLD",H355&gt;4000,"SILEVER",H355&gt;2000,"NORMAL",H355&gt;500,"BASIC")</f>
        <v>BASIC</v>
      </c>
    </row>
    <row r="356" spans="1:10" ht="15.6" x14ac:dyDescent="0.3">
      <c r="A356" s="6">
        <v>44842</v>
      </c>
      <c r="B356" s="7" t="s">
        <v>197</v>
      </c>
      <c r="C356" s="7" t="s">
        <v>805</v>
      </c>
      <c r="D356" s="7" t="s">
        <v>812</v>
      </c>
      <c r="E356" s="7">
        <v>14</v>
      </c>
      <c r="F356" s="7" t="s">
        <v>846</v>
      </c>
      <c r="G356" s="7" t="s">
        <v>833</v>
      </c>
      <c r="H356" s="7">
        <v>2791</v>
      </c>
      <c r="I356" s="7" t="s">
        <v>854</v>
      </c>
      <c r="J356" s="8" t="str" cm="1">
        <f t="array" ref="J356">_xlfn.IFS(H356&gt;8000,"PLATINUM",H356&gt;6000,"GOLD",H356&gt;4000,"SILEVER",H356&gt;2000,"NORMAL",H356&gt;500,"BASIC")</f>
        <v>NORMAL</v>
      </c>
    </row>
    <row r="357" spans="1:10" ht="15.6" x14ac:dyDescent="0.3">
      <c r="A357" s="6">
        <v>45226</v>
      </c>
      <c r="B357" s="7" t="s">
        <v>198</v>
      </c>
      <c r="C357" s="7" t="s">
        <v>805</v>
      </c>
      <c r="D357" s="7" t="s">
        <v>812</v>
      </c>
      <c r="E357" s="7">
        <v>14</v>
      </c>
      <c r="F357" s="7" t="s">
        <v>847</v>
      </c>
      <c r="G357" s="7" t="s">
        <v>836</v>
      </c>
      <c r="H357" s="7">
        <v>2791</v>
      </c>
      <c r="I357" s="7" t="s">
        <v>854</v>
      </c>
      <c r="J357" s="8" t="str" cm="1">
        <f t="array" ref="J357">_xlfn.IFS(H357&gt;8000,"PLATINUM",H357&gt;6000,"GOLD",H357&gt;4000,"SILEVER",H357&gt;2000,"NORMAL",H357&gt;500,"BASIC")</f>
        <v>NORMAL</v>
      </c>
    </row>
    <row r="358" spans="1:10" ht="15.6" x14ac:dyDescent="0.3">
      <c r="A358" s="6">
        <v>44236</v>
      </c>
      <c r="B358" s="7" t="s">
        <v>199</v>
      </c>
      <c r="C358" s="7" t="s">
        <v>805</v>
      </c>
      <c r="D358" s="7" t="s">
        <v>812</v>
      </c>
      <c r="E358" s="7">
        <v>14</v>
      </c>
      <c r="F358" s="7" t="s">
        <v>846</v>
      </c>
      <c r="G358" s="7" t="s">
        <v>831</v>
      </c>
      <c r="H358" s="7">
        <v>2791</v>
      </c>
      <c r="I358" s="7" t="s">
        <v>854</v>
      </c>
      <c r="J358" s="8" t="str" cm="1">
        <f t="array" ref="J358">_xlfn.IFS(H358&gt;8000,"PLATINUM",H358&gt;6000,"GOLD",H358&gt;4000,"SILEVER",H358&gt;2000,"NORMAL",H358&gt;500,"BASIC")</f>
        <v>NORMAL</v>
      </c>
    </row>
    <row r="359" spans="1:10" ht="15.6" x14ac:dyDescent="0.3">
      <c r="A359" s="6">
        <v>44842</v>
      </c>
      <c r="B359" s="7" t="s">
        <v>197</v>
      </c>
      <c r="C359" s="7" t="s">
        <v>807</v>
      </c>
      <c r="D359" s="7" t="s">
        <v>816</v>
      </c>
      <c r="E359" s="7">
        <v>3</v>
      </c>
      <c r="F359" s="7" t="s">
        <v>846</v>
      </c>
      <c r="G359" s="7" t="s">
        <v>833</v>
      </c>
      <c r="H359" s="7">
        <v>6223</v>
      </c>
      <c r="I359" s="7" t="s">
        <v>851</v>
      </c>
      <c r="J359" s="8" t="str" cm="1">
        <f t="array" ref="J359">_xlfn.IFS(H359&gt;8000,"PLATINUM",H359&gt;6000,"GOLD",H359&gt;4000,"SILEVER",H359&gt;2000,"NORMAL",H359&gt;500,"BASIC")</f>
        <v>GOLD</v>
      </c>
    </row>
    <row r="360" spans="1:10" ht="15.6" x14ac:dyDescent="0.3">
      <c r="A360" s="6">
        <v>45226</v>
      </c>
      <c r="B360" s="7" t="s">
        <v>198</v>
      </c>
      <c r="C360" s="7" t="s">
        <v>807</v>
      </c>
      <c r="D360" s="7" t="s">
        <v>816</v>
      </c>
      <c r="E360" s="7">
        <v>3</v>
      </c>
      <c r="F360" s="7" t="s">
        <v>847</v>
      </c>
      <c r="G360" s="7" t="s">
        <v>836</v>
      </c>
      <c r="H360" s="7">
        <v>6223</v>
      </c>
      <c r="I360" s="7" t="s">
        <v>851</v>
      </c>
      <c r="J360" s="8" t="str" cm="1">
        <f t="array" ref="J360">_xlfn.IFS(H360&gt;8000,"PLATINUM",H360&gt;6000,"GOLD",H360&gt;4000,"SILEVER",H360&gt;2000,"NORMAL",H360&gt;500,"BASIC")</f>
        <v>GOLD</v>
      </c>
    </row>
    <row r="361" spans="1:10" ht="15.6" x14ac:dyDescent="0.3">
      <c r="A361" s="6">
        <v>44236</v>
      </c>
      <c r="B361" s="7" t="s">
        <v>199</v>
      </c>
      <c r="C361" s="7" t="s">
        <v>807</v>
      </c>
      <c r="D361" s="7" t="s">
        <v>816</v>
      </c>
      <c r="E361" s="7">
        <v>3</v>
      </c>
      <c r="F361" s="7" t="s">
        <v>846</v>
      </c>
      <c r="G361" s="7" t="s">
        <v>831</v>
      </c>
      <c r="H361" s="7">
        <v>6223</v>
      </c>
      <c r="I361" s="7" t="s">
        <v>851</v>
      </c>
      <c r="J361" s="8" t="str" cm="1">
        <f t="array" ref="J361">_xlfn.IFS(H361&gt;8000,"PLATINUM",H361&gt;6000,"GOLD",H361&gt;4000,"SILEVER",H361&gt;2000,"NORMAL",H361&gt;500,"BASIC")</f>
        <v>GOLD</v>
      </c>
    </row>
    <row r="362" spans="1:10" ht="15.6" x14ac:dyDescent="0.3">
      <c r="A362" s="6">
        <v>44842</v>
      </c>
      <c r="B362" s="7" t="s">
        <v>197</v>
      </c>
      <c r="C362" s="7" t="s">
        <v>807</v>
      </c>
      <c r="D362" s="7" t="s">
        <v>814</v>
      </c>
      <c r="E362" s="7">
        <v>17</v>
      </c>
      <c r="F362" s="7" t="s">
        <v>846</v>
      </c>
      <c r="G362" s="7" t="s">
        <v>833</v>
      </c>
      <c r="H362" s="7">
        <v>8943</v>
      </c>
      <c r="I362" s="7" t="s">
        <v>851</v>
      </c>
      <c r="J362" s="8" t="str" cm="1">
        <f t="array" ref="J362">_xlfn.IFS(H362&gt;8000,"PLATINUM",H362&gt;6000,"GOLD",H362&gt;4000,"SILEVER",H362&gt;2000,"NORMAL",H362&gt;500,"BASIC")</f>
        <v>PLATINUM</v>
      </c>
    </row>
    <row r="363" spans="1:10" ht="15.6" x14ac:dyDescent="0.3">
      <c r="A363" s="6">
        <v>45226</v>
      </c>
      <c r="B363" s="7" t="s">
        <v>198</v>
      </c>
      <c r="C363" s="7" t="s">
        <v>807</v>
      </c>
      <c r="D363" s="7" t="s">
        <v>814</v>
      </c>
      <c r="E363" s="7">
        <v>17</v>
      </c>
      <c r="F363" s="7" t="s">
        <v>847</v>
      </c>
      <c r="G363" s="7" t="s">
        <v>836</v>
      </c>
      <c r="H363" s="7">
        <v>8943</v>
      </c>
      <c r="I363" s="7" t="s">
        <v>851</v>
      </c>
      <c r="J363" s="8" t="str" cm="1">
        <f t="array" ref="J363">_xlfn.IFS(H363&gt;8000,"PLATINUM",H363&gt;6000,"GOLD",H363&gt;4000,"SILEVER",H363&gt;2000,"NORMAL",H363&gt;500,"BASIC")</f>
        <v>PLATINUM</v>
      </c>
    </row>
    <row r="364" spans="1:10" ht="15.6" x14ac:dyDescent="0.3">
      <c r="A364" s="6">
        <v>44236</v>
      </c>
      <c r="B364" s="7" t="s">
        <v>199</v>
      </c>
      <c r="C364" s="7" t="s">
        <v>807</v>
      </c>
      <c r="D364" s="7" t="s">
        <v>814</v>
      </c>
      <c r="E364" s="7">
        <v>17</v>
      </c>
      <c r="F364" s="7" t="s">
        <v>846</v>
      </c>
      <c r="G364" s="7" t="s">
        <v>831</v>
      </c>
      <c r="H364" s="7">
        <v>8943</v>
      </c>
      <c r="I364" s="7" t="s">
        <v>851</v>
      </c>
      <c r="J364" s="8" t="str" cm="1">
        <f t="array" ref="J364">_xlfn.IFS(H364&gt;8000,"PLATINUM",H364&gt;6000,"GOLD",H364&gt;4000,"SILEVER",H364&gt;2000,"NORMAL",H364&gt;500,"BASIC")</f>
        <v>PLATINUM</v>
      </c>
    </row>
    <row r="365" spans="1:10" ht="15.6" x14ac:dyDescent="0.3">
      <c r="A365" s="6">
        <v>44842</v>
      </c>
      <c r="B365" s="7" t="s">
        <v>197</v>
      </c>
      <c r="C365" s="7" t="s">
        <v>805</v>
      </c>
      <c r="D365" s="7" t="s">
        <v>819</v>
      </c>
      <c r="E365" s="7">
        <v>12</v>
      </c>
      <c r="F365" s="7" t="s">
        <v>846</v>
      </c>
      <c r="G365" s="7" t="s">
        <v>833</v>
      </c>
      <c r="H365" s="7">
        <v>3297</v>
      </c>
      <c r="I365" s="7" t="s">
        <v>853</v>
      </c>
      <c r="J365" s="8" t="str" cm="1">
        <f t="array" ref="J365">_xlfn.IFS(H365&gt;8000,"PLATINUM",H365&gt;6000,"GOLD",H365&gt;4000,"SILEVER",H365&gt;2000,"NORMAL",H365&gt;500,"BASIC")</f>
        <v>NORMAL</v>
      </c>
    </row>
    <row r="366" spans="1:10" ht="15.6" x14ac:dyDescent="0.3">
      <c r="A366" s="6">
        <v>45226</v>
      </c>
      <c r="B366" s="7" t="s">
        <v>198</v>
      </c>
      <c r="C366" s="7" t="s">
        <v>805</v>
      </c>
      <c r="D366" s="7" t="s">
        <v>819</v>
      </c>
      <c r="E366" s="7">
        <v>12</v>
      </c>
      <c r="F366" s="7" t="s">
        <v>847</v>
      </c>
      <c r="G366" s="7" t="s">
        <v>836</v>
      </c>
      <c r="H366" s="7">
        <v>3297</v>
      </c>
      <c r="I366" s="7" t="s">
        <v>853</v>
      </c>
      <c r="J366" s="8" t="str" cm="1">
        <f t="array" ref="J366">_xlfn.IFS(H366&gt;8000,"PLATINUM",H366&gt;6000,"GOLD",H366&gt;4000,"SILEVER",H366&gt;2000,"NORMAL",H366&gt;500,"BASIC")</f>
        <v>NORMAL</v>
      </c>
    </row>
    <row r="367" spans="1:10" ht="15.6" x14ac:dyDescent="0.3">
      <c r="A367" s="6">
        <v>44236</v>
      </c>
      <c r="B367" s="7" t="s">
        <v>199</v>
      </c>
      <c r="C367" s="7" t="s">
        <v>805</v>
      </c>
      <c r="D367" s="7" t="s">
        <v>819</v>
      </c>
      <c r="E367" s="7">
        <v>12</v>
      </c>
      <c r="F367" s="7" t="s">
        <v>846</v>
      </c>
      <c r="G367" s="7" t="s">
        <v>831</v>
      </c>
      <c r="H367" s="7">
        <v>3297</v>
      </c>
      <c r="I367" s="7" t="s">
        <v>853</v>
      </c>
      <c r="J367" s="8" t="str" cm="1">
        <f t="array" ref="J367">_xlfn.IFS(H367&gt;8000,"PLATINUM",H367&gt;6000,"GOLD",H367&gt;4000,"SILEVER",H367&gt;2000,"NORMAL",H367&gt;500,"BASIC")</f>
        <v>NORMAL</v>
      </c>
    </row>
    <row r="368" spans="1:10" ht="15.6" x14ac:dyDescent="0.3">
      <c r="A368" s="6">
        <v>44138</v>
      </c>
      <c r="B368" s="7" t="s">
        <v>200</v>
      </c>
      <c r="C368" s="7" t="s">
        <v>806</v>
      </c>
      <c r="D368" s="7" t="s">
        <v>817</v>
      </c>
      <c r="E368" s="7">
        <v>20</v>
      </c>
      <c r="F368" s="7" t="s">
        <v>843</v>
      </c>
      <c r="G368" s="7" t="s">
        <v>824</v>
      </c>
      <c r="H368" s="7">
        <v>8769</v>
      </c>
      <c r="I368" s="7" t="s">
        <v>850</v>
      </c>
      <c r="J368" s="8" t="str" cm="1">
        <f t="array" ref="J368">_xlfn.IFS(H368&gt;8000,"PLATINUM",H368&gt;6000,"GOLD",H368&gt;4000,"SILEVER",H368&gt;2000,"NORMAL",H368&gt;500,"BASIC")</f>
        <v>PLATINUM</v>
      </c>
    </row>
    <row r="369" spans="1:10" ht="15.6" x14ac:dyDescent="0.3">
      <c r="A369" s="6">
        <v>44711</v>
      </c>
      <c r="B369" s="7" t="s">
        <v>201</v>
      </c>
      <c r="C369" s="7" t="s">
        <v>805</v>
      </c>
      <c r="D369" s="7" t="s">
        <v>810</v>
      </c>
      <c r="E369" s="7">
        <v>19</v>
      </c>
      <c r="F369" s="7" t="s">
        <v>842</v>
      </c>
      <c r="G369" s="7" t="s">
        <v>826</v>
      </c>
      <c r="H369" s="7">
        <v>9057</v>
      </c>
      <c r="I369" s="7" t="s">
        <v>854</v>
      </c>
      <c r="J369" s="8" t="str" cm="1">
        <f t="array" ref="J369">_xlfn.IFS(H369&gt;8000,"PLATINUM",H369&gt;6000,"GOLD",H369&gt;4000,"SILEVER",H369&gt;2000,"NORMAL",H369&gt;500,"BASIC")</f>
        <v>PLATINUM</v>
      </c>
    </row>
    <row r="370" spans="1:10" ht="15.6" x14ac:dyDescent="0.3">
      <c r="A370" s="6">
        <v>44711</v>
      </c>
      <c r="B370" s="7" t="s">
        <v>201</v>
      </c>
      <c r="C370" s="7" t="s">
        <v>807</v>
      </c>
      <c r="D370" s="7" t="s">
        <v>813</v>
      </c>
      <c r="E370" s="7">
        <v>11</v>
      </c>
      <c r="F370" s="7" t="s">
        <v>842</v>
      </c>
      <c r="G370" s="7" t="s">
        <v>826</v>
      </c>
      <c r="H370" s="7">
        <v>6864</v>
      </c>
      <c r="I370" s="7" t="s">
        <v>853</v>
      </c>
      <c r="J370" s="8" t="str" cm="1">
        <f t="array" ref="J370">_xlfn.IFS(H370&gt;8000,"PLATINUM",H370&gt;6000,"GOLD",H370&gt;4000,"SILEVER",H370&gt;2000,"NORMAL",H370&gt;500,"BASIC")</f>
        <v>GOLD</v>
      </c>
    </row>
    <row r="371" spans="1:10" ht="15.6" x14ac:dyDescent="0.3">
      <c r="A371" s="6">
        <v>44711</v>
      </c>
      <c r="B371" s="7" t="s">
        <v>201</v>
      </c>
      <c r="C371" s="7" t="s">
        <v>805</v>
      </c>
      <c r="D371" s="7" t="s">
        <v>812</v>
      </c>
      <c r="E371" s="7">
        <v>13</v>
      </c>
      <c r="F371" s="7" t="s">
        <v>842</v>
      </c>
      <c r="G371" s="7" t="s">
        <v>826</v>
      </c>
      <c r="H371" s="7">
        <v>9200</v>
      </c>
      <c r="I371" s="7" t="s">
        <v>854</v>
      </c>
      <c r="J371" s="8" t="str" cm="1">
        <f t="array" ref="J371">_xlfn.IFS(H371&gt;8000,"PLATINUM",H371&gt;6000,"GOLD",H371&gt;4000,"SILEVER",H371&gt;2000,"NORMAL",H371&gt;500,"BASIC")</f>
        <v>PLATINUM</v>
      </c>
    </row>
    <row r="372" spans="1:10" ht="15.6" x14ac:dyDescent="0.3">
      <c r="A372" s="6">
        <v>45459</v>
      </c>
      <c r="B372" s="7" t="s">
        <v>202</v>
      </c>
      <c r="C372" s="7" t="s">
        <v>805</v>
      </c>
      <c r="D372" s="7" t="s">
        <v>812</v>
      </c>
      <c r="E372" s="7">
        <v>6</v>
      </c>
      <c r="F372" s="7" t="s">
        <v>842</v>
      </c>
      <c r="G372" s="7" t="s">
        <v>826</v>
      </c>
      <c r="H372" s="7">
        <v>6113</v>
      </c>
      <c r="I372" s="7" t="s">
        <v>850</v>
      </c>
      <c r="J372" s="8" t="str" cm="1">
        <f t="array" ref="J372">_xlfn.IFS(H372&gt;8000,"PLATINUM",H372&gt;6000,"GOLD",H372&gt;4000,"SILEVER",H372&gt;2000,"NORMAL",H372&gt;500,"BASIC")</f>
        <v>GOLD</v>
      </c>
    </row>
    <row r="373" spans="1:10" ht="15.6" x14ac:dyDescent="0.3">
      <c r="A373" s="6">
        <v>45459</v>
      </c>
      <c r="B373" s="7" t="s">
        <v>202</v>
      </c>
      <c r="C373" s="7" t="s">
        <v>807</v>
      </c>
      <c r="D373" s="7" t="s">
        <v>813</v>
      </c>
      <c r="E373" s="7">
        <v>15</v>
      </c>
      <c r="F373" s="7" t="s">
        <v>842</v>
      </c>
      <c r="G373" s="7" t="s">
        <v>826</v>
      </c>
      <c r="H373" s="7">
        <v>7733</v>
      </c>
      <c r="I373" s="7" t="s">
        <v>852</v>
      </c>
      <c r="J373" s="8" t="str" cm="1">
        <f t="array" ref="J373">_xlfn.IFS(H373&gt;8000,"PLATINUM",H373&gt;6000,"GOLD",H373&gt;4000,"SILEVER",H373&gt;2000,"NORMAL",H373&gt;500,"BASIC")</f>
        <v>GOLD</v>
      </c>
    </row>
    <row r="374" spans="1:10" ht="15.6" x14ac:dyDescent="0.3">
      <c r="A374" s="6">
        <v>45459</v>
      </c>
      <c r="B374" s="7" t="s">
        <v>202</v>
      </c>
      <c r="C374" s="7" t="s">
        <v>807</v>
      </c>
      <c r="D374" s="7" t="s">
        <v>813</v>
      </c>
      <c r="E374" s="7">
        <v>14</v>
      </c>
      <c r="F374" s="7" t="s">
        <v>842</v>
      </c>
      <c r="G374" s="7" t="s">
        <v>826</v>
      </c>
      <c r="H374" s="7">
        <v>8524</v>
      </c>
      <c r="I374" s="7" t="s">
        <v>854</v>
      </c>
      <c r="J374" s="8" t="str" cm="1">
        <f t="array" ref="J374">_xlfn.IFS(H374&gt;8000,"PLATINUM",H374&gt;6000,"GOLD",H374&gt;4000,"SILEVER",H374&gt;2000,"NORMAL",H374&gt;500,"BASIC")</f>
        <v>PLATINUM</v>
      </c>
    </row>
    <row r="375" spans="1:10" ht="15.6" x14ac:dyDescent="0.3">
      <c r="A375" s="6">
        <v>45459</v>
      </c>
      <c r="B375" s="7" t="s">
        <v>202</v>
      </c>
      <c r="C375" s="7" t="s">
        <v>807</v>
      </c>
      <c r="D375" s="7" t="s">
        <v>820</v>
      </c>
      <c r="E375" s="7">
        <v>15</v>
      </c>
      <c r="F375" s="7" t="s">
        <v>842</v>
      </c>
      <c r="G375" s="7" t="s">
        <v>826</v>
      </c>
      <c r="H375" s="7">
        <v>6187</v>
      </c>
      <c r="I375" s="7" t="s">
        <v>852</v>
      </c>
      <c r="J375" s="8" t="str" cm="1">
        <f t="array" ref="J375">_xlfn.IFS(H375&gt;8000,"PLATINUM",H375&gt;6000,"GOLD",H375&gt;4000,"SILEVER",H375&gt;2000,"NORMAL",H375&gt;500,"BASIC")</f>
        <v>GOLD</v>
      </c>
    </row>
    <row r="376" spans="1:10" ht="15.6" x14ac:dyDescent="0.3">
      <c r="A376" s="6">
        <v>44757</v>
      </c>
      <c r="B376" s="7" t="s">
        <v>203</v>
      </c>
      <c r="C376" s="7" t="s">
        <v>807</v>
      </c>
      <c r="D376" s="7" t="s">
        <v>813</v>
      </c>
      <c r="E376" s="7">
        <v>18</v>
      </c>
      <c r="F376" s="7" t="s">
        <v>847</v>
      </c>
      <c r="G376" s="7" t="s">
        <v>836</v>
      </c>
      <c r="H376" s="7">
        <v>4364</v>
      </c>
      <c r="I376" s="7" t="s">
        <v>852</v>
      </c>
      <c r="J376" s="8" t="str" cm="1">
        <f t="array" ref="J376">_xlfn.IFS(H376&gt;8000,"PLATINUM",H376&gt;6000,"GOLD",H376&gt;4000,"SILEVER",H376&gt;2000,"NORMAL",H376&gt;500,"BASIC")</f>
        <v>SILEVER</v>
      </c>
    </row>
    <row r="377" spans="1:10" ht="15.6" x14ac:dyDescent="0.3">
      <c r="A377" s="6">
        <v>44757</v>
      </c>
      <c r="B377" s="7" t="s">
        <v>203</v>
      </c>
      <c r="C377" s="7" t="s">
        <v>806</v>
      </c>
      <c r="D377" s="7" t="s">
        <v>811</v>
      </c>
      <c r="E377" s="7">
        <v>12</v>
      </c>
      <c r="F377" s="7" t="s">
        <v>847</v>
      </c>
      <c r="G377" s="7" t="s">
        <v>836</v>
      </c>
      <c r="H377" s="7">
        <v>736</v>
      </c>
      <c r="I377" s="7" t="s">
        <v>852</v>
      </c>
      <c r="J377" s="8" t="str" cm="1">
        <f t="array" ref="J377">_xlfn.IFS(H377&gt;8000,"PLATINUM",H377&gt;6000,"GOLD",H377&gt;4000,"SILEVER",H377&gt;2000,"NORMAL",H377&gt;500,"BASIC")</f>
        <v>BASIC</v>
      </c>
    </row>
    <row r="378" spans="1:10" ht="15.6" x14ac:dyDescent="0.3">
      <c r="A378" s="6">
        <v>44395</v>
      </c>
      <c r="B378" s="7" t="s">
        <v>204</v>
      </c>
      <c r="C378" s="7" t="s">
        <v>806</v>
      </c>
      <c r="D378" s="7" t="s">
        <v>811</v>
      </c>
      <c r="E378" s="7">
        <v>17</v>
      </c>
      <c r="F378" s="7" t="s">
        <v>846</v>
      </c>
      <c r="G378" s="7" t="s">
        <v>831</v>
      </c>
      <c r="H378" s="7">
        <v>9905</v>
      </c>
      <c r="I378" s="7" t="s">
        <v>852</v>
      </c>
      <c r="J378" s="8" t="str" cm="1">
        <f t="array" ref="J378">_xlfn.IFS(H378&gt;8000,"PLATINUM",H378&gt;6000,"GOLD",H378&gt;4000,"SILEVER",H378&gt;2000,"NORMAL",H378&gt;500,"BASIC")</f>
        <v>PLATINUM</v>
      </c>
    </row>
    <row r="379" spans="1:10" ht="15.6" x14ac:dyDescent="0.3">
      <c r="A379" s="6">
        <v>44471</v>
      </c>
      <c r="B379" s="7" t="s">
        <v>205</v>
      </c>
      <c r="C379" s="7" t="s">
        <v>806</v>
      </c>
      <c r="D379" s="7" t="s">
        <v>811</v>
      </c>
      <c r="E379" s="7">
        <v>17</v>
      </c>
      <c r="F379" s="7" t="s">
        <v>842</v>
      </c>
      <c r="G379" s="7" t="s">
        <v>839</v>
      </c>
      <c r="H379" s="7">
        <v>9905</v>
      </c>
      <c r="I379" s="7" t="s">
        <v>852</v>
      </c>
      <c r="J379" s="8" t="str" cm="1">
        <f t="array" ref="J379">_xlfn.IFS(H379&gt;8000,"PLATINUM",H379&gt;6000,"GOLD",H379&gt;4000,"SILEVER",H379&gt;2000,"NORMAL",H379&gt;500,"BASIC")</f>
        <v>PLATINUM</v>
      </c>
    </row>
    <row r="380" spans="1:10" ht="15.6" x14ac:dyDescent="0.3">
      <c r="A380" s="6">
        <v>45398</v>
      </c>
      <c r="B380" s="7" t="s">
        <v>206</v>
      </c>
      <c r="C380" s="7" t="s">
        <v>806</v>
      </c>
      <c r="D380" s="7" t="s">
        <v>817</v>
      </c>
      <c r="E380" s="7">
        <v>9</v>
      </c>
      <c r="F380" s="7" t="s">
        <v>843</v>
      </c>
      <c r="G380" s="7" t="s">
        <v>829</v>
      </c>
      <c r="H380" s="7">
        <v>2493</v>
      </c>
      <c r="I380" s="7" t="s">
        <v>853</v>
      </c>
      <c r="J380" s="8" t="str" cm="1">
        <f t="array" ref="J380">_xlfn.IFS(H380&gt;8000,"PLATINUM",H380&gt;6000,"GOLD",H380&gt;4000,"SILEVER",H380&gt;2000,"NORMAL",H380&gt;500,"BASIC")</f>
        <v>NORMAL</v>
      </c>
    </row>
    <row r="381" spans="1:10" ht="15.6" x14ac:dyDescent="0.3">
      <c r="A381" s="6">
        <v>45398</v>
      </c>
      <c r="B381" s="7" t="s">
        <v>206</v>
      </c>
      <c r="C381" s="7" t="s">
        <v>806</v>
      </c>
      <c r="D381" s="7" t="s">
        <v>811</v>
      </c>
      <c r="E381" s="7">
        <v>1</v>
      </c>
      <c r="F381" s="7" t="s">
        <v>843</v>
      </c>
      <c r="G381" s="7" t="s">
        <v>829</v>
      </c>
      <c r="H381" s="7">
        <v>9849</v>
      </c>
      <c r="I381" s="7" t="s">
        <v>853</v>
      </c>
      <c r="J381" s="8" t="str" cm="1">
        <f t="array" ref="J381">_xlfn.IFS(H381&gt;8000,"PLATINUM",H381&gt;6000,"GOLD",H381&gt;4000,"SILEVER",H381&gt;2000,"NORMAL",H381&gt;500,"BASIC")</f>
        <v>PLATINUM</v>
      </c>
    </row>
    <row r="382" spans="1:10" ht="15.6" x14ac:dyDescent="0.3">
      <c r="A382" s="6">
        <v>44021</v>
      </c>
      <c r="B382" s="7" t="s">
        <v>207</v>
      </c>
      <c r="C382" s="7" t="s">
        <v>805</v>
      </c>
      <c r="D382" s="7" t="s">
        <v>810</v>
      </c>
      <c r="E382" s="7">
        <v>4</v>
      </c>
      <c r="F382" s="7" t="s">
        <v>843</v>
      </c>
      <c r="G382" s="7" t="s">
        <v>840</v>
      </c>
      <c r="H382" s="7">
        <v>3423</v>
      </c>
      <c r="I382" s="7" t="s">
        <v>853</v>
      </c>
      <c r="J382" s="8" t="str" cm="1">
        <f t="array" ref="J382">_xlfn.IFS(H382&gt;8000,"PLATINUM",H382&gt;6000,"GOLD",H382&gt;4000,"SILEVER",H382&gt;2000,"NORMAL",H382&gt;500,"BASIC")</f>
        <v>NORMAL</v>
      </c>
    </row>
    <row r="383" spans="1:10" ht="15.6" x14ac:dyDescent="0.3">
      <c r="A383" s="6">
        <v>44037</v>
      </c>
      <c r="B383" s="7" t="s">
        <v>208</v>
      </c>
      <c r="C383" s="7" t="s">
        <v>805</v>
      </c>
      <c r="D383" s="7" t="s">
        <v>810</v>
      </c>
      <c r="E383" s="7">
        <v>4</v>
      </c>
      <c r="F383" s="7" t="s">
        <v>846</v>
      </c>
      <c r="G383" s="7" t="s">
        <v>831</v>
      </c>
      <c r="H383" s="7">
        <v>3423</v>
      </c>
      <c r="I383" s="7" t="s">
        <v>853</v>
      </c>
      <c r="J383" s="8" t="str" cm="1">
        <f t="array" ref="J383">_xlfn.IFS(H383&gt;8000,"PLATINUM",H383&gt;6000,"GOLD",H383&gt;4000,"SILEVER",H383&gt;2000,"NORMAL",H383&gt;500,"BASIC")</f>
        <v>NORMAL</v>
      </c>
    </row>
    <row r="384" spans="1:10" ht="15.6" x14ac:dyDescent="0.3">
      <c r="A384" s="6">
        <v>45315</v>
      </c>
      <c r="B384" s="7" t="s">
        <v>209</v>
      </c>
      <c r="C384" s="7" t="s">
        <v>805</v>
      </c>
      <c r="D384" s="7" t="s">
        <v>810</v>
      </c>
      <c r="E384" s="7">
        <v>4</v>
      </c>
      <c r="F384" s="7" t="s">
        <v>846</v>
      </c>
      <c r="G384" s="7" t="s">
        <v>833</v>
      </c>
      <c r="H384" s="7">
        <v>3423</v>
      </c>
      <c r="I384" s="7" t="s">
        <v>853</v>
      </c>
      <c r="J384" s="8" t="str" cm="1">
        <f t="array" ref="J384">_xlfn.IFS(H384&gt;8000,"PLATINUM",H384&gt;6000,"GOLD",H384&gt;4000,"SILEVER",H384&gt;2000,"NORMAL",H384&gt;500,"BASIC")</f>
        <v>NORMAL</v>
      </c>
    </row>
    <row r="385" spans="1:10" ht="15.6" x14ac:dyDescent="0.3">
      <c r="A385" s="6">
        <v>43955</v>
      </c>
      <c r="B385" s="7" t="s">
        <v>210</v>
      </c>
      <c r="C385" s="7" t="s">
        <v>805</v>
      </c>
      <c r="D385" s="7" t="s">
        <v>810</v>
      </c>
      <c r="E385" s="7">
        <v>4</v>
      </c>
      <c r="F385" s="7" t="s">
        <v>846</v>
      </c>
      <c r="G385" s="7" t="s">
        <v>831</v>
      </c>
      <c r="H385" s="7">
        <v>3423</v>
      </c>
      <c r="I385" s="7" t="s">
        <v>853</v>
      </c>
      <c r="J385" s="8" t="str" cm="1">
        <f t="array" ref="J385">_xlfn.IFS(H385&gt;8000,"PLATINUM",H385&gt;6000,"GOLD",H385&gt;4000,"SILEVER",H385&gt;2000,"NORMAL",H385&gt;500,"BASIC")</f>
        <v>NORMAL</v>
      </c>
    </row>
    <row r="386" spans="1:10" ht="15.6" x14ac:dyDescent="0.3">
      <c r="A386" s="6">
        <v>44513</v>
      </c>
      <c r="B386" s="7" t="s">
        <v>211</v>
      </c>
      <c r="C386" s="7" t="s">
        <v>805</v>
      </c>
      <c r="D386" s="7" t="s">
        <v>810</v>
      </c>
      <c r="E386" s="7">
        <v>4</v>
      </c>
      <c r="F386" s="7" t="s">
        <v>847</v>
      </c>
      <c r="G386" s="7" t="s">
        <v>836</v>
      </c>
      <c r="H386" s="7">
        <v>3423</v>
      </c>
      <c r="I386" s="7" t="s">
        <v>853</v>
      </c>
      <c r="J386" s="8" t="str" cm="1">
        <f t="array" ref="J386">_xlfn.IFS(H386&gt;8000,"PLATINUM",H386&gt;6000,"GOLD",H386&gt;4000,"SILEVER",H386&gt;2000,"NORMAL",H386&gt;500,"BASIC")</f>
        <v>NORMAL</v>
      </c>
    </row>
    <row r="387" spans="1:10" ht="15.6" x14ac:dyDescent="0.3">
      <c r="A387" s="6">
        <v>45206</v>
      </c>
      <c r="B387" s="7" t="s">
        <v>212</v>
      </c>
      <c r="C387" s="7" t="s">
        <v>807</v>
      </c>
      <c r="D387" s="7" t="s">
        <v>814</v>
      </c>
      <c r="E387" s="7">
        <v>9</v>
      </c>
      <c r="F387" s="7" t="s">
        <v>843</v>
      </c>
      <c r="G387" s="7" t="s">
        <v>829</v>
      </c>
      <c r="H387" s="7">
        <v>3900</v>
      </c>
      <c r="I387" s="7" t="s">
        <v>854</v>
      </c>
      <c r="J387" s="8" t="str" cm="1">
        <f t="array" ref="J387">_xlfn.IFS(H387&gt;8000,"PLATINUM",H387&gt;6000,"GOLD",H387&gt;4000,"SILEVER",H387&gt;2000,"NORMAL",H387&gt;500,"BASIC")</f>
        <v>NORMAL</v>
      </c>
    </row>
    <row r="388" spans="1:10" ht="15.6" x14ac:dyDescent="0.3">
      <c r="A388" s="6">
        <v>44492</v>
      </c>
      <c r="B388" s="7" t="s">
        <v>213</v>
      </c>
      <c r="C388" s="7" t="s">
        <v>805</v>
      </c>
      <c r="D388" s="7" t="s">
        <v>809</v>
      </c>
      <c r="E388" s="7">
        <v>11</v>
      </c>
      <c r="F388" s="7" t="s">
        <v>844</v>
      </c>
      <c r="G388" s="7" t="s">
        <v>830</v>
      </c>
      <c r="H388" s="7">
        <v>8568</v>
      </c>
      <c r="I388" s="7" t="s">
        <v>850</v>
      </c>
      <c r="J388" s="8" t="str" cm="1">
        <f t="array" ref="J388">_xlfn.IFS(H388&gt;8000,"PLATINUM",H388&gt;6000,"GOLD",H388&gt;4000,"SILEVER",H388&gt;2000,"NORMAL",H388&gt;500,"BASIC")</f>
        <v>PLATINUM</v>
      </c>
    </row>
    <row r="389" spans="1:10" ht="15.6" x14ac:dyDescent="0.3">
      <c r="A389" s="6">
        <v>44492</v>
      </c>
      <c r="B389" s="7" t="s">
        <v>213</v>
      </c>
      <c r="C389" s="7" t="s">
        <v>806</v>
      </c>
      <c r="D389" s="7" t="s">
        <v>811</v>
      </c>
      <c r="E389" s="7">
        <v>6</v>
      </c>
      <c r="F389" s="7" t="s">
        <v>844</v>
      </c>
      <c r="G389" s="7" t="s">
        <v>830</v>
      </c>
      <c r="H389" s="7">
        <v>3283</v>
      </c>
      <c r="I389" s="7" t="s">
        <v>852</v>
      </c>
      <c r="J389" s="8" t="str" cm="1">
        <f t="array" ref="J389">_xlfn.IFS(H389&gt;8000,"PLATINUM",H389&gt;6000,"GOLD",H389&gt;4000,"SILEVER",H389&gt;2000,"NORMAL",H389&gt;500,"BASIC")</f>
        <v>NORMAL</v>
      </c>
    </row>
    <row r="390" spans="1:10" ht="15.6" x14ac:dyDescent="0.3">
      <c r="A390" s="6">
        <v>44760</v>
      </c>
      <c r="B390" s="7" t="s">
        <v>214</v>
      </c>
      <c r="C390" s="7" t="s">
        <v>805</v>
      </c>
      <c r="D390" s="7" t="s">
        <v>809</v>
      </c>
      <c r="E390" s="7">
        <v>19</v>
      </c>
      <c r="F390" s="7" t="s">
        <v>846</v>
      </c>
      <c r="G390" s="7" t="s">
        <v>831</v>
      </c>
      <c r="H390" s="7">
        <v>7643</v>
      </c>
      <c r="I390" s="7" t="s">
        <v>852</v>
      </c>
      <c r="J390" s="8" t="str" cm="1">
        <f t="array" ref="J390">_xlfn.IFS(H390&gt;8000,"PLATINUM",H390&gt;6000,"GOLD",H390&gt;4000,"SILEVER",H390&gt;2000,"NORMAL",H390&gt;500,"BASIC")</f>
        <v>GOLD</v>
      </c>
    </row>
    <row r="391" spans="1:10" ht="15.6" x14ac:dyDescent="0.3">
      <c r="A391" s="6">
        <v>45527</v>
      </c>
      <c r="B391" s="7" t="s">
        <v>215</v>
      </c>
      <c r="C391" s="7" t="s">
        <v>807</v>
      </c>
      <c r="D391" s="7" t="s">
        <v>816</v>
      </c>
      <c r="E391" s="7">
        <v>15</v>
      </c>
      <c r="F391" s="7" t="s">
        <v>843</v>
      </c>
      <c r="G391" s="7" t="s">
        <v>824</v>
      </c>
      <c r="H391" s="7">
        <v>3461</v>
      </c>
      <c r="I391" s="7" t="s">
        <v>852</v>
      </c>
      <c r="J391" s="8" t="str" cm="1">
        <f t="array" ref="J391">_xlfn.IFS(H391&gt;8000,"PLATINUM",H391&gt;6000,"GOLD",H391&gt;4000,"SILEVER",H391&gt;2000,"NORMAL",H391&gt;500,"BASIC")</f>
        <v>NORMAL</v>
      </c>
    </row>
    <row r="392" spans="1:10" ht="15.6" x14ac:dyDescent="0.3">
      <c r="A392" s="6">
        <v>45527</v>
      </c>
      <c r="B392" s="7" t="s">
        <v>215</v>
      </c>
      <c r="C392" s="7" t="s">
        <v>805</v>
      </c>
      <c r="D392" s="7" t="s">
        <v>809</v>
      </c>
      <c r="E392" s="7">
        <v>6</v>
      </c>
      <c r="F392" s="7" t="s">
        <v>843</v>
      </c>
      <c r="G392" s="7" t="s">
        <v>824</v>
      </c>
      <c r="H392" s="7">
        <v>5714</v>
      </c>
      <c r="I392" s="7" t="s">
        <v>853</v>
      </c>
      <c r="J392" s="8" t="str" cm="1">
        <f t="array" ref="J392">_xlfn.IFS(H392&gt;8000,"PLATINUM",H392&gt;6000,"GOLD",H392&gt;4000,"SILEVER",H392&gt;2000,"NORMAL",H392&gt;500,"BASIC")</f>
        <v>SILEVER</v>
      </c>
    </row>
    <row r="393" spans="1:10" ht="15.6" x14ac:dyDescent="0.3">
      <c r="A393" s="6">
        <v>45527</v>
      </c>
      <c r="B393" s="7" t="s">
        <v>215</v>
      </c>
      <c r="C393" s="7" t="s">
        <v>806</v>
      </c>
      <c r="D393" s="7" t="s">
        <v>818</v>
      </c>
      <c r="E393" s="7">
        <v>10</v>
      </c>
      <c r="F393" s="7" t="s">
        <v>843</v>
      </c>
      <c r="G393" s="7" t="s">
        <v>824</v>
      </c>
      <c r="H393" s="7">
        <v>3853</v>
      </c>
      <c r="I393" s="7" t="s">
        <v>854</v>
      </c>
      <c r="J393" s="8" t="str" cm="1">
        <f t="array" ref="J393">_xlfn.IFS(H393&gt;8000,"PLATINUM",H393&gt;6000,"GOLD",H393&gt;4000,"SILEVER",H393&gt;2000,"NORMAL",H393&gt;500,"BASIC")</f>
        <v>NORMAL</v>
      </c>
    </row>
    <row r="394" spans="1:10" ht="15.6" x14ac:dyDescent="0.3">
      <c r="A394" s="6">
        <v>44132</v>
      </c>
      <c r="B394" s="7" t="s">
        <v>216</v>
      </c>
      <c r="C394" s="7" t="s">
        <v>806</v>
      </c>
      <c r="D394" s="7" t="s">
        <v>811</v>
      </c>
      <c r="E394" s="7">
        <v>20</v>
      </c>
      <c r="F394" s="7" t="s">
        <v>843</v>
      </c>
      <c r="G394" s="7" t="s">
        <v>824</v>
      </c>
      <c r="H394" s="7">
        <v>6016</v>
      </c>
      <c r="I394" s="7" t="s">
        <v>850</v>
      </c>
      <c r="J394" s="8" t="str" cm="1">
        <f t="array" ref="J394">_xlfn.IFS(H394&gt;8000,"PLATINUM",H394&gt;6000,"GOLD",H394&gt;4000,"SILEVER",H394&gt;2000,"NORMAL",H394&gt;500,"BASIC")</f>
        <v>GOLD</v>
      </c>
    </row>
    <row r="395" spans="1:10" ht="15.6" x14ac:dyDescent="0.3">
      <c r="A395" s="6">
        <v>45458</v>
      </c>
      <c r="B395" s="7" t="s">
        <v>217</v>
      </c>
      <c r="C395" s="7" t="s">
        <v>806</v>
      </c>
      <c r="D395" s="7" t="s">
        <v>815</v>
      </c>
      <c r="E395" s="7">
        <v>12</v>
      </c>
      <c r="F395" s="7" t="s">
        <v>844</v>
      </c>
      <c r="G395" s="7" t="s">
        <v>825</v>
      </c>
      <c r="H395" s="7">
        <v>1290</v>
      </c>
      <c r="I395" s="7" t="s">
        <v>850</v>
      </c>
      <c r="J395" s="8" t="str" cm="1">
        <f t="array" ref="J395">_xlfn.IFS(H395&gt;8000,"PLATINUM",H395&gt;6000,"GOLD",H395&gt;4000,"SILEVER",H395&gt;2000,"NORMAL",H395&gt;500,"BASIC")</f>
        <v>BASIC</v>
      </c>
    </row>
    <row r="396" spans="1:10" ht="15.6" x14ac:dyDescent="0.3">
      <c r="A396" s="6">
        <v>45645</v>
      </c>
      <c r="B396" s="7" t="s">
        <v>218</v>
      </c>
      <c r="C396" s="7" t="s">
        <v>806</v>
      </c>
      <c r="D396" s="7" t="s">
        <v>815</v>
      </c>
      <c r="E396" s="7">
        <v>12</v>
      </c>
      <c r="F396" s="7" t="s">
        <v>845</v>
      </c>
      <c r="G396" s="7" t="s">
        <v>834</v>
      </c>
      <c r="H396" s="7">
        <v>1290</v>
      </c>
      <c r="I396" s="7" t="s">
        <v>850</v>
      </c>
      <c r="J396" s="8" t="str" cm="1">
        <f t="array" ref="J396">_xlfn.IFS(H396&gt;8000,"PLATINUM",H396&gt;6000,"GOLD",H396&gt;4000,"SILEVER",H396&gt;2000,"NORMAL",H396&gt;500,"BASIC")</f>
        <v>BASIC</v>
      </c>
    </row>
    <row r="397" spans="1:10" ht="15.6" x14ac:dyDescent="0.3">
      <c r="A397" s="6">
        <v>44078</v>
      </c>
      <c r="B397" s="7" t="s">
        <v>219</v>
      </c>
      <c r="C397" s="7" t="s">
        <v>805</v>
      </c>
      <c r="D397" s="7" t="s">
        <v>810</v>
      </c>
      <c r="E397" s="7">
        <v>10</v>
      </c>
      <c r="F397" s="7" t="s">
        <v>843</v>
      </c>
      <c r="G397" s="7" t="s">
        <v>829</v>
      </c>
      <c r="H397" s="7">
        <v>4569</v>
      </c>
      <c r="I397" s="7" t="s">
        <v>850</v>
      </c>
      <c r="J397" s="8" t="str" cm="1">
        <f t="array" ref="J397">_xlfn.IFS(H397&gt;8000,"PLATINUM",H397&gt;6000,"GOLD",H397&gt;4000,"SILEVER",H397&gt;2000,"NORMAL",H397&gt;500,"BASIC")</f>
        <v>SILEVER</v>
      </c>
    </row>
    <row r="398" spans="1:10" ht="15.6" x14ac:dyDescent="0.3">
      <c r="A398" s="6">
        <v>44667</v>
      </c>
      <c r="B398" s="7" t="s">
        <v>220</v>
      </c>
      <c r="C398" s="7" t="s">
        <v>807</v>
      </c>
      <c r="D398" s="7" t="s">
        <v>820</v>
      </c>
      <c r="E398" s="7">
        <v>16</v>
      </c>
      <c r="F398" s="7" t="s">
        <v>842</v>
      </c>
      <c r="G398" s="7" t="s">
        <v>826</v>
      </c>
      <c r="H398" s="7">
        <v>3083</v>
      </c>
      <c r="I398" s="7" t="s">
        <v>851</v>
      </c>
      <c r="J398" s="8" t="str" cm="1">
        <f t="array" ref="J398">_xlfn.IFS(H398&gt;8000,"PLATINUM",H398&gt;6000,"GOLD",H398&gt;4000,"SILEVER",H398&gt;2000,"NORMAL",H398&gt;500,"BASIC")</f>
        <v>NORMAL</v>
      </c>
    </row>
    <row r="399" spans="1:10" ht="15.6" x14ac:dyDescent="0.3">
      <c r="A399" s="6">
        <v>45533</v>
      </c>
      <c r="B399" s="7" t="s">
        <v>221</v>
      </c>
      <c r="C399" s="7" t="s">
        <v>806</v>
      </c>
      <c r="D399" s="7" t="s">
        <v>811</v>
      </c>
      <c r="E399" s="7">
        <v>15</v>
      </c>
      <c r="F399" s="7" t="s">
        <v>847</v>
      </c>
      <c r="G399" s="7" t="s">
        <v>837</v>
      </c>
      <c r="H399" s="7">
        <v>3522</v>
      </c>
      <c r="I399" s="7" t="s">
        <v>853</v>
      </c>
      <c r="J399" s="8" t="str" cm="1">
        <f t="array" ref="J399">_xlfn.IFS(H399&gt;8000,"PLATINUM",H399&gt;6000,"GOLD",H399&gt;4000,"SILEVER",H399&gt;2000,"NORMAL",H399&gt;500,"BASIC")</f>
        <v>NORMAL</v>
      </c>
    </row>
    <row r="400" spans="1:10" ht="15.6" x14ac:dyDescent="0.3">
      <c r="A400" s="6">
        <v>44575</v>
      </c>
      <c r="B400" s="7" t="s">
        <v>222</v>
      </c>
      <c r="C400" s="7" t="s">
        <v>806</v>
      </c>
      <c r="D400" s="7" t="s">
        <v>811</v>
      </c>
      <c r="E400" s="7">
        <v>15</v>
      </c>
      <c r="F400" s="7" t="s">
        <v>845</v>
      </c>
      <c r="G400" s="7" t="s">
        <v>827</v>
      </c>
      <c r="H400" s="7">
        <v>3522</v>
      </c>
      <c r="I400" s="7" t="s">
        <v>853</v>
      </c>
      <c r="J400" s="8" t="str" cm="1">
        <f t="array" ref="J400">_xlfn.IFS(H400&gt;8000,"PLATINUM",H400&gt;6000,"GOLD",H400&gt;4000,"SILEVER",H400&gt;2000,"NORMAL",H400&gt;500,"BASIC")</f>
        <v>NORMAL</v>
      </c>
    </row>
    <row r="401" spans="1:10" ht="15.6" x14ac:dyDescent="0.3">
      <c r="A401" s="6">
        <v>45389</v>
      </c>
      <c r="B401" s="7" t="s">
        <v>223</v>
      </c>
      <c r="C401" s="7" t="s">
        <v>806</v>
      </c>
      <c r="D401" s="7" t="s">
        <v>818</v>
      </c>
      <c r="E401" s="7">
        <v>3</v>
      </c>
      <c r="F401" s="7" t="s">
        <v>846</v>
      </c>
      <c r="G401" s="7" t="s">
        <v>838</v>
      </c>
      <c r="H401" s="7">
        <v>7301</v>
      </c>
      <c r="I401" s="7" t="s">
        <v>851</v>
      </c>
      <c r="J401" s="8" t="str" cm="1">
        <f t="array" ref="J401">_xlfn.IFS(H401&gt;8000,"PLATINUM",H401&gt;6000,"GOLD",H401&gt;4000,"SILEVER",H401&gt;2000,"NORMAL",H401&gt;500,"BASIC")</f>
        <v>GOLD</v>
      </c>
    </row>
    <row r="402" spans="1:10" ht="15.6" x14ac:dyDescent="0.3">
      <c r="A402" s="6">
        <v>44675</v>
      </c>
      <c r="B402" s="7" t="s">
        <v>224</v>
      </c>
      <c r="C402" s="7" t="s">
        <v>805</v>
      </c>
      <c r="D402" s="7" t="s">
        <v>812</v>
      </c>
      <c r="E402" s="7">
        <v>8</v>
      </c>
      <c r="F402" s="7" t="s">
        <v>843</v>
      </c>
      <c r="G402" s="7" t="s">
        <v>829</v>
      </c>
      <c r="H402" s="7">
        <v>4462</v>
      </c>
      <c r="I402" s="7" t="s">
        <v>854</v>
      </c>
      <c r="J402" s="8" t="str" cm="1">
        <f t="array" ref="J402">_xlfn.IFS(H402&gt;8000,"PLATINUM",H402&gt;6000,"GOLD",H402&gt;4000,"SILEVER",H402&gt;2000,"NORMAL",H402&gt;500,"BASIC")</f>
        <v>SILEVER</v>
      </c>
    </row>
    <row r="403" spans="1:10" ht="15.6" x14ac:dyDescent="0.3">
      <c r="A403" s="6">
        <v>44675</v>
      </c>
      <c r="B403" s="7" t="s">
        <v>224</v>
      </c>
      <c r="C403" s="7" t="s">
        <v>805</v>
      </c>
      <c r="D403" s="7" t="s">
        <v>819</v>
      </c>
      <c r="E403" s="7">
        <v>17</v>
      </c>
      <c r="F403" s="7" t="s">
        <v>843</v>
      </c>
      <c r="G403" s="7" t="s">
        <v>829</v>
      </c>
      <c r="H403" s="7">
        <v>6212</v>
      </c>
      <c r="I403" s="7" t="s">
        <v>854</v>
      </c>
      <c r="J403" s="8" t="str" cm="1">
        <f t="array" ref="J403">_xlfn.IFS(H403&gt;8000,"PLATINUM",H403&gt;6000,"GOLD",H403&gt;4000,"SILEVER",H403&gt;2000,"NORMAL",H403&gt;500,"BASIC")</f>
        <v>GOLD</v>
      </c>
    </row>
    <row r="404" spans="1:10" ht="15.6" x14ac:dyDescent="0.3">
      <c r="A404" s="6">
        <v>44070</v>
      </c>
      <c r="B404" s="7" t="s">
        <v>225</v>
      </c>
      <c r="C404" s="7" t="s">
        <v>807</v>
      </c>
      <c r="D404" s="7" t="s">
        <v>820</v>
      </c>
      <c r="E404" s="7">
        <v>3</v>
      </c>
      <c r="F404" s="7" t="s">
        <v>842</v>
      </c>
      <c r="G404" s="7" t="s">
        <v>839</v>
      </c>
      <c r="H404" s="7">
        <v>4027</v>
      </c>
      <c r="I404" s="7" t="s">
        <v>852</v>
      </c>
      <c r="J404" s="8" t="str" cm="1">
        <f t="array" ref="J404">_xlfn.IFS(H404&gt;8000,"PLATINUM",H404&gt;6000,"GOLD",H404&gt;4000,"SILEVER",H404&gt;2000,"NORMAL",H404&gt;500,"BASIC")</f>
        <v>SILEVER</v>
      </c>
    </row>
    <row r="405" spans="1:10" ht="15.6" x14ac:dyDescent="0.3">
      <c r="A405" s="6">
        <v>44986</v>
      </c>
      <c r="B405" s="7" t="s">
        <v>226</v>
      </c>
      <c r="C405" s="7" t="s">
        <v>805</v>
      </c>
      <c r="D405" s="7" t="s">
        <v>812</v>
      </c>
      <c r="E405" s="7">
        <v>14</v>
      </c>
      <c r="F405" s="7" t="s">
        <v>847</v>
      </c>
      <c r="G405" s="7" t="s">
        <v>837</v>
      </c>
      <c r="H405" s="7">
        <v>1676</v>
      </c>
      <c r="I405" s="7" t="s">
        <v>852</v>
      </c>
      <c r="J405" s="8" t="str" cm="1">
        <f t="array" ref="J405">_xlfn.IFS(H405&gt;8000,"PLATINUM",H405&gt;6000,"GOLD",H405&gt;4000,"SILEVER",H405&gt;2000,"NORMAL",H405&gt;500,"BASIC")</f>
        <v>BASIC</v>
      </c>
    </row>
    <row r="406" spans="1:10" ht="15.6" x14ac:dyDescent="0.3">
      <c r="A406" s="6">
        <v>44986</v>
      </c>
      <c r="B406" s="7" t="s">
        <v>226</v>
      </c>
      <c r="C406" s="7" t="s">
        <v>807</v>
      </c>
      <c r="D406" s="7" t="s">
        <v>820</v>
      </c>
      <c r="E406" s="7">
        <v>12</v>
      </c>
      <c r="F406" s="7" t="s">
        <v>847</v>
      </c>
      <c r="G406" s="7" t="s">
        <v>837</v>
      </c>
      <c r="H406" s="7">
        <v>3927</v>
      </c>
      <c r="I406" s="7" t="s">
        <v>854</v>
      </c>
      <c r="J406" s="8" t="str" cm="1">
        <f t="array" ref="J406">_xlfn.IFS(H406&gt;8000,"PLATINUM",H406&gt;6000,"GOLD",H406&gt;4000,"SILEVER",H406&gt;2000,"NORMAL",H406&gt;500,"BASIC")</f>
        <v>NORMAL</v>
      </c>
    </row>
    <row r="407" spans="1:10" ht="15.6" x14ac:dyDescent="0.3">
      <c r="A407" s="6">
        <v>44986</v>
      </c>
      <c r="B407" s="7" t="s">
        <v>226</v>
      </c>
      <c r="C407" s="7" t="s">
        <v>805</v>
      </c>
      <c r="D407" s="7" t="s">
        <v>819</v>
      </c>
      <c r="E407" s="7">
        <v>9</v>
      </c>
      <c r="F407" s="7" t="s">
        <v>847</v>
      </c>
      <c r="G407" s="7" t="s">
        <v>837</v>
      </c>
      <c r="H407" s="7">
        <v>2776</v>
      </c>
      <c r="I407" s="7" t="s">
        <v>851</v>
      </c>
      <c r="J407" s="8" t="str" cm="1">
        <f t="array" ref="J407">_xlfn.IFS(H407&gt;8000,"PLATINUM",H407&gt;6000,"GOLD",H407&gt;4000,"SILEVER",H407&gt;2000,"NORMAL",H407&gt;500,"BASIC")</f>
        <v>NORMAL</v>
      </c>
    </row>
    <row r="408" spans="1:10" ht="15.6" x14ac:dyDescent="0.3">
      <c r="A408" s="6">
        <v>44106</v>
      </c>
      <c r="B408" s="7" t="s">
        <v>227</v>
      </c>
      <c r="C408" s="7" t="s">
        <v>807</v>
      </c>
      <c r="D408" s="7" t="s">
        <v>816</v>
      </c>
      <c r="E408" s="7">
        <v>12</v>
      </c>
      <c r="F408" s="7" t="s">
        <v>843</v>
      </c>
      <c r="G408" s="7" t="s">
        <v>824</v>
      </c>
      <c r="H408" s="7">
        <v>7684</v>
      </c>
      <c r="I408" s="7" t="s">
        <v>854</v>
      </c>
      <c r="J408" s="8" t="str" cm="1">
        <f t="array" ref="J408">_xlfn.IFS(H408&gt;8000,"PLATINUM",H408&gt;6000,"GOLD",H408&gt;4000,"SILEVER",H408&gt;2000,"NORMAL",H408&gt;500,"BASIC")</f>
        <v>GOLD</v>
      </c>
    </row>
    <row r="409" spans="1:10" ht="15.6" x14ac:dyDescent="0.3">
      <c r="A409" s="6">
        <v>44005</v>
      </c>
      <c r="B409" s="7" t="s">
        <v>228</v>
      </c>
      <c r="C409" s="7" t="s">
        <v>807</v>
      </c>
      <c r="D409" s="7" t="s">
        <v>816</v>
      </c>
      <c r="E409" s="7">
        <v>12</v>
      </c>
      <c r="F409" s="7" t="s">
        <v>844</v>
      </c>
      <c r="G409" s="7" t="s">
        <v>825</v>
      </c>
      <c r="H409" s="7">
        <v>7684</v>
      </c>
      <c r="I409" s="7" t="s">
        <v>854</v>
      </c>
      <c r="J409" s="8" t="str" cm="1">
        <f t="array" ref="J409">_xlfn.IFS(H409&gt;8000,"PLATINUM",H409&gt;6000,"GOLD",H409&gt;4000,"SILEVER",H409&gt;2000,"NORMAL",H409&gt;500,"BASIC")</f>
        <v>GOLD</v>
      </c>
    </row>
    <row r="410" spans="1:10" ht="15.6" x14ac:dyDescent="0.3">
      <c r="A410" s="6">
        <v>45159</v>
      </c>
      <c r="B410" s="7" t="s">
        <v>229</v>
      </c>
      <c r="C410" s="7" t="s">
        <v>807</v>
      </c>
      <c r="D410" s="7" t="s">
        <v>816</v>
      </c>
      <c r="E410" s="7">
        <v>12</v>
      </c>
      <c r="F410" s="7" t="s">
        <v>847</v>
      </c>
      <c r="G410" s="7" t="s">
        <v>835</v>
      </c>
      <c r="H410" s="7">
        <v>7684</v>
      </c>
      <c r="I410" s="7" t="s">
        <v>854</v>
      </c>
      <c r="J410" s="8" t="str" cm="1">
        <f t="array" ref="J410">_xlfn.IFS(H410&gt;8000,"PLATINUM",H410&gt;6000,"GOLD",H410&gt;4000,"SILEVER",H410&gt;2000,"NORMAL",H410&gt;500,"BASIC")</f>
        <v>GOLD</v>
      </c>
    </row>
    <row r="411" spans="1:10" ht="15.6" x14ac:dyDescent="0.3">
      <c r="A411" s="6">
        <v>44758</v>
      </c>
      <c r="B411" s="7" t="s">
        <v>230</v>
      </c>
      <c r="C411" s="7" t="s">
        <v>805</v>
      </c>
      <c r="D411" s="7" t="s">
        <v>819</v>
      </c>
      <c r="E411" s="7">
        <v>17</v>
      </c>
      <c r="F411" s="7" t="s">
        <v>842</v>
      </c>
      <c r="G411" s="7" t="s">
        <v>823</v>
      </c>
      <c r="H411" s="7">
        <v>6008</v>
      </c>
      <c r="I411" s="7" t="s">
        <v>853</v>
      </c>
      <c r="J411" s="8" t="str" cm="1">
        <f t="array" ref="J411">_xlfn.IFS(H411&gt;8000,"PLATINUM",H411&gt;6000,"GOLD",H411&gt;4000,"SILEVER",H411&gt;2000,"NORMAL",H411&gt;500,"BASIC")</f>
        <v>GOLD</v>
      </c>
    </row>
    <row r="412" spans="1:10" ht="15.6" x14ac:dyDescent="0.3">
      <c r="A412" s="6">
        <v>44774</v>
      </c>
      <c r="B412" s="7" t="s">
        <v>231</v>
      </c>
      <c r="C412" s="7" t="s">
        <v>807</v>
      </c>
      <c r="D412" s="7" t="s">
        <v>820</v>
      </c>
      <c r="E412" s="7">
        <v>20</v>
      </c>
      <c r="F412" s="7" t="s">
        <v>846</v>
      </c>
      <c r="G412" s="7" t="s">
        <v>831</v>
      </c>
      <c r="H412" s="7">
        <v>7344</v>
      </c>
      <c r="I412" s="7" t="s">
        <v>854</v>
      </c>
      <c r="J412" s="8" t="str" cm="1">
        <f t="array" ref="J412">_xlfn.IFS(H412&gt;8000,"PLATINUM",H412&gt;6000,"GOLD",H412&gt;4000,"SILEVER",H412&gt;2000,"NORMAL",H412&gt;500,"BASIC")</f>
        <v>GOLD</v>
      </c>
    </row>
    <row r="413" spans="1:10" ht="15.6" x14ac:dyDescent="0.3">
      <c r="A413" s="6">
        <v>44028</v>
      </c>
      <c r="B413" s="7" t="s">
        <v>232</v>
      </c>
      <c r="C413" s="7" t="s">
        <v>806</v>
      </c>
      <c r="D413" s="7" t="s">
        <v>811</v>
      </c>
      <c r="E413" s="7">
        <v>20</v>
      </c>
      <c r="F413" s="7" t="s">
        <v>842</v>
      </c>
      <c r="G413" s="7" t="s">
        <v>826</v>
      </c>
      <c r="H413" s="7">
        <v>6932</v>
      </c>
      <c r="I413" s="7" t="s">
        <v>854</v>
      </c>
      <c r="J413" s="8" t="str" cm="1">
        <f t="array" ref="J413">_xlfn.IFS(H413&gt;8000,"PLATINUM",H413&gt;6000,"GOLD",H413&gt;4000,"SILEVER",H413&gt;2000,"NORMAL",H413&gt;500,"BASIC")</f>
        <v>GOLD</v>
      </c>
    </row>
    <row r="414" spans="1:10" ht="15.6" x14ac:dyDescent="0.3">
      <c r="A414" s="6">
        <v>43953</v>
      </c>
      <c r="B414" s="7" t="s">
        <v>233</v>
      </c>
      <c r="C414" s="7" t="s">
        <v>805</v>
      </c>
      <c r="D414" s="7" t="s">
        <v>809</v>
      </c>
      <c r="E414" s="7">
        <v>16</v>
      </c>
      <c r="F414" s="7" t="s">
        <v>847</v>
      </c>
      <c r="G414" s="7" t="s">
        <v>836</v>
      </c>
      <c r="H414" s="7">
        <v>7748</v>
      </c>
      <c r="I414" s="7" t="s">
        <v>852</v>
      </c>
      <c r="J414" s="8" t="str" cm="1">
        <f t="array" ref="J414">_xlfn.IFS(H414&gt;8000,"PLATINUM",H414&gt;6000,"GOLD",H414&gt;4000,"SILEVER",H414&gt;2000,"NORMAL",H414&gt;500,"BASIC")</f>
        <v>GOLD</v>
      </c>
    </row>
    <row r="415" spans="1:10" ht="15.6" x14ac:dyDescent="0.3">
      <c r="A415" s="6">
        <v>43953</v>
      </c>
      <c r="B415" s="7" t="s">
        <v>233</v>
      </c>
      <c r="C415" s="7" t="s">
        <v>806</v>
      </c>
      <c r="D415" s="7" t="s">
        <v>815</v>
      </c>
      <c r="E415" s="7">
        <v>20</v>
      </c>
      <c r="F415" s="7" t="s">
        <v>847</v>
      </c>
      <c r="G415" s="7" t="s">
        <v>836</v>
      </c>
      <c r="H415" s="7">
        <v>6381</v>
      </c>
      <c r="I415" s="7" t="s">
        <v>850</v>
      </c>
      <c r="J415" s="8" t="str" cm="1">
        <f t="array" ref="J415">_xlfn.IFS(H415&gt;8000,"PLATINUM",H415&gt;6000,"GOLD",H415&gt;4000,"SILEVER",H415&gt;2000,"NORMAL",H415&gt;500,"BASIC")</f>
        <v>GOLD</v>
      </c>
    </row>
    <row r="416" spans="1:10" ht="15.6" x14ac:dyDescent="0.3">
      <c r="A416" s="6">
        <v>43953</v>
      </c>
      <c r="B416" s="7" t="s">
        <v>233</v>
      </c>
      <c r="C416" s="7" t="s">
        <v>805</v>
      </c>
      <c r="D416" s="7" t="s">
        <v>819</v>
      </c>
      <c r="E416" s="7">
        <v>6</v>
      </c>
      <c r="F416" s="7" t="s">
        <v>847</v>
      </c>
      <c r="G416" s="7" t="s">
        <v>836</v>
      </c>
      <c r="H416" s="7">
        <v>992</v>
      </c>
      <c r="I416" s="7" t="s">
        <v>853</v>
      </c>
      <c r="J416" s="8" t="str" cm="1">
        <f t="array" ref="J416">_xlfn.IFS(H416&gt;8000,"PLATINUM",H416&gt;6000,"GOLD",H416&gt;4000,"SILEVER",H416&gt;2000,"NORMAL",H416&gt;500,"BASIC")</f>
        <v>BASIC</v>
      </c>
    </row>
    <row r="417" spans="1:10" ht="15.6" x14ac:dyDescent="0.3">
      <c r="A417" s="6">
        <v>45301</v>
      </c>
      <c r="B417" s="7" t="s">
        <v>234</v>
      </c>
      <c r="C417" s="7" t="s">
        <v>805</v>
      </c>
      <c r="D417" s="7" t="s">
        <v>812</v>
      </c>
      <c r="E417" s="7">
        <v>13</v>
      </c>
      <c r="F417" s="7" t="s">
        <v>845</v>
      </c>
      <c r="G417" s="7" t="s">
        <v>834</v>
      </c>
      <c r="H417" s="7">
        <v>8649</v>
      </c>
      <c r="I417" s="7" t="s">
        <v>852</v>
      </c>
      <c r="J417" s="8" t="str" cm="1">
        <f t="array" ref="J417">_xlfn.IFS(H417&gt;8000,"PLATINUM",H417&gt;6000,"GOLD",H417&gt;4000,"SILEVER",H417&gt;2000,"NORMAL",H417&gt;500,"BASIC")</f>
        <v>PLATINUM</v>
      </c>
    </row>
    <row r="418" spans="1:10" ht="15.6" x14ac:dyDescent="0.3">
      <c r="A418" s="6">
        <v>44104</v>
      </c>
      <c r="B418" s="7" t="s">
        <v>235</v>
      </c>
      <c r="C418" s="7" t="s">
        <v>805</v>
      </c>
      <c r="D418" s="7" t="s">
        <v>812</v>
      </c>
      <c r="E418" s="7">
        <v>13</v>
      </c>
      <c r="F418" s="7" t="s">
        <v>844</v>
      </c>
      <c r="G418" s="7" t="s">
        <v>830</v>
      </c>
      <c r="H418" s="7">
        <v>8649</v>
      </c>
      <c r="I418" s="7" t="s">
        <v>852</v>
      </c>
      <c r="J418" s="8" t="str" cm="1">
        <f t="array" ref="J418">_xlfn.IFS(H418&gt;8000,"PLATINUM",H418&gt;6000,"GOLD",H418&gt;4000,"SILEVER",H418&gt;2000,"NORMAL",H418&gt;500,"BASIC")</f>
        <v>PLATINUM</v>
      </c>
    </row>
    <row r="419" spans="1:10" ht="15.6" x14ac:dyDescent="0.3">
      <c r="A419" s="6">
        <v>44648</v>
      </c>
      <c r="B419" s="7" t="s">
        <v>236</v>
      </c>
      <c r="C419" s="7" t="s">
        <v>805</v>
      </c>
      <c r="D419" s="7" t="s">
        <v>812</v>
      </c>
      <c r="E419" s="7">
        <v>18</v>
      </c>
      <c r="F419" s="7" t="s">
        <v>844</v>
      </c>
      <c r="G419" s="7" t="s">
        <v>828</v>
      </c>
      <c r="H419" s="7">
        <v>4099</v>
      </c>
      <c r="I419" s="7" t="s">
        <v>850</v>
      </c>
      <c r="J419" s="8" t="str" cm="1">
        <f t="array" ref="J419">_xlfn.IFS(H419&gt;8000,"PLATINUM",H419&gt;6000,"GOLD",H419&gt;4000,"SILEVER",H419&gt;2000,"NORMAL",H419&gt;500,"BASIC")</f>
        <v>SILEVER</v>
      </c>
    </row>
    <row r="420" spans="1:10" ht="15.6" x14ac:dyDescent="0.3">
      <c r="A420" s="6">
        <v>44226</v>
      </c>
      <c r="B420" s="7" t="s">
        <v>237</v>
      </c>
      <c r="C420" s="7" t="s">
        <v>805</v>
      </c>
      <c r="D420" s="7" t="s">
        <v>809</v>
      </c>
      <c r="E420" s="7">
        <v>5</v>
      </c>
      <c r="F420" s="7" t="s">
        <v>845</v>
      </c>
      <c r="G420" s="7" t="s">
        <v>834</v>
      </c>
      <c r="H420" s="7">
        <v>2539</v>
      </c>
      <c r="I420" s="7" t="s">
        <v>850</v>
      </c>
      <c r="J420" s="8" t="str" cm="1">
        <f t="array" ref="J420">_xlfn.IFS(H420&gt;8000,"PLATINUM",H420&gt;6000,"GOLD",H420&gt;4000,"SILEVER",H420&gt;2000,"NORMAL",H420&gt;500,"BASIC")</f>
        <v>NORMAL</v>
      </c>
    </row>
    <row r="421" spans="1:10" ht="15.6" x14ac:dyDescent="0.3">
      <c r="A421" s="6">
        <v>45730</v>
      </c>
      <c r="B421" s="7" t="s">
        <v>238</v>
      </c>
      <c r="C421" s="7" t="s">
        <v>806</v>
      </c>
      <c r="D421" s="7" t="s">
        <v>817</v>
      </c>
      <c r="E421" s="7">
        <v>9</v>
      </c>
      <c r="F421" s="7" t="s">
        <v>842</v>
      </c>
      <c r="G421" s="7" t="s">
        <v>826</v>
      </c>
      <c r="H421" s="7">
        <v>9845</v>
      </c>
      <c r="I421" s="7" t="s">
        <v>854</v>
      </c>
      <c r="J421" s="8" t="str" cm="1">
        <f t="array" ref="J421">_xlfn.IFS(H421&gt;8000,"PLATINUM",H421&gt;6000,"GOLD",H421&gt;4000,"SILEVER",H421&gt;2000,"NORMAL",H421&gt;500,"BASIC")</f>
        <v>PLATINUM</v>
      </c>
    </row>
    <row r="422" spans="1:10" ht="15.6" x14ac:dyDescent="0.3">
      <c r="A422" s="6">
        <v>44495</v>
      </c>
      <c r="B422" s="7" t="s">
        <v>239</v>
      </c>
      <c r="C422" s="7" t="s">
        <v>806</v>
      </c>
      <c r="D422" s="7" t="s">
        <v>817</v>
      </c>
      <c r="E422" s="7">
        <v>2</v>
      </c>
      <c r="F422" s="7" t="s">
        <v>846</v>
      </c>
      <c r="G422" s="7" t="s">
        <v>833</v>
      </c>
      <c r="H422" s="7">
        <v>2901</v>
      </c>
      <c r="I422" s="7" t="s">
        <v>851</v>
      </c>
      <c r="J422" s="8" t="str" cm="1">
        <f t="array" ref="J422">_xlfn.IFS(H422&gt;8000,"PLATINUM",H422&gt;6000,"GOLD",H422&gt;4000,"SILEVER",H422&gt;2000,"NORMAL",H422&gt;500,"BASIC")</f>
        <v>NORMAL</v>
      </c>
    </row>
    <row r="423" spans="1:10" ht="15.6" x14ac:dyDescent="0.3">
      <c r="A423" s="6">
        <v>44937</v>
      </c>
      <c r="B423" s="7" t="s">
        <v>240</v>
      </c>
      <c r="C423" s="7" t="s">
        <v>806</v>
      </c>
      <c r="D423" s="7" t="s">
        <v>817</v>
      </c>
      <c r="E423" s="7">
        <v>2</v>
      </c>
      <c r="F423" s="7" t="s">
        <v>845</v>
      </c>
      <c r="G423" s="7" t="s">
        <v>827</v>
      </c>
      <c r="H423" s="7">
        <v>2901</v>
      </c>
      <c r="I423" s="7" t="s">
        <v>851</v>
      </c>
      <c r="J423" s="8" t="str" cm="1">
        <f t="array" ref="J423">_xlfn.IFS(H423&gt;8000,"PLATINUM",H423&gt;6000,"GOLD",H423&gt;4000,"SILEVER",H423&gt;2000,"NORMAL",H423&gt;500,"BASIC")</f>
        <v>NORMAL</v>
      </c>
    </row>
    <row r="424" spans="1:10" ht="15.6" x14ac:dyDescent="0.3">
      <c r="A424" s="6">
        <v>44495</v>
      </c>
      <c r="B424" s="7" t="s">
        <v>239</v>
      </c>
      <c r="C424" s="7" t="s">
        <v>806</v>
      </c>
      <c r="D424" s="7" t="s">
        <v>811</v>
      </c>
      <c r="E424" s="7">
        <v>6</v>
      </c>
      <c r="F424" s="7" t="s">
        <v>846</v>
      </c>
      <c r="G424" s="7" t="s">
        <v>833</v>
      </c>
      <c r="H424" s="7">
        <v>6934</v>
      </c>
      <c r="I424" s="7" t="s">
        <v>853</v>
      </c>
      <c r="J424" s="8" t="str" cm="1">
        <f t="array" ref="J424">_xlfn.IFS(H424&gt;8000,"PLATINUM",H424&gt;6000,"GOLD",H424&gt;4000,"SILEVER",H424&gt;2000,"NORMAL",H424&gt;500,"BASIC")</f>
        <v>GOLD</v>
      </c>
    </row>
    <row r="425" spans="1:10" ht="15.6" x14ac:dyDescent="0.3">
      <c r="A425" s="6">
        <v>44937</v>
      </c>
      <c r="B425" s="7" t="s">
        <v>240</v>
      </c>
      <c r="C425" s="7" t="s">
        <v>806</v>
      </c>
      <c r="D425" s="7" t="s">
        <v>811</v>
      </c>
      <c r="E425" s="7">
        <v>6</v>
      </c>
      <c r="F425" s="7" t="s">
        <v>845</v>
      </c>
      <c r="G425" s="7" t="s">
        <v>827</v>
      </c>
      <c r="H425" s="7">
        <v>6934</v>
      </c>
      <c r="I425" s="7" t="s">
        <v>853</v>
      </c>
      <c r="J425" s="8" t="str" cm="1">
        <f t="array" ref="J425">_xlfn.IFS(H425&gt;8000,"PLATINUM",H425&gt;6000,"GOLD",H425&gt;4000,"SILEVER",H425&gt;2000,"NORMAL",H425&gt;500,"BASIC")</f>
        <v>GOLD</v>
      </c>
    </row>
    <row r="426" spans="1:10" ht="15.6" x14ac:dyDescent="0.3">
      <c r="A426" s="6">
        <v>44500</v>
      </c>
      <c r="B426" s="7" t="s">
        <v>241</v>
      </c>
      <c r="C426" s="7" t="s">
        <v>807</v>
      </c>
      <c r="D426" s="7" t="s">
        <v>820</v>
      </c>
      <c r="E426" s="7">
        <v>2</v>
      </c>
      <c r="F426" s="7" t="s">
        <v>843</v>
      </c>
      <c r="G426" s="7" t="s">
        <v>840</v>
      </c>
      <c r="H426" s="7">
        <v>9640</v>
      </c>
      <c r="I426" s="7" t="s">
        <v>853</v>
      </c>
      <c r="J426" s="8" t="str" cm="1">
        <f t="array" ref="J426">_xlfn.IFS(H426&gt;8000,"PLATINUM",H426&gt;6000,"GOLD",H426&gt;4000,"SILEVER",H426&gt;2000,"NORMAL",H426&gt;500,"BASIC")</f>
        <v>PLATINUM</v>
      </c>
    </row>
    <row r="427" spans="1:10" ht="15.6" x14ac:dyDescent="0.3">
      <c r="A427" s="6">
        <v>45050</v>
      </c>
      <c r="B427" s="7" t="s">
        <v>242</v>
      </c>
      <c r="C427" s="7" t="s">
        <v>807</v>
      </c>
      <c r="D427" s="7" t="s">
        <v>814</v>
      </c>
      <c r="E427" s="7">
        <v>13</v>
      </c>
      <c r="F427" s="7" t="s">
        <v>847</v>
      </c>
      <c r="G427" s="7" t="s">
        <v>837</v>
      </c>
      <c r="H427" s="7">
        <v>7930</v>
      </c>
      <c r="I427" s="7" t="s">
        <v>853</v>
      </c>
      <c r="J427" s="8" t="str" cm="1">
        <f t="array" ref="J427">_xlfn.IFS(H427&gt;8000,"PLATINUM",H427&gt;6000,"GOLD",H427&gt;4000,"SILEVER",H427&gt;2000,"NORMAL",H427&gt;500,"BASIC")</f>
        <v>GOLD</v>
      </c>
    </row>
    <row r="428" spans="1:10" ht="15.6" x14ac:dyDescent="0.3">
      <c r="A428" s="6">
        <v>45513</v>
      </c>
      <c r="B428" s="7" t="s">
        <v>243</v>
      </c>
      <c r="C428" s="7" t="s">
        <v>807</v>
      </c>
      <c r="D428" s="7" t="s">
        <v>814</v>
      </c>
      <c r="E428" s="7">
        <v>13</v>
      </c>
      <c r="F428" s="7" t="s">
        <v>843</v>
      </c>
      <c r="G428" s="7" t="s">
        <v>829</v>
      </c>
      <c r="H428" s="7">
        <v>7930</v>
      </c>
      <c r="I428" s="7" t="s">
        <v>853</v>
      </c>
      <c r="J428" s="8" t="str" cm="1">
        <f t="array" ref="J428">_xlfn.IFS(H428&gt;8000,"PLATINUM",H428&gt;6000,"GOLD",H428&gt;4000,"SILEVER",H428&gt;2000,"NORMAL",H428&gt;500,"BASIC")</f>
        <v>GOLD</v>
      </c>
    </row>
    <row r="429" spans="1:10" ht="15.6" x14ac:dyDescent="0.3">
      <c r="A429" s="6">
        <v>44794</v>
      </c>
      <c r="B429" s="7" t="s">
        <v>244</v>
      </c>
      <c r="C429" s="7" t="s">
        <v>806</v>
      </c>
      <c r="D429" s="7" t="s">
        <v>818</v>
      </c>
      <c r="E429" s="7">
        <v>1</v>
      </c>
      <c r="F429" s="7" t="s">
        <v>845</v>
      </c>
      <c r="G429" s="7" t="s">
        <v>832</v>
      </c>
      <c r="H429" s="7">
        <v>9894</v>
      </c>
      <c r="I429" s="7" t="s">
        <v>854</v>
      </c>
      <c r="J429" s="8" t="str" cm="1">
        <f t="array" ref="J429">_xlfn.IFS(H429&gt;8000,"PLATINUM",H429&gt;6000,"GOLD",H429&gt;4000,"SILEVER",H429&gt;2000,"NORMAL",H429&gt;500,"BASIC")</f>
        <v>PLATINUM</v>
      </c>
    </row>
    <row r="430" spans="1:10" ht="15.6" x14ac:dyDescent="0.3">
      <c r="A430" s="6">
        <v>44794</v>
      </c>
      <c r="B430" s="7" t="s">
        <v>244</v>
      </c>
      <c r="C430" s="7" t="s">
        <v>807</v>
      </c>
      <c r="D430" s="7" t="s">
        <v>813</v>
      </c>
      <c r="E430" s="7">
        <v>4</v>
      </c>
      <c r="F430" s="7" t="s">
        <v>845</v>
      </c>
      <c r="G430" s="7" t="s">
        <v>832</v>
      </c>
      <c r="H430" s="7">
        <v>4534</v>
      </c>
      <c r="I430" s="7" t="s">
        <v>854</v>
      </c>
      <c r="J430" s="8" t="str" cm="1">
        <f t="array" ref="J430">_xlfn.IFS(H430&gt;8000,"PLATINUM",H430&gt;6000,"GOLD",H430&gt;4000,"SILEVER",H430&gt;2000,"NORMAL",H430&gt;500,"BASIC")</f>
        <v>SILEVER</v>
      </c>
    </row>
    <row r="431" spans="1:10" ht="15.6" x14ac:dyDescent="0.3">
      <c r="A431" s="6">
        <v>44731</v>
      </c>
      <c r="B431" s="7" t="s">
        <v>245</v>
      </c>
      <c r="C431" s="7" t="s">
        <v>805</v>
      </c>
      <c r="D431" s="7" t="s">
        <v>819</v>
      </c>
      <c r="E431" s="7">
        <v>20</v>
      </c>
      <c r="F431" s="7" t="s">
        <v>844</v>
      </c>
      <c r="G431" s="7" t="s">
        <v>825</v>
      </c>
      <c r="H431" s="7">
        <v>4911</v>
      </c>
      <c r="I431" s="7" t="s">
        <v>851</v>
      </c>
      <c r="J431" s="8" t="str" cm="1">
        <f t="array" ref="J431">_xlfn.IFS(H431&gt;8000,"PLATINUM",H431&gt;6000,"GOLD",H431&gt;4000,"SILEVER",H431&gt;2000,"NORMAL",H431&gt;500,"BASIC")</f>
        <v>SILEVER</v>
      </c>
    </row>
    <row r="432" spans="1:10" ht="15.6" x14ac:dyDescent="0.3">
      <c r="A432" s="6">
        <v>44731</v>
      </c>
      <c r="B432" s="7" t="s">
        <v>245</v>
      </c>
      <c r="C432" s="7" t="s">
        <v>807</v>
      </c>
      <c r="D432" s="7" t="s">
        <v>820</v>
      </c>
      <c r="E432" s="7">
        <v>20</v>
      </c>
      <c r="F432" s="7" t="s">
        <v>844</v>
      </c>
      <c r="G432" s="7" t="s">
        <v>825</v>
      </c>
      <c r="H432" s="7">
        <v>531</v>
      </c>
      <c r="I432" s="7" t="s">
        <v>851</v>
      </c>
      <c r="J432" s="8" t="str" cm="1">
        <f t="array" ref="J432">_xlfn.IFS(H432&gt;8000,"PLATINUM",H432&gt;6000,"GOLD",H432&gt;4000,"SILEVER",H432&gt;2000,"NORMAL",H432&gt;500,"BASIC")</f>
        <v>BASIC</v>
      </c>
    </row>
    <row r="433" spans="1:10" ht="15.6" x14ac:dyDescent="0.3">
      <c r="A433" s="6">
        <v>45686</v>
      </c>
      <c r="B433" s="7" t="s">
        <v>246</v>
      </c>
      <c r="C433" s="7" t="s">
        <v>805</v>
      </c>
      <c r="D433" s="7" t="s">
        <v>809</v>
      </c>
      <c r="E433" s="7">
        <v>10</v>
      </c>
      <c r="F433" s="7" t="s">
        <v>843</v>
      </c>
      <c r="G433" s="7" t="s">
        <v>840</v>
      </c>
      <c r="H433" s="7">
        <v>9707</v>
      </c>
      <c r="I433" s="7" t="s">
        <v>852</v>
      </c>
      <c r="J433" s="8" t="str" cm="1">
        <f t="array" ref="J433">_xlfn.IFS(H433&gt;8000,"PLATINUM",H433&gt;6000,"GOLD",H433&gt;4000,"SILEVER",H433&gt;2000,"NORMAL",H433&gt;500,"BASIC")</f>
        <v>PLATINUM</v>
      </c>
    </row>
    <row r="434" spans="1:10" ht="15.6" x14ac:dyDescent="0.3">
      <c r="A434" s="6">
        <v>45686</v>
      </c>
      <c r="B434" s="7" t="s">
        <v>246</v>
      </c>
      <c r="C434" s="7" t="s">
        <v>806</v>
      </c>
      <c r="D434" s="7" t="s">
        <v>817</v>
      </c>
      <c r="E434" s="7">
        <v>7</v>
      </c>
      <c r="F434" s="7" t="s">
        <v>843</v>
      </c>
      <c r="G434" s="7" t="s">
        <v>840</v>
      </c>
      <c r="H434" s="7">
        <v>8521</v>
      </c>
      <c r="I434" s="7" t="s">
        <v>854</v>
      </c>
      <c r="J434" s="8" t="str" cm="1">
        <f t="array" ref="J434">_xlfn.IFS(H434&gt;8000,"PLATINUM",H434&gt;6000,"GOLD",H434&gt;4000,"SILEVER",H434&gt;2000,"NORMAL",H434&gt;500,"BASIC")</f>
        <v>PLATINUM</v>
      </c>
    </row>
    <row r="435" spans="1:10" ht="15.6" x14ac:dyDescent="0.3">
      <c r="A435" s="6">
        <v>44575</v>
      </c>
      <c r="B435" s="7" t="s">
        <v>247</v>
      </c>
      <c r="C435" s="7" t="s">
        <v>806</v>
      </c>
      <c r="D435" s="7" t="s">
        <v>818</v>
      </c>
      <c r="E435" s="7">
        <v>12</v>
      </c>
      <c r="F435" s="7" t="s">
        <v>844</v>
      </c>
      <c r="G435" s="7" t="s">
        <v>825</v>
      </c>
      <c r="H435" s="7">
        <v>8438</v>
      </c>
      <c r="I435" s="7" t="s">
        <v>853</v>
      </c>
      <c r="J435" s="8" t="str" cm="1">
        <f t="array" ref="J435">_xlfn.IFS(H435&gt;8000,"PLATINUM",H435&gt;6000,"GOLD",H435&gt;4000,"SILEVER",H435&gt;2000,"NORMAL",H435&gt;500,"BASIC")</f>
        <v>PLATINUM</v>
      </c>
    </row>
    <row r="436" spans="1:10" ht="15.6" x14ac:dyDescent="0.3">
      <c r="A436" s="6">
        <v>44575</v>
      </c>
      <c r="B436" s="7" t="s">
        <v>247</v>
      </c>
      <c r="C436" s="7" t="s">
        <v>805</v>
      </c>
      <c r="D436" s="7" t="s">
        <v>809</v>
      </c>
      <c r="E436" s="7">
        <v>9</v>
      </c>
      <c r="F436" s="7" t="s">
        <v>844</v>
      </c>
      <c r="G436" s="7" t="s">
        <v>825</v>
      </c>
      <c r="H436" s="7">
        <v>1689</v>
      </c>
      <c r="I436" s="7" t="s">
        <v>850</v>
      </c>
      <c r="J436" s="8" t="str" cm="1">
        <f t="array" ref="J436">_xlfn.IFS(H436&gt;8000,"PLATINUM",H436&gt;6000,"GOLD",H436&gt;4000,"SILEVER",H436&gt;2000,"NORMAL",H436&gt;500,"BASIC")</f>
        <v>BASIC</v>
      </c>
    </row>
    <row r="437" spans="1:10" ht="15.6" x14ac:dyDescent="0.3">
      <c r="A437" s="6">
        <v>44575</v>
      </c>
      <c r="B437" s="7" t="s">
        <v>247</v>
      </c>
      <c r="C437" s="7" t="s">
        <v>806</v>
      </c>
      <c r="D437" s="7" t="s">
        <v>817</v>
      </c>
      <c r="E437" s="7">
        <v>14</v>
      </c>
      <c r="F437" s="7" t="s">
        <v>844</v>
      </c>
      <c r="G437" s="7" t="s">
        <v>825</v>
      </c>
      <c r="H437" s="7">
        <v>3936</v>
      </c>
      <c r="I437" s="7" t="s">
        <v>854</v>
      </c>
      <c r="J437" s="8" t="str" cm="1">
        <f t="array" ref="J437">_xlfn.IFS(H437&gt;8000,"PLATINUM",H437&gt;6000,"GOLD",H437&gt;4000,"SILEVER",H437&gt;2000,"NORMAL",H437&gt;500,"BASIC")</f>
        <v>NORMAL</v>
      </c>
    </row>
    <row r="438" spans="1:10" ht="15.6" x14ac:dyDescent="0.3">
      <c r="A438" s="6">
        <v>45092</v>
      </c>
      <c r="B438" s="7" t="s">
        <v>248</v>
      </c>
      <c r="C438" s="7" t="s">
        <v>805</v>
      </c>
      <c r="D438" s="7" t="s">
        <v>819</v>
      </c>
      <c r="E438" s="7">
        <v>19</v>
      </c>
      <c r="F438" s="7" t="s">
        <v>847</v>
      </c>
      <c r="G438" s="7" t="s">
        <v>836</v>
      </c>
      <c r="H438" s="7">
        <v>7664</v>
      </c>
      <c r="I438" s="7" t="s">
        <v>851</v>
      </c>
      <c r="J438" s="8" t="str" cm="1">
        <f t="array" ref="J438">_xlfn.IFS(H438&gt;8000,"PLATINUM",H438&gt;6000,"GOLD",H438&gt;4000,"SILEVER",H438&gt;2000,"NORMAL",H438&gt;500,"BASIC")</f>
        <v>GOLD</v>
      </c>
    </row>
    <row r="439" spans="1:10" ht="15.6" x14ac:dyDescent="0.3">
      <c r="A439" s="6">
        <v>45217</v>
      </c>
      <c r="B439" s="7" t="s">
        <v>249</v>
      </c>
      <c r="C439" s="7" t="s">
        <v>805</v>
      </c>
      <c r="D439" s="7" t="s">
        <v>812</v>
      </c>
      <c r="E439" s="7">
        <v>13</v>
      </c>
      <c r="F439" s="7" t="s">
        <v>843</v>
      </c>
      <c r="G439" s="7" t="s">
        <v>840</v>
      </c>
      <c r="H439" s="7">
        <v>721</v>
      </c>
      <c r="I439" s="7" t="s">
        <v>851</v>
      </c>
      <c r="J439" s="8" t="str" cm="1">
        <f t="array" ref="J439">_xlfn.IFS(H439&gt;8000,"PLATINUM",H439&gt;6000,"GOLD",H439&gt;4000,"SILEVER",H439&gt;2000,"NORMAL",H439&gt;500,"BASIC")</f>
        <v>BASIC</v>
      </c>
    </row>
    <row r="440" spans="1:10" ht="15.6" x14ac:dyDescent="0.3">
      <c r="A440" s="6">
        <v>44725</v>
      </c>
      <c r="B440" s="7" t="s">
        <v>250</v>
      </c>
      <c r="C440" s="7" t="s">
        <v>805</v>
      </c>
      <c r="D440" s="7" t="s">
        <v>812</v>
      </c>
      <c r="E440" s="7">
        <v>13</v>
      </c>
      <c r="F440" s="7" t="s">
        <v>844</v>
      </c>
      <c r="G440" s="7" t="s">
        <v>825</v>
      </c>
      <c r="H440" s="7">
        <v>721</v>
      </c>
      <c r="I440" s="7" t="s">
        <v>851</v>
      </c>
      <c r="J440" s="8" t="str" cm="1">
        <f t="array" ref="J440">_xlfn.IFS(H440&gt;8000,"PLATINUM",H440&gt;6000,"GOLD",H440&gt;4000,"SILEVER",H440&gt;2000,"NORMAL",H440&gt;500,"BASIC")</f>
        <v>BASIC</v>
      </c>
    </row>
    <row r="441" spans="1:10" ht="15.6" x14ac:dyDescent="0.3">
      <c r="A441" s="6">
        <v>45217</v>
      </c>
      <c r="B441" s="7" t="s">
        <v>249</v>
      </c>
      <c r="C441" s="7" t="s">
        <v>805</v>
      </c>
      <c r="D441" s="7" t="s">
        <v>812</v>
      </c>
      <c r="E441" s="7">
        <v>17</v>
      </c>
      <c r="F441" s="7" t="s">
        <v>843</v>
      </c>
      <c r="G441" s="7" t="s">
        <v>840</v>
      </c>
      <c r="H441" s="7">
        <v>8364</v>
      </c>
      <c r="I441" s="7" t="s">
        <v>853</v>
      </c>
      <c r="J441" s="8" t="str" cm="1">
        <f t="array" ref="J441">_xlfn.IFS(H441&gt;8000,"PLATINUM",H441&gt;6000,"GOLD",H441&gt;4000,"SILEVER",H441&gt;2000,"NORMAL",H441&gt;500,"BASIC")</f>
        <v>PLATINUM</v>
      </c>
    </row>
    <row r="442" spans="1:10" ht="15.6" x14ac:dyDescent="0.3">
      <c r="A442" s="6">
        <v>44725</v>
      </c>
      <c r="B442" s="7" t="s">
        <v>250</v>
      </c>
      <c r="C442" s="7" t="s">
        <v>805</v>
      </c>
      <c r="D442" s="7" t="s">
        <v>812</v>
      </c>
      <c r="E442" s="7">
        <v>17</v>
      </c>
      <c r="F442" s="7" t="s">
        <v>844</v>
      </c>
      <c r="G442" s="7" t="s">
        <v>825</v>
      </c>
      <c r="H442" s="7">
        <v>8364</v>
      </c>
      <c r="I442" s="7" t="s">
        <v>853</v>
      </c>
      <c r="J442" s="8" t="str" cm="1">
        <f t="array" ref="J442">_xlfn.IFS(H442&gt;8000,"PLATINUM",H442&gt;6000,"GOLD",H442&gt;4000,"SILEVER",H442&gt;2000,"NORMAL",H442&gt;500,"BASIC")</f>
        <v>PLATINUM</v>
      </c>
    </row>
    <row r="443" spans="1:10" ht="15.6" x14ac:dyDescent="0.3">
      <c r="A443" s="6">
        <v>45217</v>
      </c>
      <c r="B443" s="7" t="s">
        <v>249</v>
      </c>
      <c r="C443" s="7" t="s">
        <v>807</v>
      </c>
      <c r="D443" s="7" t="s">
        <v>820</v>
      </c>
      <c r="E443" s="7">
        <v>15</v>
      </c>
      <c r="F443" s="7" t="s">
        <v>843</v>
      </c>
      <c r="G443" s="7" t="s">
        <v>840</v>
      </c>
      <c r="H443" s="7">
        <v>5234</v>
      </c>
      <c r="I443" s="7" t="s">
        <v>852</v>
      </c>
      <c r="J443" s="8" t="str" cm="1">
        <f t="array" ref="J443">_xlfn.IFS(H443&gt;8000,"PLATINUM",H443&gt;6000,"GOLD",H443&gt;4000,"SILEVER",H443&gt;2000,"NORMAL",H443&gt;500,"BASIC")</f>
        <v>SILEVER</v>
      </c>
    </row>
    <row r="444" spans="1:10" ht="15.6" x14ac:dyDescent="0.3">
      <c r="A444" s="6">
        <v>44725</v>
      </c>
      <c r="B444" s="7" t="s">
        <v>250</v>
      </c>
      <c r="C444" s="7" t="s">
        <v>807</v>
      </c>
      <c r="D444" s="7" t="s">
        <v>820</v>
      </c>
      <c r="E444" s="7">
        <v>15</v>
      </c>
      <c r="F444" s="7" t="s">
        <v>844</v>
      </c>
      <c r="G444" s="7" t="s">
        <v>825</v>
      </c>
      <c r="H444" s="7">
        <v>5234</v>
      </c>
      <c r="I444" s="7" t="s">
        <v>852</v>
      </c>
      <c r="J444" s="8" t="str" cm="1">
        <f t="array" ref="J444">_xlfn.IFS(H444&gt;8000,"PLATINUM",H444&gt;6000,"GOLD",H444&gt;4000,"SILEVER",H444&gt;2000,"NORMAL",H444&gt;500,"BASIC")</f>
        <v>SILEVER</v>
      </c>
    </row>
    <row r="445" spans="1:10" ht="15.6" x14ac:dyDescent="0.3">
      <c r="A445" s="6">
        <v>45455</v>
      </c>
      <c r="B445" s="7" t="s">
        <v>251</v>
      </c>
      <c r="C445" s="7" t="s">
        <v>805</v>
      </c>
      <c r="D445" s="7" t="s">
        <v>819</v>
      </c>
      <c r="E445" s="7">
        <v>18</v>
      </c>
      <c r="F445" s="7" t="s">
        <v>845</v>
      </c>
      <c r="G445" s="7" t="s">
        <v>834</v>
      </c>
      <c r="H445" s="7">
        <v>3944</v>
      </c>
      <c r="I445" s="7" t="s">
        <v>853</v>
      </c>
      <c r="J445" s="8" t="str" cm="1">
        <f t="array" ref="J445">_xlfn.IFS(H445&gt;8000,"PLATINUM",H445&gt;6000,"GOLD",H445&gt;4000,"SILEVER",H445&gt;2000,"NORMAL",H445&gt;500,"BASIC")</f>
        <v>NORMAL</v>
      </c>
    </row>
    <row r="446" spans="1:10" ht="15.6" x14ac:dyDescent="0.3">
      <c r="A446" s="6">
        <v>45455</v>
      </c>
      <c r="B446" s="7" t="s">
        <v>251</v>
      </c>
      <c r="C446" s="7" t="s">
        <v>806</v>
      </c>
      <c r="D446" s="7" t="s">
        <v>811</v>
      </c>
      <c r="E446" s="7">
        <v>12</v>
      </c>
      <c r="F446" s="7" t="s">
        <v>845</v>
      </c>
      <c r="G446" s="7" t="s">
        <v>834</v>
      </c>
      <c r="H446" s="7">
        <v>6711</v>
      </c>
      <c r="I446" s="7" t="s">
        <v>853</v>
      </c>
      <c r="J446" s="8" t="str" cm="1">
        <f t="array" ref="J446">_xlfn.IFS(H446&gt;8000,"PLATINUM",H446&gt;6000,"GOLD",H446&gt;4000,"SILEVER",H446&gt;2000,"NORMAL",H446&gt;500,"BASIC")</f>
        <v>GOLD</v>
      </c>
    </row>
    <row r="447" spans="1:10" ht="15.6" x14ac:dyDescent="0.3">
      <c r="A447" s="6">
        <v>45455</v>
      </c>
      <c r="B447" s="7" t="s">
        <v>251</v>
      </c>
      <c r="C447" s="7" t="s">
        <v>807</v>
      </c>
      <c r="D447" s="7" t="s">
        <v>813</v>
      </c>
      <c r="E447" s="7">
        <v>4</v>
      </c>
      <c r="F447" s="7" t="s">
        <v>845</v>
      </c>
      <c r="G447" s="7" t="s">
        <v>834</v>
      </c>
      <c r="H447" s="7">
        <v>5031</v>
      </c>
      <c r="I447" s="7" t="s">
        <v>853</v>
      </c>
      <c r="J447" s="8" t="str" cm="1">
        <f t="array" ref="J447">_xlfn.IFS(H447&gt;8000,"PLATINUM",H447&gt;6000,"GOLD",H447&gt;4000,"SILEVER",H447&gt;2000,"NORMAL",H447&gt;500,"BASIC")</f>
        <v>SILEVER</v>
      </c>
    </row>
    <row r="448" spans="1:10" ht="15.6" x14ac:dyDescent="0.3">
      <c r="A448" s="6">
        <v>45455</v>
      </c>
      <c r="B448" s="7" t="s">
        <v>251</v>
      </c>
      <c r="C448" s="7" t="s">
        <v>806</v>
      </c>
      <c r="D448" s="7" t="s">
        <v>818</v>
      </c>
      <c r="E448" s="7">
        <v>14</v>
      </c>
      <c r="F448" s="7" t="s">
        <v>845</v>
      </c>
      <c r="G448" s="7" t="s">
        <v>834</v>
      </c>
      <c r="H448" s="7">
        <v>6295</v>
      </c>
      <c r="I448" s="7" t="s">
        <v>852</v>
      </c>
      <c r="J448" s="8" t="str" cm="1">
        <f t="array" ref="J448">_xlfn.IFS(H448&gt;8000,"PLATINUM",H448&gt;6000,"GOLD",H448&gt;4000,"SILEVER",H448&gt;2000,"NORMAL",H448&gt;500,"BASIC")</f>
        <v>GOLD</v>
      </c>
    </row>
    <row r="449" spans="1:10" ht="15.6" x14ac:dyDescent="0.3">
      <c r="A449" s="6">
        <v>44739</v>
      </c>
      <c r="B449" s="7" t="s">
        <v>252</v>
      </c>
      <c r="C449" s="7" t="s">
        <v>806</v>
      </c>
      <c r="D449" s="7" t="s">
        <v>817</v>
      </c>
      <c r="E449" s="7">
        <v>1</v>
      </c>
      <c r="F449" s="7" t="s">
        <v>845</v>
      </c>
      <c r="G449" s="7" t="s">
        <v>834</v>
      </c>
      <c r="H449" s="7">
        <v>9654</v>
      </c>
      <c r="I449" s="7" t="s">
        <v>850</v>
      </c>
      <c r="J449" s="8" t="str" cm="1">
        <f t="array" ref="J449">_xlfn.IFS(H449&gt;8000,"PLATINUM",H449&gt;6000,"GOLD",H449&gt;4000,"SILEVER",H449&gt;2000,"NORMAL",H449&gt;500,"BASIC")</f>
        <v>PLATINUM</v>
      </c>
    </row>
    <row r="450" spans="1:10" ht="15.6" x14ac:dyDescent="0.3">
      <c r="A450" s="6">
        <v>44739</v>
      </c>
      <c r="B450" s="7" t="s">
        <v>252</v>
      </c>
      <c r="C450" s="7" t="s">
        <v>806</v>
      </c>
      <c r="D450" s="7" t="s">
        <v>818</v>
      </c>
      <c r="E450" s="7">
        <v>20</v>
      </c>
      <c r="F450" s="7" t="s">
        <v>845</v>
      </c>
      <c r="G450" s="7" t="s">
        <v>834</v>
      </c>
      <c r="H450" s="7">
        <v>3112</v>
      </c>
      <c r="I450" s="7" t="s">
        <v>854</v>
      </c>
      <c r="J450" s="8" t="str" cm="1">
        <f t="array" ref="J450">_xlfn.IFS(H450&gt;8000,"PLATINUM",H450&gt;6000,"GOLD",H450&gt;4000,"SILEVER",H450&gt;2000,"NORMAL",H450&gt;500,"BASIC")</f>
        <v>NORMAL</v>
      </c>
    </row>
    <row r="451" spans="1:10" ht="15.6" x14ac:dyDescent="0.3">
      <c r="A451" s="6">
        <v>44245</v>
      </c>
      <c r="B451" s="7" t="s">
        <v>253</v>
      </c>
      <c r="C451" s="7" t="s">
        <v>805</v>
      </c>
      <c r="D451" s="7" t="s">
        <v>819</v>
      </c>
      <c r="E451" s="7">
        <v>13</v>
      </c>
      <c r="F451" s="7" t="s">
        <v>845</v>
      </c>
      <c r="G451" s="7" t="s">
        <v>834</v>
      </c>
      <c r="H451" s="7">
        <v>7838</v>
      </c>
      <c r="I451" s="7" t="s">
        <v>850</v>
      </c>
      <c r="J451" s="8" t="str" cm="1">
        <f t="array" ref="J451">_xlfn.IFS(H451&gt;8000,"PLATINUM",H451&gt;6000,"GOLD",H451&gt;4000,"SILEVER",H451&gt;2000,"NORMAL",H451&gt;500,"BASIC")</f>
        <v>GOLD</v>
      </c>
    </row>
    <row r="452" spans="1:10" ht="15.6" x14ac:dyDescent="0.3">
      <c r="A452" s="6">
        <v>44245</v>
      </c>
      <c r="B452" s="7" t="s">
        <v>253</v>
      </c>
      <c r="C452" s="7" t="s">
        <v>805</v>
      </c>
      <c r="D452" s="7" t="s">
        <v>819</v>
      </c>
      <c r="E452" s="7">
        <v>6</v>
      </c>
      <c r="F452" s="7" t="s">
        <v>845</v>
      </c>
      <c r="G452" s="7" t="s">
        <v>834</v>
      </c>
      <c r="H452" s="7">
        <v>9300</v>
      </c>
      <c r="I452" s="7" t="s">
        <v>853</v>
      </c>
      <c r="J452" s="8" t="str" cm="1">
        <f t="array" ref="J452">_xlfn.IFS(H452&gt;8000,"PLATINUM",H452&gt;6000,"GOLD",H452&gt;4000,"SILEVER",H452&gt;2000,"NORMAL",H452&gt;500,"BASIC")</f>
        <v>PLATINUM</v>
      </c>
    </row>
    <row r="453" spans="1:10" ht="15.6" x14ac:dyDescent="0.3">
      <c r="A453" s="6">
        <v>44245</v>
      </c>
      <c r="B453" s="7" t="s">
        <v>253</v>
      </c>
      <c r="C453" s="7" t="s">
        <v>806</v>
      </c>
      <c r="D453" s="7" t="s">
        <v>817</v>
      </c>
      <c r="E453" s="7">
        <v>17</v>
      </c>
      <c r="F453" s="7" t="s">
        <v>845</v>
      </c>
      <c r="G453" s="7" t="s">
        <v>834</v>
      </c>
      <c r="H453" s="7">
        <v>1733</v>
      </c>
      <c r="I453" s="7" t="s">
        <v>851</v>
      </c>
      <c r="J453" s="8" t="str" cm="1">
        <f t="array" ref="J453">_xlfn.IFS(H453&gt;8000,"PLATINUM",H453&gt;6000,"GOLD",H453&gt;4000,"SILEVER",H453&gt;2000,"NORMAL",H453&gt;500,"BASIC")</f>
        <v>BASIC</v>
      </c>
    </row>
    <row r="454" spans="1:10" ht="15.6" x14ac:dyDescent="0.3">
      <c r="A454" s="6">
        <v>45075</v>
      </c>
      <c r="B454" s="7" t="s">
        <v>254</v>
      </c>
      <c r="C454" s="7" t="s">
        <v>806</v>
      </c>
      <c r="D454" s="7" t="s">
        <v>818</v>
      </c>
      <c r="E454" s="7">
        <v>15</v>
      </c>
      <c r="F454" s="7" t="s">
        <v>844</v>
      </c>
      <c r="G454" s="7" t="s">
        <v>830</v>
      </c>
      <c r="H454" s="7">
        <v>874</v>
      </c>
      <c r="I454" s="7" t="s">
        <v>851</v>
      </c>
      <c r="J454" s="8" t="str" cm="1">
        <f t="array" ref="J454">_xlfn.IFS(H454&gt;8000,"PLATINUM",H454&gt;6000,"GOLD",H454&gt;4000,"SILEVER",H454&gt;2000,"NORMAL",H454&gt;500,"BASIC")</f>
        <v>BASIC</v>
      </c>
    </row>
    <row r="455" spans="1:10" ht="15.6" x14ac:dyDescent="0.3">
      <c r="A455" s="6">
        <v>44351</v>
      </c>
      <c r="B455" s="7" t="s">
        <v>255</v>
      </c>
      <c r="C455" s="7" t="s">
        <v>806</v>
      </c>
      <c r="D455" s="7" t="s">
        <v>818</v>
      </c>
      <c r="E455" s="7">
        <v>15</v>
      </c>
      <c r="F455" s="7" t="s">
        <v>842</v>
      </c>
      <c r="G455" s="7" t="s">
        <v>823</v>
      </c>
      <c r="H455" s="7">
        <v>874</v>
      </c>
      <c r="I455" s="7" t="s">
        <v>851</v>
      </c>
      <c r="J455" s="8" t="str" cm="1">
        <f t="array" ref="J455">_xlfn.IFS(H455&gt;8000,"PLATINUM",H455&gt;6000,"GOLD",H455&gt;4000,"SILEVER",H455&gt;2000,"NORMAL",H455&gt;500,"BASIC")</f>
        <v>BASIC</v>
      </c>
    </row>
    <row r="456" spans="1:10" ht="15.6" x14ac:dyDescent="0.3">
      <c r="A456" s="6">
        <v>45313</v>
      </c>
      <c r="B456" s="7" t="s">
        <v>256</v>
      </c>
      <c r="C456" s="7" t="s">
        <v>806</v>
      </c>
      <c r="D456" s="7" t="s">
        <v>811</v>
      </c>
      <c r="E456" s="7">
        <v>13</v>
      </c>
      <c r="F456" s="7" t="s">
        <v>847</v>
      </c>
      <c r="G456" s="7" t="s">
        <v>835</v>
      </c>
      <c r="H456" s="7">
        <v>1248</v>
      </c>
      <c r="I456" s="7" t="s">
        <v>852</v>
      </c>
      <c r="J456" s="8" t="str" cm="1">
        <f t="array" ref="J456">_xlfn.IFS(H456&gt;8000,"PLATINUM",H456&gt;6000,"GOLD",H456&gt;4000,"SILEVER",H456&gt;2000,"NORMAL",H456&gt;500,"BASIC")</f>
        <v>BASIC</v>
      </c>
    </row>
    <row r="457" spans="1:10" ht="15.6" x14ac:dyDescent="0.3">
      <c r="A457" s="6">
        <v>44922</v>
      </c>
      <c r="B457" s="7" t="s">
        <v>257</v>
      </c>
      <c r="C457" s="7" t="s">
        <v>806</v>
      </c>
      <c r="D457" s="7" t="s">
        <v>811</v>
      </c>
      <c r="E457" s="7">
        <v>13</v>
      </c>
      <c r="F457" s="7" t="s">
        <v>845</v>
      </c>
      <c r="G457" s="7" t="s">
        <v>834</v>
      </c>
      <c r="H457" s="7">
        <v>1248</v>
      </c>
      <c r="I457" s="7" t="s">
        <v>852</v>
      </c>
      <c r="J457" s="8" t="str" cm="1">
        <f t="array" ref="J457">_xlfn.IFS(H457&gt;8000,"PLATINUM",H457&gt;6000,"GOLD",H457&gt;4000,"SILEVER",H457&gt;2000,"NORMAL",H457&gt;500,"BASIC")</f>
        <v>BASIC</v>
      </c>
    </row>
    <row r="458" spans="1:10" ht="15.6" x14ac:dyDescent="0.3">
      <c r="A458" s="6">
        <v>45313</v>
      </c>
      <c r="B458" s="7" t="s">
        <v>256</v>
      </c>
      <c r="C458" s="7" t="s">
        <v>806</v>
      </c>
      <c r="D458" s="7" t="s">
        <v>815</v>
      </c>
      <c r="E458" s="7">
        <v>14</v>
      </c>
      <c r="F458" s="7" t="s">
        <v>847</v>
      </c>
      <c r="G458" s="7" t="s">
        <v>835</v>
      </c>
      <c r="H458" s="7">
        <v>3669</v>
      </c>
      <c r="I458" s="7" t="s">
        <v>852</v>
      </c>
      <c r="J458" s="8" t="str" cm="1">
        <f t="array" ref="J458">_xlfn.IFS(H458&gt;8000,"PLATINUM",H458&gt;6000,"GOLD",H458&gt;4000,"SILEVER",H458&gt;2000,"NORMAL",H458&gt;500,"BASIC")</f>
        <v>NORMAL</v>
      </c>
    </row>
    <row r="459" spans="1:10" ht="15.6" x14ac:dyDescent="0.3">
      <c r="A459" s="6">
        <v>44922</v>
      </c>
      <c r="B459" s="7" t="s">
        <v>257</v>
      </c>
      <c r="C459" s="7" t="s">
        <v>806</v>
      </c>
      <c r="D459" s="7" t="s">
        <v>815</v>
      </c>
      <c r="E459" s="7">
        <v>14</v>
      </c>
      <c r="F459" s="7" t="s">
        <v>845</v>
      </c>
      <c r="G459" s="7" t="s">
        <v>834</v>
      </c>
      <c r="H459" s="7">
        <v>3669</v>
      </c>
      <c r="I459" s="7" t="s">
        <v>852</v>
      </c>
      <c r="J459" s="8" t="str" cm="1">
        <f t="array" ref="J459">_xlfn.IFS(H459&gt;8000,"PLATINUM",H459&gt;6000,"GOLD",H459&gt;4000,"SILEVER",H459&gt;2000,"NORMAL",H459&gt;500,"BASIC")</f>
        <v>NORMAL</v>
      </c>
    </row>
    <row r="460" spans="1:10" ht="15.6" x14ac:dyDescent="0.3">
      <c r="A460" s="6">
        <v>45313</v>
      </c>
      <c r="B460" s="7" t="s">
        <v>256</v>
      </c>
      <c r="C460" s="7" t="s">
        <v>806</v>
      </c>
      <c r="D460" s="7" t="s">
        <v>817</v>
      </c>
      <c r="E460" s="7">
        <v>15</v>
      </c>
      <c r="F460" s="7" t="s">
        <v>847</v>
      </c>
      <c r="G460" s="7" t="s">
        <v>835</v>
      </c>
      <c r="H460" s="7">
        <v>514</v>
      </c>
      <c r="I460" s="7" t="s">
        <v>851</v>
      </c>
      <c r="J460" s="8" t="str" cm="1">
        <f t="array" ref="J460">_xlfn.IFS(H460&gt;8000,"PLATINUM",H460&gt;6000,"GOLD",H460&gt;4000,"SILEVER",H460&gt;2000,"NORMAL",H460&gt;500,"BASIC")</f>
        <v>BASIC</v>
      </c>
    </row>
    <row r="461" spans="1:10" ht="15.6" x14ac:dyDescent="0.3">
      <c r="A461" s="6">
        <v>44922</v>
      </c>
      <c r="B461" s="7" t="s">
        <v>257</v>
      </c>
      <c r="C461" s="7" t="s">
        <v>806</v>
      </c>
      <c r="D461" s="7" t="s">
        <v>817</v>
      </c>
      <c r="E461" s="7">
        <v>15</v>
      </c>
      <c r="F461" s="7" t="s">
        <v>845</v>
      </c>
      <c r="G461" s="7" t="s">
        <v>834</v>
      </c>
      <c r="H461" s="7">
        <v>514</v>
      </c>
      <c r="I461" s="7" t="s">
        <v>851</v>
      </c>
      <c r="J461" s="8" t="str" cm="1">
        <f t="array" ref="J461">_xlfn.IFS(H461&gt;8000,"PLATINUM",H461&gt;6000,"GOLD",H461&gt;4000,"SILEVER",H461&gt;2000,"NORMAL",H461&gt;500,"BASIC")</f>
        <v>BASIC</v>
      </c>
    </row>
    <row r="462" spans="1:10" ht="15.6" x14ac:dyDescent="0.3">
      <c r="A462" s="6">
        <v>45381</v>
      </c>
      <c r="B462" s="7" t="s">
        <v>258</v>
      </c>
      <c r="C462" s="7" t="s">
        <v>805</v>
      </c>
      <c r="D462" s="7" t="s">
        <v>819</v>
      </c>
      <c r="E462" s="7">
        <v>16</v>
      </c>
      <c r="F462" s="7" t="s">
        <v>847</v>
      </c>
      <c r="G462" s="7" t="s">
        <v>836</v>
      </c>
      <c r="H462" s="7">
        <v>3273</v>
      </c>
      <c r="I462" s="7" t="s">
        <v>850</v>
      </c>
      <c r="J462" s="8" t="str" cm="1">
        <f t="array" ref="J462">_xlfn.IFS(H462&gt;8000,"PLATINUM",H462&gt;6000,"GOLD",H462&gt;4000,"SILEVER",H462&gt;2000,"NORMAL",H462&gt;500,"BASIC")</f>
        <v>NORMAL</v>
      </c>
    </row>
    <row r="463" spans="1:10" ht="15.6" x14ac:dyDescent="0.3">
      <c r="A463" s="6">
        <v>43925</v>
      </c>
      <c r="B463" s="7" t="s">
        <v>259</v>
      </c>
      <c r="C463" s="7" t="s">
        <v>807</v>
      </c>
      <c r="D463" s="7" t="s">
        <v>814</v>
      </c>
      <c r="E463" s="7">
        <v>2</v>
      </c>
      <c r="F463" s="7" t="s">
        <v>842</v>
      </c>
      <c r="G463" s="7" t="s">
        <v>823</v>
      </c>
      <c r="H463" s="7">
        <v>5035</v>
      </c>
      <c r="I463" s="7" t="s">
        <v>854</v>
      </c>
      <c r="J463" s="8" t="str" cm="1">
        <f t="array" ref="J463">_xlfn.IFS(H463&gt;8000,"PLATINUM",H463&gt;6000,"GOLD",H463&gt;4000,"SILEVER",H463&gt;2000,"NORMAL",H463&gt;500,"BASIC")</f>
        <v>SILEVER</v>
      </c>
    </row>
    <row r="464" spans="1:10" ht="15.6" x14ac:dyDescent="0.3">
      <c r="A464" s="6">
        <v>43925</v>
      </c>
      <c r="B464" s="7" t="s">
        <v>259</v>
      </c>
      <c r="C464" s="7" t="s">
        <v>805</v>
      </c>
      <c r="D464" s="7" t="s">
        <v>810</v>
      </c>
      <c r="E464" s="7">
        <v>19</v>
      </c>
      <c r="F464" s="7" t="s">
        <v>842</v>
      </c>
      <c r="G464" s="7" t="s">
        <v>823</v>
      </c>
      <c r="H464" s="7">
        <v>7702</v>
      </c>
      <c r="I464" s="7" t="s">
        <v>850</v>
      </c>
      <c r="J464" s="8" t="str" cm="1">
        <f t="array" ref="J464">_xlfn.IFS(H464&gt;8000,"PLATINUM",H464&gt;6000,"GOLD",H464&gt;4000,"SILEVER",H464&gt;2000,"NORMAL",H464&gt;500,"BASIC")</f>
        <v>GOLD</v>
      </c>
    </row>
    <row r="465" spans="1:10" ht="15.6" x14ac:dyDescent="0.3">
      <c r="A465" s="6">
        <v>43925</v>
      </c>
      <c r="B465" s="7" t="s">
        <v>259</v>
      </c>
      <c r="C465" s="7" t="s">
        <v>805</v>
      </c>
      <c r="D465" s="7" t="s">
        <v>810</v>
      </c>
      <c r="E465" s="7">
        <v>7</v>
      </c>
      <c r="F465" s="7" t="s">
        <v>842</v>
      </c>
      <c r="G465" s="7" t="s">
        <v>823</v>
      </c>
      <c r="H465" s="7">
        <v>9884</v>
      </c>
      <c r="I465" s="7" t="s">
        <v>852</v>
      </c>
      <c r="J465" s="8" t="str" cm="1">
        <f t="array" ref="J465">_xlfn.IFS(H465&gt;8000,"PLATINUM",H465&gt;6000,"GOLD",H465&gt;4000,"SILEVER",H465&gt;2000,"NORMAL",H465&gt;500,"BASIC")</f>
        <v>PLATINUM</v>
      </c>
    </row>
    <row r="466" spans="1:10" ht="15.6" x14ac:dyDescent="0.3">
      <c r="A466" s="6">
        <v>44948</v>
      </c>
      <c r="B466" s="7" t="s">
        <v>260</v>
      </c>
      <c r="C466" s="7" t="s">
        <v>805</v>
      </c>
      <c r="D466" s="7" t="s">
        <v>812</v>
      </c>
      <c r="E466" s="7">
        <v>11</v>
      </c>
      <c r="F466" s="7" t="s">
        <v>843</v>
      </c>
      <c r="G466" s="7" t="s">
        <v>824</v>
      </c>
      <c r="H466" s="7">
        <v>5564</v>
      </c>
      <c r="I466" s="7" t="s">
        <v>854</v>
      </c>
      <c r="J466" s="8" t="str" cm="1">
        <f t="array" ref="J466">_xlfn.IFS(H466&gt;8000,"PLATINUM",H466&gt;6000,"GOLD",H466&gt;4000,"SILEVER",H466&gt;2000,"NORMAL",H466&gt;500,"BASIC")</f>
        <v>SILEVER</v>
      </c>
    </row>
    <row r="467" spans="1:10" ht="15.6" x14ac:dyDescent="0.3">
      <c r="A467" s="6">
        <v>44663</v>
      </c>
      <c r="B467" s="7" t="s">
        <v>261</v>
      </c>
      <c r="C467" s="7" t="s">
        <v>805</v>
      </c>
      <c r="D467" s="7" t="s">
        <v>812</v>
      </c>
      <c r="E467" s="7">
        <v>11</v>
      </c>
      <c r="F467" s="7" t="s">
        <v>846</v>
      </c>
      <c r="G467" s="7" t="s">
        <v>838</v>
      </c>
      <c r="H467" s="7">
        <v>5564</v>
      </c>
      <c r="I467" s="7" t="s">
        <v>854</v>
      </c>
      <c r="J467" s="8" t="str" cm="1">
        <f t="array" ref="J467">_xlfn.IFS(H467&gt;8000,"PLATINUM",H467&gt;6000,"GOLD",H467&gt;4000,"SILEVER",H467&gt;2000,"NORMAL",H467&gt;500,"BASIC")</f>
        <v>SILEVER</v>
      </c>
    </row>
    <row r="468" spans="1:10" ht="15.6" x14ac:dyDescent="0.3">
      <c r="A468" s="6">
        <v>45273</v>
      </c>
      <c r="B468" s="7" t="s">
        <v>262</v>
      </c>
      <c r="C468" s="7" t="s">
        <v>805</v>
      </c>
      <c r="D468" s="7" t="s">
        <v>812</v>
      </c>
      <c r="E468" s="7">
        <v>11</v>
      </c>
      <c r="F468" s="7" t="s">
        <v>842</v>
      </c>
      <c r="G468" s="7" t="s">
        <v>823</v>
      </c>
      <c r="H468" s="7">
        <v>5564</v>
      </c>
      <c r="I468" s="7" t="s">
        <v>854</v>
      </c>
      <c r="J468" s="8" t="str" cm="1">
        <f t="array" ref="J468">_xlfn.IFS(H468&gt;8000,"PLATINUM",H468&gt;6000,"GOLD",H468&gt;4000,"SILEVER",H468&gt;2000,"NORMAL",H468&gt;500,"BASIC")</f>
        <v>SILEVER</v>
      </c>
    </row>
    <row r="469" spans="1:10" ht="15.6" x14ac:dyDescent="0.3">
      <c r="A469" s="6">
        <v>44948</v>
      </c>
      <c r="B469" s="7" t="s">
        <v>260</v>
      </c>
      <c r="C469" s="7" t="s">
        <v>805</v>
      </c>
      <c r="D469" s="7" t="s">
        <v>809</v>
      </c>
      <c r="E469" s="7">
        <v>15</v>
      </c>
      <c r="F469" s="7" t="s">
        <v>843</v>
      </c>
      <c r="G469" s="7" t="s">
        <v>824</v>
      </c>
      <c r="H469" s="7">
        <v>3953</v>
      </c>
      <c r="I469" s="7" t="s">
        <v>850</v>
      </c>
      <c r="J469" s="8" t="str" cm="1">
        <f t="array" ref="J469">_xlfn.IFS(H469&gt;8000,"PLATINUM",H469&gt;6000,"GOLD",H469&gt;4000,"SILEVER",H469&gt;2000,"NORMAL",H469&gt;500,"BASIC")</f>
        <v>NORMAL</v>
      </c>
    </row>
    <row r="470" spans="1:10" ht="15.6" x14ac:dyDescent="0.3">
      <c r="A470" s="6">
        <v>44663</v>
      </c>
      <c r="B470" s="7" t="s">
        <v>261</v>
      </c>
      <c r="C470" s="7" t="s">
        <v>805</v>
      </c>
      <c r="D470" s="7" t="s">
        <v>809</v>
      </c>
      <c r="E470" s="7">
        <v>15</v>
      </c>
      <c r="F470" s="7" t="s">
        <v>846</v>
      </c>
      <c r="G470" s="7" t="s">
        <v>838</v>
      </c>
      <c r="H470" s="7">
        <v>3953</v>
      </c>
      <c r="I470" s="7" t="s">
        <v>850</v>
      </c>
      <c r="J470" s="8" t="str" cm="1">
        <f t="array" ref="J470">_xlfn.IFS(H470&gt;8000,"PLATINUM",H470&gt;6000,"GOLD",H470&gt;4000,"SILEVER",H470&gt;2000,"NORMAL",H470&gt;500,"BASIC")</f>
        <v>NORMAL</v>
      </c>
    </row>
    <row r="471" spans="1:10" ht="15.6" x14ac:dyDescent="0.3">
      <c r="A471" s="6">
        <v>45273</v>
      </c>
      <c r="B471" s="7" t="s">
        <v>262</v>
      </c>
      <c r="C471" s="7" t="s">
        <v>805</v>
      </c>
      <c r="D471" s="7" t="s">
        <v>809</v>
      </c>
      <c r="E471" s="7">
        <v>15</v>
      </c>
      <c r="F471" s="7" t="s">
        <v>842</v>
      </c>
      <c r="G471" s="7" t="s">
        <v>823</v>
      </c>
      <c r="H471" s="7">
        <v>3953</v>
      </c>
      <c r="I471" s="7" t="s">
        <v>850</v>
      </c>
      <c r="J471" s="8" t="str" cm="1">
        <f t="array" ref="J471">_xlfn.IFS(H471&gt;8000,"PLATINUM",H471&gt;6000,"GOLD",H471&gt;4000,"SILEVER",H471&gt;2000,"NORMAL",H471&gt;500,"BASIC")</f>
        <v>NORMAL</v>
      </c>
    </row>
    <row r="472" spans="1:10" ht="15.6" x14ac:dyDescent="0.3">
      <c r="A472" s="6">
        <v>45070</v>
      </c>
      <c r="B472" s="7" t="s">
        <v>263</v>
      </c>
      <c r="C472" s="7" t="s">
        <v>805</v>
      </c>
      <c r="D472" s="7" t="s">
        <v>810</v>
      </c>
      <c r="E472" s="7">
        <v>18</v>
      </c>
      <c r="F472" s="7" t="s">
        <v>846</v>
      </c>
      <c r="G472" s="7" t="s">
        <v>831</v>
      </c>
      <c r="H472" s="7">
        <v>6488</v>
      </c>
      <c r="I472" s="7" t="s">
        <v>852</v>
      </c>
      <c r="J472" s="8" t="str" cm="1">
        <f t="array" ref="J472">_xlfn.IFS(H472&gt;8000,"PLATINUM",H472&gt;6000,"GOLD",H472&gt;4000,"SILEVER",H472&gt;2000,"NORMAL",H472&gt;500,"BASIC")</f>
        <v>GOLD</v>
      </c>
    </row>
    <row r="473" spans="1:10" ht="15.6" x14ac:dyDescent="0.3">
      <c r="A473" s="6">
        <v>44164</v>
      </c>
      <c r="B473" s="7" t="s">
        <v>264</v>
      </c>
      <c r="C473" s="7" t="s">
        <v>805</v>
      </c>
      <c r="D473" s="7" t="s">
        <v>810</v>
      </c>
      <c r="E473" s="7">
        <v>18</v>
      </c>
      <c r="F473" s="7" t="s">
        <v>846</v>
      </c>
      <c r="G473" s="7" t="s">
        <v>838</v>
      </c>
      <c r="H473" s="7">
        <v>6488</v>
      </c>
      <c r="I473" s="7" t="s">
        <v>852</v>
      </c>
      <c r="J473" s="8" t="str" cm="1">
        <f t="array" ref="J473">_xlfn.IFS(H473&gt;8000,"PLATINUM",H473&gt;6000,"GOLD",H473&gt;4000,"SILEVER",H473&gt;2000,"NORMAL",H473&gt;500,"BASIC")</f>
        <v>GOLD</v>
      </c>
    </row>
    <row r="474" spans="1:10" ht="15.6" x14ac:dyDescent="0.3">
      <c r="A474" s="6">
        <v>44279</v>
      </c>
      <c r="B474" s="7" t="s">
        <v>265</v>
      </c>
      <c r="C474" s="7" t="s">
        <v>805</v>
      </c>
      <c r="D474" s="7" t="s">
        <v>809</v>
      </c>
      <c r="E474" s="7">
        <v>17</v>
      </c>
      <c r="F474" s="7" t="s">
        <v>842</v>
      </c>
      <c r="G474" s="7" t="s">
        <v>826</v>
      </c>
      <c r="H474" s="7">
        <v>7856</v>
      </c>
      <c r="I474" s="7" t="s">
        <v>850</v>
      </c>
      <c r="J474" s="8" t="str" cm="1">
        <f t="array" ref="J474">_xlfn.IFS(H474&gt;8000,"PLATINUM",H474&gt;6000,"GOLD",H474&gt;4000,"SILEVER",H474&gt;2000,"NORMAL",H474&gt;500,"BASIC")</f>
        <v>GOLD</v>
      </c>
    </row>
    <row r="475" spans="1:10" ht="15.6" x14ac:dyDescent="0.3">
      <c r="A475" s="6">
        <v>44279</v>
      </c>
      <c r="B475" s="7" t="s">
        <v>265</v>
      </c>
      <c r="C475" s="7" t="s">
        <v>806</v>
      </c>
      <c r="D475" s="7" t="s">
        <v>811</v>
      </c>
      <c r="E475" s="7">
        <v>3</v>
      </c>
      <c r="F475" s="7" t="s">
        <v>842</v>
      </c>
      <c r="G475" s="7" t="s">
        <v>826</v>
      </c>
      <c r="H475" s="7">
        <v>1165</v>
      </c>
      <c r="I475" s="7" t="s">
        <v>852</v>
      </c>
      <c r="J475" s="8" t="str" cm="1">
        <f t="array" ref="J475">_xlfn.IFS(H475&gt;8000,"PLATINUM",H475&gt;6000,"GOLD",H475&gt;4000,"SILEVER",H475&gt;2000,"NORMAL",H475&gt;500,"BASIC")</f>
        <v>BASIC</v>
      </c>
    </row>
    <row r="476" spans="1:10" ht="15.6" x14ac:dyDescent="0.3">
      <c r="A476" s="6">
        <v>44062</v>
      </c>
      <c r="B476" s="7" t="s">
        <v>266</v>
      </c>
      <c r="C476" s="7" t="s">
        <v>806</v>
      </c>
      <c r="D476" s="7" t="s">
        <v>815</v>
      </c>
      <c r="E476" s="7">
        <v>20</v>
      </c>
      <c r="F476" s="7" t="s">
        <v>845</v>
      </c>
      <c r="G476" s="7" t="s">
        <v>832</v>
      </c>
      <c r="H476" s="7">
        <v>9386</v>
      </c>
      <c r="I476" s="7" t="s">
        <v>853</v>
      </c>
      <c r="J476" s="8" t="str" cm="1">
        <f t="array" ref="J476">_xlfn.IFS(H476&gt;8000,"PLATINUM",H476&gt;6000,"GOLD",H476&gt;4000,"SILEVER",H476&gt;2000,"NORMAL",H476&gt;500,"BASIC")</f>
        <v>PLATINUM</v>
      </c>
    </row>
    <row r="477" spans="1:10" ht="15.6" x14ac:dyDescent="0.3">
      <c r="A477" s="6">
        <v>44854</v>
      </c>
      <c r="B477" s="7" t="s">
        <v>267</v>
      </c>
      <c r="C477" s="7" t="s">
        <v>806</v>
      </c>
      <c r="D477" s="7" t="s">
        <v>815</v>
      </c>
      <c r="E477" s="7">
        <v>20</v>
      </c>
      <c r="F477" s="7" t="s">
        <v>847</v>
      </c>
      <c r="G477" s="7" t="s">
        <v>837</v>
      </c>
      <c r="H477" s="7">
        <v>9386</v>
      </c>
      <c r="I477" s="7" t="s">
        <v>853</v>
      </c>
      <c r="J477" s="8" t="str" cm="1">
        <f t="array" ref="J477">_xlfn.IFS(H477&gt;8000,"PLATINUM",H477&gt;6000,"GOLD",H477&gt;4000,"SILEVER",H477&gt;2000,"NORMAL",H477&gt;500,"BASIC")</f>
        <v>PLATINUM</v>
      </c>
    </row>
    <row r="478" spans="1:10" ht="15.6" x14ac:dyDescent="0.3">
      <c r="A478" s="6">
        <v>45189</v>
      </c>
      <c r="B478" s="7" t="s">
        <v>268</v>
      </c>
      <c r="C478" s="7" t="s">
        <v>806</v>
      </c>
      <c r="D478" s="7" t="s">
        <v>811</v>
      </c>
      <c r="E478" s="7">
        <v>12</v>
      </c>
      <c r="F478" s="7" t="s">
        <v>842</v>
      </c>
      <c r="G478" s="7" t="s">
        <v>839</v>
      </c>
      <c r="H478" s="7">
        <v>3956</v>
      </c>
      <c r="I478" s="7" t="s">
        <v>851</v>
      </c>
      <c r="J478" s="8" t="str" cm="1">
        <f t="array" ref="J478">_xlfn.IFS(H478&gt;8000,"PLATINUM",H478&gt;6000,"GOLD",H478&gt;4000,"SILEVER",H478&gt;2000,"NORMAL",H478&gt;500,"BASIC")</f>
        <v>NORMAL</v>
      </c>
    </row>
    <row r="479" spans="1:10" ht="15.6" x14ac:dyDescent="0.3">
      <c r="A479" s="6">
        <v>45652</v>
      </c>
      <c r="B479" s="7" t="s">
        <v>269</v>
      </c>
      <c r="C479" s="7" t="s">
        <v>806</v>
      </c>
      <c r="D479" s="7" t="s">
        <v>811</v>
      </c>
      <c r="E479" s="7">
        <v>12</v>
      </c>
      <c r="F479" s="7" t="s">
        <v>846</v>
      </c>
      <c r="G479" s="7" t="s">
        <v>831</v>
      </c>
      <c r="H479" s="7">
        <v>3956</v>
      </c>
      <c r="I479" s="7" t="s">
        <v>851</v>
      </c>
      <c r="J479" s="8" t="str" cm="1">
        <f t="array" ref="J479">_xlfn.IFS(H479&gt;8000,"PLATINUM",H479&gt;6000,"GOLD",H479&gt;4000,"SILEVER",H479&gt;2000,"NORMAL",H479&gt;500,"BASIC")</f>
        <v>NORMAL</v>
      </c>
    </row>
    <row r="480" spans="1:10" ht="15.6" x14ac:dyDescent="0.3">
      <c r="A480" s="6">
        <v>45189</v>
      </c>
      <c r="B480" s="7" t="s">
        <v>268</v>
      </c>
      <c r="C480" s="7" t="s">
        <v>807</v>
      </c>
      <c r="D480" s="7" t="s">
        <v>820</v>
      </c>
      <c r="E480" s="7">
        <v>11</v>
      </c>
      <c r="F480" s="7" t="s">
        <v>842</v>
      </c>
      <c r="G480" s="7" t="s">
        <v>839</v>
      </c>
      <c r="H480" s="7">
        <v>6449</v>
      </c>
      <c r="I480" s="7" t="s">
        <v>852</v>
      </c>
      <c r="J480" s="8" t="str" cm="1">
        <f t="array" ref="J480">_xlfn.IFS(H480&gt;8000,"PLATINUM",H480&gt;6000,"GOLD",H480&gt;4000,"SILEVER",H480&gt;2000,"NORMAL",H480&gt;500,"BASIC")</f>
        <v>GOLD</v>
      </c>
    </row>
    <row r="481" spans="1:10" ht="15.6" x14ac:dyDescent="0.3">
      <c r="A481" s="6">
        <v>45652</v>
      </c>
      <c r="B481" s="7" t="s">
        <v>269</v>
      </c>
      <c r="C481" s="7" t="s">
        <v>807</v>
      </c>
      <c r="D481" s="7" t="s">
        <v>820</v>
      </c>
      <c r="E481" s="7">
        <v>11</v>
      </c>
      <c r="F481" s="7" t="s">
        <v>846</v>
      </c>
      <c r="G481" s="7" t="s">
        <v>831</v>
      </c>
      <c r="H481" s="7">
        <v>6449</v>
      </c>
      <c r="I481" s="7" t="s">
        <v>852</v>
      </c>
      <c r="J481" s="8" t="str" cm="1">
        <f t="array" ref="J481">_xlfn.IFS(H481&gt;8000,"PLATINUM",H481&gt;6000,"GOLD",H481&gt;4000,"SILEVER",H481&gt;2000,"NORMAL",H481&gt;500,"BASIC")</f>
        <v>GOLD</v>
      </c>
    </row>
    <row r="482" spans="1:10" ht="15.6" x14ac:dyDescent="0.3">
      <c r="A482" s="6">
        <v>44533</v>
      </c>
      <c r="B482" s="7" t="s">
        <v>270</v>
      </c>
      <c r="C482" s="7" t="s">
        <v>806</v>
      </c>
      <c r="D482" s="7" t="s">
        <v>815</v>
      </c>
      <c r="E482" s="7">
        <v>18</v>
      </c>
      <c r="F482" s="7" t="s">
        <v>844</v>
      </c>
      <c r="G482" s="7" t="s">
        <v>830</v>
      </c>
      <c r="H482" s="7">
        <v>6255</v>
      </c>
      <c r="I482" s="7" t="s">
        <v>854</v>
      </c>
      <c r="J482" s="8" t="str" cm="1">
        <f t="array" ref="J482">_xlfn.IFS(H482&gt;8000,"PLATINUM",H482&gt;6000,"GOLD",H482&gt;4000,"SILEVER",H482&gt;2000,"NORMAL",H482&gt;500,"BASIC")</f>
        <v>GOLD</v>
      </c>
    </row>
    <row r="483" spans="1:10" ht="15.6" x14ac:dyDescent="0.3">
      <c r="A483" s="6">
        <v>44533</v>
      </c>
      <c r="B483" s="7" t="s">
        <v>270</v>
      </c>
      <c r="C483" s="7" t="s">
        <v>805</v>
      </c>
      <c r="D483" s="7" t="s">
        <v>809</v>
      </c>
      <c r="E483" s="7">
        <v>20</v>
      </c>
      <c r="F483" s="7" t="s">
        <v>844</v>
      </c>
      <c r="G483" s="7" t="s">
        <v>830</v>
      </c>
      <c r="H483" s="7">
        <v>2109</v>
      </c>
      <c r="I483" s="7" t="s">
        <v>850</v>
      </c>
      <c r="J483" s="8" t="str" cm="1">
        <f t="array" ref="J483">_xlfn.IFS(H483&gt;8000,"PLATINUM",H483&gt;6000,"GOLD",H483&gt;4000,"SILEVER",H483&gt;2000,"NORMAL",H483&gt;500,"BASIC")</f>
        <v>NORMAL</v>
      </c>
    </row>
    <row r="484" spans="1:10" ht="15.6" x14ac:dyDescent="0.3">
      <c r="A484" s="6">
        <v>44453</v>
      </c>
      <c r="B484" s="7" t="s">
        <v>271</v>
      </c>
      <c r="C484" s="7" t="s">
        <v>805</v>
      </c>
      <c r="D484" s="7" t="s">
        <v>819</v>
      </c>
      <c r="E484" s="7">
        <v>20</v>
      </c>
      <c r="F484" s="7" t="s">
        <v>846</v>
      </c>
      <c r="G484" s="7" t="s">
        <v>833</v>
      </c>
      <c r="H484" s="7">
        <v>6707</v>
      </c>
      <c r="I484" s="7" t="s">
        <v>853</v>
      </c>
      <c r="J484" s="8" t="str" cm="1">
        <f t="array" ref="J484">_xlfn.IFS(H484&gt;8000,"PLATINUM",H484&gt;6000,"GOLD",H484&gt;4000,"SILEVER",H484&gt;2000,"NORMAL",H484&gt;500,"BASIC")</f>
        <v>GOLD</v>
      </c>
    </row>
    <row r="485" spans="1:10" ht="15.6" x14ac:dyDescent="0.3">
      <c r="A485" s="6">
        <v>44469</v>
      </c>
      <c r="B485" s="7" t="s">
        <v>272</v>
      </c>
      <c r="C485" s="7" t="s">
        <v>806</v>
      </c>
      <c r="D485" s="7" t="s">
        <v>811</v>
      </c>
      <c r="E485" s="7">
        <v>13</v>
      </c>
      <c r="F485" s="7" t="s">
        <v>843</v>
      </c>
      <c r="G485" s="7" t="s">
        <v>829</v>
      </c>
      <c r="H485" s="7">
        <v>7633</v>
      </c>
      <c r="I485" s="7" t="s">
        <v>854</v>
      </c>
      <c r="J485" s="8" t="str" cm="1">
        <f t="array" ref="J485">_xlfn.IFS(H485&gt;8000,"PLATINUM",H485&gt;6000,"GOLD",H485&gt;4000,"SILEVER",H485&gt;2000,"NORMAL",H485&gt;500,"BASIC")</f>
        <v>GOLD</v>
      </c>
    </row>
    <row r="486" spans="1:10" ht="15.6" x14ac:dyDescent="0.3">
      <c r="A486" s="6">
        <v>44552</v>
      </c>
      <c r="B486" s="7" t="s">
        <v>273</v>
      </c>
      <c r="C486" s="7" t="s">
        <v>806</v>
      </c>
      <c r="D486" s="7" t="s">
        <v>811</v>
      </c>
      <c r="E486" s="7">
        <v>18</v>
      </c>
      <c r="F486" s="7" t="s">
        <v>845</v>
      </c>
      <c r="G486" s="7" t="s">
        <v>832</v>
      </c>
      <c r="H486" s="7">
        <v>975</v>
      </c>
      <c r="I486" s="7" t="s">
        <v>854</v>
      </c>
      <c r="J486" s="8" t="str" cm="1">
        <f t="array" ref="J486">_xlfn.IFS(H486&gt;8000,"PLATINUM",H486&gt;6000,"GOLD",H486&gt;4000,"SILEVER",H486&gt;2000,"NORMAL",H486&gt;500,"BASIC")</f>
        <v>BASIC</v>
      </c>
    </row>
    <row r="487" spans="1:10" ht="15.6" x14ac:dyDescent="0.3">
      <c r="A487" s="6">
        <v>44552</v>
      </c>
      <c r="B487" s="7" t="s">
        <v>273</v>
      </c>
      <c r="C487" s="7" t="s">
        <v>807</v>
      </c>
      <c r="D487" s="7" t="s">
        <v>813</v>
      </c>
      <c r="E487" s="7">
        <v>7</v>
      </c>
      <c r="F487" s="7" t="s">
        <v>845</v>
      </c>
      <c r="G487" s="7" t="s">
        <v>832</v>
      </c>
      <c r="H487" s="7">
        <v>4492</v>
      </c>
      <c r="I487" s="7" t="s">
        <v>852</v>
      </c>
      <c r="J487" s="8" t="str" cm="1">
        <f t="array" ref="J487">_xlfn.IFS(H487&gt;8000,"PLATINUM",H487&gt;6000,"GOLD",H487&gt;4000,"SILEVER",H487&gt;2000,"NORMAL",H487&gt;500,"BASIC")</f>
        <v>SILEVER</v>
      </c>
    </row>
    <row r="488" spans="1:10" ht="15.6" x14ac:dyDescent="0.3">
      <c r="A488" s="6">
        <v>44552</v>
      </c>
      <c r="B488" s="7" t="s">
        <v>273</v>
      </c>
      <c r="C488" s="7" t="s">
        <v>807</v>
      </c>
      <c r="D488" s="7" t="s">
        <v>814</v>
      </c>
      <c r="E488" s="7">
        <v>12</v>
      </c>
      <c r="F488" s="7" t="s">
        <v>845</v>
      </c>
      <c r="G488" s="7" t="s">
        <v>832</v>
      </c>
      <c r="H488" s="7">
        <v>7957</v>
      </c>
      <c r="I488" s="7" t="s">
        <v>850</v>
      </c>
      <c r="J488" s="8" t="str" cm="1">
        <f t="array" ref="J488">_xlfn.IFS(H488&gt;8000,"PLATINUM",H488&gt;6000,"GOLD",H488&gt;4000,"SILEVER",H488&gt;2000,"NORMAL",H488&gt;500,"BASIC")</f>
        <v>GOLD</v>
      </c>
    </row>
    <row r="489" spans="1:10" ht="15.6" x14ac:dyDescent="0.3">
      <c r="A489" s="6">
        <v>44699</v>
      </c>
      <c r="B489" s="7" t="s">
        <v>274</v>
      </c>
      <c r="C489" s="7" t="s">
        <v>807</v>
      </c>
      <c r="D489" s="7" t="s">
        <v>813</v>
      </c>
      <c r="E489" s="7">
        <v>7</v>
      </c>
      <c r="F489" s="7" t="s">
        <v>846</v>
      </c>
      <c r="G489" s="7" t="s">
        <v>838</v>
      </c>
      <c r="H489" s="7">
        <v>4906</v>
      </c>
      <c r="I489" s="7" t="s">
        <v>851</v>
      </c>
      <c r="J489" s="8" t="str" cm="1">
        <f t="array" ref="J489">_xlfn.IFS(H489&gt;8000,"PLATINUM",H489&gt;6000,"GOLD",H489&gt;4000,"SILEVER",H489&gt;2000,"NORMAL",H489&gt;500,"BASIC")</f>
        <v>SILEVER</v>
      </c>
    </row>
    <row r="490" spans="1:10" ht="15.6" x14ac:dyDescent="0.3">
      <c r="A490" s="6">
        <v>44112</v>
      </c>
      <c r="B490" s="7" t="s">
        <v>275</v>
      </c>
      <c r="C490" s="7" t="s">
        <v>806</v>
      </c>
      <c r="D490" s="7" t="s">
        <v>811</v>
      </c>
      <c r="E490" s="7">
        <v>3</v>
      </c>
      <c r="F490" s="7" t="s">
        <v>844</v>
      </c>
      <c r="G490" s="7" t="s">
        <v>825</v>
      </c>
      <c r="H490" s="7">
        <v>1379</v>
      </c>
      <c r="I490" s="7" t="s">
        <v>853</v>
      </c>
      <c r="J490" s="8" t="str" cm="1">
        <f t="array" ref="J490">_xlfn.IFS(H490&gt;8000,"PLATINUM",H490&gt;6000,"GOLD",H490&gt;4000,"SILEVER",H490&gt;2000,"NORMAL",H490&gt;500,"BASIC")</f>
        <v>BASIC</v>
      </c>
    </row>
    <row r="491" spans="1:10" ht="15.6" x14ac:dyDescent="0.3">
      <c r="A491" s="6">
        <v>44112</v>
      </c>
      <c r="B491" s="7" t="s">
        <v>275</v>
      </c>
      <c r="C491" s="7" t="s">
        <v>805</v>
      </c>
      <c r="D491" s="7" t="s">
        <v>812</v>
      </c>
      <c r="E491" s="7">
        <v>10</v>
      </c>
      <c r="F491" s="7" t="s">
        <v>844</v>
      </c>
      <c r="G491" s="7" t="s">
        <v>825</v>
      </c>
      <c r="H491" s="7">
        <v>4244</v>
      </c>
      <c r="I491" s="7" t="s">
        <v>851</v>
      </c>
      <c r="J491" s="8" t="str" cm="1">
        <f t="array" ref="J491">_xlfn.IFS(H491&gt;8000,"PLATINUM",H491&gt;6000,"GOLD",H491&gt;4000,"SILEVER",H491&gt;2000,"NORMAL",H491&gt;500,"BASIC")</f>
        <v>SILEVER</v>
      </c>
    </row>
    <row r="492" spans="1:10" ht="15.6" x14ac:dyDescent="0.3">
      <c r="A492" s="6">
        <v>44793</v>
      </c>
      <c r="B492" s="7" t="s">
        <v>276</v>
      </c>
      <c r="C492" s="7" t="s">
        <v>807</v>
      </c>
      <c r="D492" s="7" t="s">
        <v>820</v>
      </c>
      <c r="E492" s="7">
        <v>14</v>
      </c>
      <c r="F492" s="7" t="s">
        <v>845</v>
      </c>
      <c r="G492" s="7" t="s">
        <v>832</v>
      </c>
      <c r="H492" s="7">
        <v>5911</v>
      </c>
      <c r="I492" s="7" t="s">
        <v>852</v>
      </c>
      <c r="J492" s="8" t="str" cm="1">
        <f t="array" ref="J492">_xlfn.IFS(H492&gt;8000,"PLATINUM",H492&gt;6000,"GOLD",H492&gt;4000,"SILEVER",H492&gt;2000,"NORMAL",H492&gt;500,"BASIC")</f>
        <v>SILEVER</v>
      </c>
    </row>
    <row r="493" spans="1:10" ht="15.6" x14ac:dyDescent="0.3">
      <c r="A493" s="6">
        <v>45621</v>
      </c>
      <c r="B493" s="7" t="s">
        <v>277</v>
      </c>
      <c r="C493" s="7" t="s">
        <v>807</v>
      </c>
      <c r="D493" s="7" t="s">
        <v>820</v>
      </c>
      <c r="E493" s="7">
        <v>14</v>
      </c>
      <c r="F493" s="7" t="s">
        <v>845</v>
      </c>
      <c r="G493" s="7" t="s">
        <v>834</v>
      </c>
      <c r="H493" s="7">
        <v>5911</v>
      </c>
      <c r="I493" s="7" t="s">
        <v>852</v>
      </c>
      <c r="J493" s="8" t="str" cm="1">
        <f t="array" ref="J493">_xlfn.IFS(H493&gt;8000,"PLATINUM",H493&gt;6000,"GOLD",H493&gt;4000,"SILEVER",H493&gt;2000,"NORMAL",H493&gt;500,"BASIC")</f>
        <v>SILEVER</v>
      </c>
    </row>
    <row r="494" spans="1:10" ht="15.6" x14ac:dyDescent="0.3">
      <c r="A494" s="6">
        <v>44793</v>
      </c>
      <c r="B494" s="7" t="s">
        <v>276</v>
      </c>
      <c r="C494" s="7" t="s">
        <v>806</v>
      </c>
      <c r="D494" s="7" t="s">
        <v>815</v>
      </c>
      <c r="E494" s="7">
        <v>11</v>
      </c>
      <c r="F494" s="7" t="s">
        <v>845</v>
      </c>
      <c r="G494" s="7" t="s">
        <v>832</v>
      </c>
      <c r="H494" s="7">
        <v>1818</v>
      </c>
      <c r="I494" s="7" t="s">
        <v>852</v>
      </c>
      <c r="J494" s="8" t="str" cm="1">
        <f t="array" ref="J494">_xlfn.IFS(H494&gt;8000,"PLATINUM",H494&gt;6000,"GOLD",H494&gt;4000,"SILEVER",H494&gt;2000,"NORMAL",H494&gt;500,"BASIC")</f>
        <v>BASIC</v>
      </c>
    </row>
    <row r="495" spans="1:10" ht="15.6" x14ac:dyDescent="0.3">
      <c r="A495" s="6">
        <v>45621</v>
      </c>
      <c r="B495" s="7" t="s">
        <v>277</v>
      </c>
      <c r="C495" s="7" t="s">
        <v>806</v>
      </c>
      <c r="D495" s="7" t="s">
        <v>815</v>
      </c>
      <c r="E495" s="7">
        <v>11</v>
      </c>
      <c r="F495" s="7" t="s">
        <v>845</v>
      </c>
      <c r="G495" s="7" t="s">
        <v>834</v>
      </c>
      <c r="H495" s="7">
        <v>1818</v>
      </c>
      <c r="I495" s="7" t="s">
        <v>852</v>
      </c>
      <c r="J495" s="8" t="str" cm="1">
        <f t="array" ref="J495">_xlfn.IFS(H495&gt;8000,"PLATINUM",H495&gt;6000,"GOLD",H495&gt;4000,"SILEVER",H495&gt;2000,"NORMAL",H495&gt;500,"BASIC")</f>
        <v>BASIC</v>
      </c>
    </row>
    <row r="496" spans="1:10" ht="15.6" x14ac:dyDescent="0.3">
      <c r="A496" s="6">
        <v>44104</v>
      </c>
      <c r="B496" s="7" t="s">
        <v>278</v>
      </c>
      <c r="C496" s="7" t="s">
        <v>806</v>
      </c>
      <c r="D496" s="7" t="s">
        <v>817</v>
      </c>
      <c r="E496" s="7">
        <v>4</v>
      </c>
      <c r="F496" s="7" t="s">
        <v>845</v>
      </c>
      <c r="G496" s="7" t="s">
        <v>832</v>
      </c>
      <c r="H496" s="7">
        <v>2140</v>
      </c>
      <c r="I496" s="7" t="s">
        <v>853</v>
      </c>
      <c r="J496" s="8" t="str" cm="1">
        <f t="array" ref="J496">_xlfn.IFS(H496&gt;8000,"PLATINUM",H496&gt;6000,"GOLD",H496&gt;4000,"SILEVER",H496&gt;2000,"NORMAL",H496&gt;500,"BASIC")</f>
        <v>NORMAL</v>
      </c>
    </row>
    <row r="497" spans="1:10" ht="15.6" x14ac:dyDescent="0.3">
      <c r="A497" s="6">
        <v>45708</v>
      </c>
      <c r="B497" s="7" t="s">
        <v>279</v>
      </c>
      <c r="C497" s="7" t="s">
        <v>806</v>
      </c>
      <c r="D497" s="7" t="s">
        <v>817</v>
      </c>
      <c r="E497" s="7">
        <v>4</v>
      </c>
      <c r="F497" s="7" t="s">
        <v>842</v>
      </c>
      <c r="G497" s="7" t="s">
        <v>826</v>
      </c>
      <c r="H497" s="7">
        <v>2140</v>
      </c>
      <c r="I497" s="7" t="s">
        <v>853</v>
      </c>
      <c r="J497" s="8" t="str" cm="1">
        <f t="array" ref="J497">_xlfn.IFS(H497&gt;8000,"PLATINUM",H497&gt;6000,"GOLD",H497&gt;4000,"SILEVER",H497&gt;2000,"NORMAL",H497&gt;500,"BASIC")</f>
        <v>NORMAL</v>
      </c>
    </row>
    <row r="498" spans="1:10" ht="15.6" x14ac:dyDescent="0.3">
      <c r="A498" s="6">
        <v>44640</v>
      </c>
      <c r="B498" s="7" t="s">
        <v>280</v>
      </c>
      <c r="C498" s="7" t="s">
        <v>806</v>
      </c>
      <c r="D498" s="7" t="s">
        <v>817</v>
      </c>
      <c r="E498" s="7">
        <v>4</v>
      </c>
      <c r="F498" s="7" t="s">
        <v>845</v>
      </c>
      <c r="G498" s="7" t="s">
        <v>834</v>
      </c>
      <c r="H498" s="7">
        <v>2140</v>
      </c>
      <c r="I498" s="7" t="s">
        <v>853</v>
      </c>
      <c r="J498" s="8" t="str" cm="1">
        <f t="array" ref="J498">_xlfn.IFS(H498&gt;8000,"PLATINUM",H498&gt;6000,"GOLD",H498&gt;4000,"SILEVER",H498&gt;2000,"NORMAL",H498&gt;500,"BASIC")</f>
        <v>NORMAL</v>
      </c>
    </row>
    <row r="499" spans="1:10" ht="15.6" x14ac:dyDescent="0.3">
      <c r="A499" s="6">
        <v>44104</v>
      </c>
      <c r="B499" s="7" t="s">
        <v>278</v>
      </c>
      <c r="C499" s="7" t="s">
        <v>805</v>
      </c>
      <c r="D499" s="7" t="s">
        <v>812</v>
      </c>
      <c r="E499" s="7">
        <v>1</v>
      </c>
      <c r="F499" s="7" t="s">
        <v>845</v>
      </c>
      <c r="G499" s="7" t="s">
        <v>832</v>
      </c>
      <c r="H499" s="7">
        <v>2670</v>
      </c>
      <c r="I499" s="7" t="s">
        <v>851</v>
      </c>
      <c r="J499" s="8" t="str" cm="1">
        <f t="array" ref="J499">_xlfn.IFS(H499&gt;8000,"PLATINUM",H499&gt;6000,"GOLD",H499&gt;4000,"SILEVER",H499&gt;2000,"NORMAL",H499&gt;500,"BASIC")</f>
        <v>NORMAL</v>
      </c>
    </row>
    <row r="500" spans="1:10" ht="15.6" x14ac:dyDescent="0.3">
      <c r="A500" s="6">
        <v>45708</v>
      </c>
      <c r="B500" s="7" t="s">
        <v>279</v>
      </c>
      <c r="C500" s="7" t="s">
        <v>805</v>
      </c>
      <c r="D500" s="7" t="s">
        <v>812</v>
      </c>
      <c r="E500" s="7">
        <v>1</v>
      </c>
      <c r="F500" s="7" t="s">
        <v>842</v>
      </c>
      <c r="G500" s="7" t="s">
        <v>826</v>
      </c>
      <c r="H500" s="7">
        <v>2670</v>
      </c>
      <c r="I500" s="7" t="s">
        <v>851</v>
      </c>
      <c r="J500" s="8" t="str" cm="1">
        <f t="array" ref="J500">_xlfn.IFS(H500&gt;8000,"PLATINUM",H500&gt;6000,"GOLD",H500&gt;4000,"SILEVER",H500&gt;2000,"NORMAL",H500&gt;500,"BASIC")</f>
        <v>NORMAL</v>
      </c>
    </row>
    <row r="501" spans="1:10" ht="15.6" x14ac:dyDescent="0.3">
      <c r="A501" s="6">
        <v>44640</v>
      </c>
      <c r="B501" s="7" t="s">
        <v>280</v>
      </c>
      <c r="C501" s="7" t="s">
        <v>805</v>
      </c>
      <c r="D501" s="7" t="s">
        <v>812</v>
      </c>
      <c r="E501" s="7">
        <v>1</v>
      </c>
      <c r="F501" s="7" t="s">
        <v>845</v>
      </c>
      <c r="G501" s="7" t="s">
        <v>834</v>
      </c>
      <c r="H501" s="7">
        <v>2670</v>
      </c>
      <c r="I501" s="7" t="s">
        <v>851</v>
      </c>
      <c r="J501" s="8" t="str" cm="1">
        <f t="array" ref="J501">_xlfn.IFS(H501&gt;8000,"PLATINUM",H501&gt;6000,"GOLD",H501&gt;4000,"SILEVER",H501&gt;2000,"NORMAL",H501&gt;500,"BASIC")</f>
        <v>NORMAL</v>
      </c>
    </row>
    <row r="502" spans="1:10" ht="15.6" x14ac:dyDescent="0.3">
      <c r="A502" s="6">
        <v>45723</v>
      </c>
      <c r="B502" s="7" t="s">
        <v>281</v>
      </c>
      <c r="C502" s="7" t="s">
        <v>805</v>
      </c>
      <c r="D502" s="7" t="s">
        <v>812</v>
      </c>
      <c r="E502" s="7">
        <v>18</v>
      </c>
      <c r="F502" s="7" t="s">
        <v>843</v>
      </c>
      <c r="G502" s="7" t="s">
        <v>829</v>
      </c>
      <c r="H502" s="7">
        <v>1108</v>
      </c>
      <c r="I502" s="7" t="s">
        <v>851</v>
      </c>
      <c r="J502" s="8" t="str" cm="1">
        <f t="array" ref="J502">_xlfn.IFS(H502&gt;8000,"PLATINUM",H502&gt;6000,"GOLD",H502&gt;4000,"SILEVER",H502&gt;2000,"NORMAL",H502&gt;500,"BASIC")</f>
        <v>BASIC</v>
      </c>
    </row>
    <row r="503" spans="1:10" ht="15.6" x14ac:dyDescent="0.3">
      <c r="A503" s="6">
        <v>45723</v>
      </c>
      <c r="B503" s="7" t="s">
        <v>281</v>
      </c>
      <c r="C503" s="7" t="s">
        <v>806</v>
      </c>
      <c r="D503" s="7" t="s">
        <v>818</v>
      </c>
      <c r="E503" s="7">
        <v>9</v>
      </c>
      <c r="F503" s="7" t="s">
        <v>843</v>
      </c>
      <c r="G503" s="7" t="s">
        <v>829</v>
      </c>
      <c r="H503" s="7">
        <v>9776</v>
      </c>
      <c r="I503" s="7" t="s">
        <v>850</v>
      </c>
      <c r="J503" s="8" t="str" cm="1">
        <f t="array" ref="J503">_xlfn.IFS(H503&gt;8000,"PLATINUM",H503&gt;6000,"GOLD",H503&gt;4000,"SILEVER",H503&gt;2000,"NORMAL",H503&gt;500,"BASIC")</f>
        <v>PLATINUM</v>
      </c>
    </row>
    <row r="504" spans="1:10" ht="15.6" x14ac:dyDescent="0.3">
      <c r="A504" s="6">
        <v>45723</v>
      </c>
      <c r="B504" s="7" t="s">
        <v>281</v>
      </c>
      <c r="C504" s="7" t="s">
        <v>807</v>
      </c>
      <c r="D504" s="7" t="s">
        <v>820</v>
      </c>
      <c r="E504" s="7">
        <v>6</v>
      </c>
      <c r="F504" s="7" t="s">
        <v>843</v>
      </c>
      <c r="G504" s="7" t="s">
        <v>829</v>
      </c>
      <c r="H504" s="7">
        <v>535</v>
      </c>
      <c r="I504" s="7" t="s">
        <v>854</v>
      </c>
      <c r="J504" s="8" t="str" cm="1">
        <f t="array" ref="J504">_xlfn.IFS(H504&gt;8000,"PLATINUM",H504&gt;6000,"GOLD",H504&gt;4000,"SILEVER",H504&gt;2000,"NORMAL",H504&gt;500,"BASIC")</f>
        <v>BASIC</v>
      </c>
    </row>
    <row r="505" spans="1:10" ht="15.6" x14ac:dyDescent="0.3">
      <c r="A505" s="6">
        <v>45459</v>
      </c>
      <c r="B505" s="7" t="s">
        <v>282</v>
      </c>
      <c r="C505" s="7" t="s">
        <v>806</v>
      </c>
      <c r="D505" s="7" t="s">
        <v>817</v>
      </c>
      <c r="E505" s="7">
        <v>5</v>
      </c>
      <c r="F505" s="7" t="s">
        <v>842</v>
      </c>
      <c r="G505" s="7" t="s">
        <v>839</v>
      </c>
      <c r="H505" s="7">
        <v>7564</v>
      </c>
      <c r="I505" s="7" t="s">
        <v>853</v>
      </c>
      <c r="J505" s="8" t="str" cm="1">
        <f t="array" ref="J505">_xlfn.IFS(H505&gt;8000,"PLATINUM",H505&gt;6000,"GOLD",H505&gt;4000,"SILEVER",H505&gt;2000,"NORMAL",H505&gt;500,"BASIC")</f>
        <v>GOLD</v>
      </c>
    </row>
    <row r="506" spans="1:10" ht="15.6" x14ac:dyDescent="0.3">
      <c r="A506" s="6">
        <v>44156</v>
      </c>
      <c r="B506" s="7" t="s">
        <v>283</v>
      </c>
      <c r="C506" s="7" t="s">
        <v>806</v>
      </c>
      <c r="D506" s="7" t="s">
        <v>817</v>
      </c>
      <c r="E506" s="7">
        <v>5</v>
      </c>
      <c r="F506" s="7" t="s">
        <v>843</v>
      </c>
      <c r="G506" s="7" t="s">
        <v>840</v>
      </c>
      <c r="H506" s="7">
        <v>7564</v>
      </c>
      <c r="I506" s="7" t="s">
        <v>853</v>
      </c>
      <c r="J506" s="8" t="str" cm="1">
        <f t="array" ref="J506">_xlfn.IFS(H506&gt;8000,"PLATINUM",H506&gt;6000,"GOLD",H506&gt;4000,"SILEVER",H506&gt;2000,"NORMAL",H506&gt;500,"BASIC")</f>
        <v>GOLD</v>
      </c>
    </row>
    <row r="507" spans="1:10" ht="15.6" x14ac:dyDescent="0.3">
      <c r="A507" s="6">
        <v>45566</v>
      </c>
      <c r="B507" s="7" t="s">
        <v>284</v>
      </c>
      <c r="C507" s="7" t="s">
        <v>806</v>
      </c>
      <c r="D507" s="7" t="s">
        <v>817</v>
      </c>
      <c r="E507" s="7">
        <v>5</v>
      </c>
      <c r="F507" s="7" t="s">
        <v>842</v>
      </c>
      <c r="G507" s="7" t="s">
        <v>823</v>
      </c>
      <c r="H507" s="7">
        <v>7564</v>
      </c>
      <c r="I507" s="7" t="s">
        <v>853</v>
      </c>
      <c r="J507" s="8" t="str" cm="1">
        <f t="array" ref="J507">_xlfn.IFS(H507&gt;8000,"PLATINUM",H507&gt;6000,"GOLD",H507&gt;4000,"SILEVER",H507&gt;2000,"NORMAL",H507&gt;500,"BASIC")</f>
        <v>GOLD</v>
      </c>
    </row>
    <row r="508" spans="1:10" ht="15.6" x14ac:dyDescent="0.3">
      <c r="A508" s="6">
        <v>45474</v>
      </c>
      <c r="B508" s="7" t="s">
        <v>285</v>
      </c>
      <c r="C508" s="7" t="s">
        <v>806</v>
      </c>
      <c r="D508" s="7" t="s">
        <v>817</v>
      </c>
      <c r="E508" s="7">
        <v>5</v>
      </c>
      <c r="F508" s="7" t="s">
        <v>846</v>
      </c>
      <c r="G508" s="7" t="s">
        <v>838</v>
      </c>
      <c r="H508" s="7">
        <v>7564</v>
      </c>
      <c r="I508" s="7" t="s">
        <v>853</v>
      </c>
      <c r="J508" s="8" t="str" cm="1">
        <f t="array" ref="J508">_xlfn.IFS(H508&gt;8000,"PLATINUM",H508&gt;6000,"GOLD",H508&gt;4000,"SILEVER",H508&gt;2000,"NORMAL",H508&gt;500,"BASIC")</f>
        <v>GOLD</v>
      </c>
    </row>
    <row r="509" spans="1:10" ht="15.6" x14ac:dyDescent="0.3">
      <c r="A509" s="6">
        <v>45459</v>
      </c>
      <c r="B509" s="7" t="s">
        <v>282</v>
      </c>
      <c r="C509" s="7" t="s">
        <v>805</v>
      </c>
      <c r="D509" s="7" t="s">
        <v>809</v>
      </c>
      <c r="E509" s="7">
        <v>20</v>
      </c>
      <c r="F509" s="7" t="s">
        <v>842</v>
      </c>
      <c r="G509" s="7" t="s">
        <v>839</v>
      </c>
      <c r="H509" s="7">
        <v>3409</v>
      </c>
      <c r="I509" s="7" t="s">
        <v>850</v>
      </c>
      <c r="J509" s="8" t="str" cm="1">
        <f t="array" ref="J509">_xlfn.IFS(H509&gt;8000,"PLATINUM",H509&gt;6000,"GOLD",H509&gt;4000,"SILEVER",H509&gt;2000,"NORMAL",H509&gt;500,"BASIC")</f>
        <v>NORMAL</v>
      </c>
    </row>
    <row r="510" spans="1:10" ht="15.6" x14ac:dyDescent="0.3">
      <c r="A510" s="6">
        <v>44156</v>
      </c>
      <c r="B510" s="7" t="s">
        <v>283</v>
      </c>
      <c r="C510" s="7" t="s">
        <v>805</v>
      </c>
      <c r="D510" s="7" t="s">
        <v>809</v>
      </c>
      <c r="E510" s="7">
        <v>20</v>
      </c>
      <c r="F510" s="7" t="s">
        <v>843</v>
      </c>
      <c r="G510" s="7" t="s">
        <v>840</v>
      </c>
      <c r="H510" s="7">
        <v>3409</v>
      </c>
      <c r="I510" s="7" t="s">
        <v>850</v>
      </c>
      <c r="J510" s="8" t="str" cm="1">
        <f t="array" ref="J510">_xlfn.IFS(H510&gt;8000,"PLATINUM",H510&gt;6000,"GOLD",H510&gt;4000,"SILEVER",H510&gt;2000,"NORMAL",H510&gt;500,"BASIC")</f>
        <v>NORMAL</v>
      </c>
    </row>
    <row r="511" spans="1:10" ht="15.6" x14ac:dyDescent="0.3">
      <c r="A511" s="6">
        <v>45566</v>
      </c>
      <c r="B511" s="7" t="s">
        <v>284</v>
      </c>
      <c r="C511" s="7" t="s">
        <v>805</v>
      </c>
      <c r="D511" s="7" t="s">
        <v>809</v>
      </c>
      <c r="E511" s="7">
        <v>20</v>
      </c>
      <c r="F511" s="7" t="s">
        <v>842</v>
      </c>
      <c r="G511" s="7" t="s">
        <v>823</v>
      </c>
      <c r="H511" s="7">
        <v>3409</v>
      </c>
      <c r="I511" s="7" t="s">
        <v>850</v>
      </c>
      <c r="J511" s="8" t="str" cm="1">
        <f t="array" ref="J511">_xlfn.IFS(H511&gt;8000,"PLATINUM",H511&gt;6000,"GOLD",H511&gt;4000,"SILEVER",H511&gt;2000,"NORMAL",H511&gt;500,"BASIC")</f>
        <v>NORMAL</v>
      </c>
    </row>
    <row r="512" spans="1:10" ht="15.6" x14ac:dyDescent="0.3">
      <c r="A512" s="6">
        <v>45474</v>
      </c>
      <c r="B512" s="7" t="s">
        <v>285</v>
      </c>
      <c r="C512" s="7" t="s">
        <v>805</v>
      </c>
      <c r="D512" s="7" t="s">
        <v>809</v>
      </c>
      <c r="E512" s="7">
        <v>20</v>
      </c>
      <c r="F512" s="7" t="s">
        <v>846</v>
      </c>
      <c r="G512" s="7" t="s">
        <v>838</v>
      </c>
      <c r="H512" s="7">
        <v>3409</v>
      </c>
      <c r="I512" s="7" t="s">
        <v>850</v>
      </c>
      <c r="J512" s="8" t="str" cm="1">
        <f t="array" ref="J512">_xlfn.IFS(H512&gt;8000,"PLATINUM",H512&gt;6000,"GOLD",H512&gt;4000,"SILEVER",H512&gt;2000,"NORMAL",H512&gt;500,"BASIC")</f>
        <v>NORMAL</v>
      </c>
    </row>
    <row r="513" spans="1:10" ht="15.6" x14ac:dyDescent="0.3">
      <c r="A513" s="6">
        <v>44158</v>
      </c>
      <c r="B513" s="7" t="s">
        <v>286</v>
      </c>
      <c r="C513" s="7" t="s">
        <v>806</v>
      </c>
      <c r="D513" s="7" t="s">
        <v>811</v>
      </c>
      <c r="E513" s="7">
        <v>13</v>
      </c>
      <c r="F513" s="7" t="s">
        <v>844</v>
      </c>
      <c r="G513" s="7" t="s">
        <v>825</v>
      </c>
      <c r="H513" s="7">
        <v>9751</v>
      </c>
      <c r="I513" s="7" t="s">
        <v>854</v>
      </c>
      <c r="J513" s="8" t="str" cm="1">
        <f t="array" ref="J513">_xlfn.IFS(H513&gt;8000,"PLATINUM",H513&gt;6000,"GOLD",H513&gt;4000,"SILEVER",H513&gt;2000,"NORMAL",H513&gt;500,"BASIC")</f>
        <v>PLATINUM</v>
      </c>
    </row>
    <row r="514" spans="1:10" ht="15.6" x14ac:dyDescent="0.3">
      <c r="A514" s="6">
        <v>45003</v>
      </c>
      <c r="B514" s="7" t="s">
        <v>287</v>
      </c>
      <c r="C514" s="7" t="s">
        <v>805</v>
      </c>
      <c r="D514" s="7" t="s">
        <v>810</v>
      </c>
      <c r="E514" s="7">
        <v>11</v>
      </c>
      <c r="F514" s="7" t="s">
        <v>842</v>
      </c>
      <c r="G514" s="7" t="s">
        <v>826</v>
      </c>
      <c r="H514" s="7">
        <v>6385</v>
      </c>
      <c r="I514" s="7" t="s">
        <v>853</v>
      </c>
      <c r="J514" s="8" t="str" cm="1">
        <f t="array" ref="J514">_xlfn.IFS(H514&gt;8000,"PLATINUM",H514&gt;6000,"GOLD",H514&gt;4000,"SILEVER",H514&gt;2000,"NORMAL",H514&gt;500,"BASIC")</f>
        <v>GOLD</v>
      </c>
    </row>
    <row r="515" spans="1:10" ht="15.6" x14ac:dyDescent="0.3">
      <c r="A515" s="6">
        <v>44853</v>
      </c>
      <c r="B515" s="7" t="s">
        <v>288</v>
      </c>
      <c r="C515" s="7" t="s">
        <v>805</v>
      </c>
      <c r="D515" s="7" t="s">
        <v>810</v>
      </c>
      <c r="E515" s="7">
        <v>11</v>
      </c>
      <c r="F515" s="7" t="s">
        <v>842</v>
      </c>
      <c r="G515" s="7" t="s">
        <v>839</v>
      </c>
      <c r="H515" s="7">
        <v>6385</v>
      </c>
      <c r="I515" s="7" t="s">
        <v>853</v>
      </c>
      <c r="J515" s="8" t="str" cm="1">
        <f t="array" ref="J515">_xlfn.IFS(H515&gt;8000,"PLATINUM",H515&gt;6000,"GOLD",H515&gt;4000,"SILEVER",H515&gt;2000,"NORMAL",H515&gt;500,"BASIC")</f>
        <v>GOLD</v>
      </c>
    </row>
    <row r="516" spans="1:10" ht="15.6" x14ac:dyDescent="0.3">
      <c r="A516" s="6">
        <v>45169</v>
      </c>
      <c r="B516" s="7" t="s">
        <v>289</v>
      </c>
      <c r="C516" s="7" t="s">
        <v>805</v>
      </c>
      <c r="D516" s="7" t="s">
        <v>809</v>
      </c>
      <c r="E516" s="7">
        <v>15</v>
      </c>
      <c r="F516" s="7" t="s">
        <v>846</v>
      </c>
      <c r="G516" s="7" t="s">
        <v>833</v>
      </c>
      <c r="H516" s="7">
        <v>6355</v>
      </c>
      <c r="I516" s="7" t="s">
        <v>851</v>
      </c>
      <c r="J516" s="8" t="str" cm="1">
        <f t="array" ref="J516">_xlfn.IFS(H516&gt;8000,"PLATINUM",H516&gt;6000,"GOLD",H516&gt;4000,"SILEVER",H516&gt;2000,"NORMAL",H516&gt;500,"BASIC")</f>
        <v>GOLD</v>
      </c>
    </row>
    <row r="517" spans="1:10" ht="15.6" x14ac:dyDescent="0.3">
      <c r="A517" s="6">
        <v>44353</v>
      </c>
      <c r="B517" s="7" t="s">
        <v>290</v>
      </c>
      <c r="C517" s="7" t="s">
        <v>805</v>
      </c>
      <c r="D517" s="7" t="s">
        <v>809</v>
      </c>
      <c r="E517" s="7">
        <v>15</v>
      </c>
      <c r="F517" s="7" t="s">
        <v>846</v>
      </c>
      <c r="G517" s="7" t="s">
        <v>833</v>
      </c>
      <c r="H517" s="7">
        <v>6355</v>
      </c>
      <c r="I517" s="7" t="s">
        <v>851</v>
      </c>
      <c r="J517" s="8" t="str" cm="1">
        <f t="array" ref="J517">_xlfn.IFS(H517&gt;8000,"PLATINUM",H517&gt;6000,"GOLD",H517&gt;4000,"SILEVER",H517&gt;2000,"NORMAL",H517&gt;500,"BASIC")</f>
        <v>GOLD</v>
      </c>
    </row>
    <row r="518" spans="1:10" ht="15.6" x14ac:dyDescent="0.3">
      <c r="A518" s="6">
        <v>44916</v>
      </c>
      <c r="B518" s="7" t="s">
        <v>291</v>
      </c>
      <c r="C518" s="7" t="s">
        <v>805</v>
      </c>
      <c r="D518" s="7" t="s">
        <v>810</v>
      </c>
      <c r="E518" s="7">
        <v>15</v>
      </c>
      <c r="F518" s="7" t="s">
        <v>846</v>
      </c>
      <c r="G518" s="7" t="s">
        <v>833</v>
      </c>
      <c r="H518" s="7">
        <v>7377</v>
      </c>
      <c r="I518" s="7" t="s">
        <v>851</v>
      </c>
      <c r="J518" s="8" t="str" cm="1">
        <f t="array" ref="J518">_xlfn.IFS(H518&gt;8000,"PLATINUM",H518&gt;6000,"GOLD",H518&gt;4000,"SILEVER",H518&gt;2000,"NORMAL",H518&gt;500,"BASIC")</f>
        <v>GOLD</v>
      </c>
    </row>
    <row r="519" spans="1:10" ht="15.6" x14ac:dyDescent="0.3">
      <c r="A519" s="6">
        <v>44916</v>
      </c>
      <c r="B519" s="7" t="s">
        <v>291</v>
      </c>
      <c r="C519" s="7" t="s">
        <v>806</v>
      </c>
      <c r="D519" s="7" t="s">
        <v>815</v>
      </c>
      <c r="E519" s="7">
        <v>12</v>
      </c>
      <c r="F519" s="7" t="s">
        <v>846</v>
      </c>
      <c r="G519" s="7" t="s">
        <v>833</v>
      </c>
      <c r="H519" s="7">
        <v>2054</v>
      </c>
      <c r="I519" s="7" t="s">
        <v>852</v>
      </c>
      <c r="J519" s="8" t="str" cm="1">
        <f t="array" ref="J519">_xlfn.IFS(H519&gt;8000,"PLATINUM",H519&gt;6000,"GOLD",H519&gt;4000,"SILEVER",H519&gt;2000,"NORMAL",H519&gt;500,"BASIC")</f>
        <v>NORMAL</v>
      </c>
    </row>
    <row r="520" spans="1:10" ht="15.6" x14ac:dyDescent="0.3">
      <c r="A520" s="6">
        <v>45334</v>
      </c>
      <c r="B520" s="7" t="s">
        <v>292</v>
      </c>
      <c r="C520" s="7" t="s">
        <v>807</v>
      </c>
      <c r="D520" s="7" t="s">
        <v>814</v>
      </c>
      <c r="E520" s="7">
        <v>18</v>
      </c>
      <c r="F520" s="7" t="s">
        <v>843</v>
      </c>
      <c r="G520" s="7" t="s">
        <v>840</v>
      </c>
      <c r="H520" s="7">
        <v>7497</v>
      </c>
      <c r="I520" s="7" t="s">
        <v>854</v>
      </c>
      <c r="J520" s="8" t="str" cm="1">
        <f t="array" ref="J520">_xlfn.IFS(H520&gt;8000,"PLATINUM",H520&gt;6000,"GOLD",H520&gt;4000,"SILEVER",H520&gt;2000,"NORMAL",H520&gt;500,"BASIC")</f>
        <v>GOLD</v>
      </c>
    </row>
    <row r="521" spans="1:10" ht="15.6" x14ac:dyDescent="0.3">
      <c r="A521" s="6">
        <v>44900</v>
      </c>
      <c r="B521" s="7" t="s">
        <v>293</v>
      </c>
      <c r="C521" s="7" t="s">
        <v>805</v>
      </c>
      <c r="D521" s="7" t="s">
        <v>809</v>
      </c>
      <c r="E521" s="7">
        <v>20</v>
      </c>
      <c r="F521" s="7" t="s">
        <v>842</v>
      </c>
      <c r="G521" s="7" t="s">
        <v>823</v>
      </c>
      <c r="H521" s="7">
        <v>2565</v>
      </c>
      <c r="I521" s="7" t="s">
        <v>851</v>
      </c>
      <c r="J521" s="8" t="str" cm="1">
        <f t="array" ref="J521">_xlfn.IFS(H521&gt;8000,"PLATINUM",H521&gt;6000,"GOLD",H521&gt;4000,"SILEVER",H521&gt;2000,"NORMAL",H521&gt;500,"BASIC")</f>
        <v>NORMAL</v>
      </c>
    </row>
    <row r="522" spans="1:10" ht="15.6" x14ac:dyDescent="0.3">
      <c r="A522" s="6">
        <v>44900</v>
      </c>
      <c r="B522" s="7" t="s">
        <v>293</v>
      </c>
      <c r="C522" s="7" t="s">
        <v>806</v>
      </c>
      <c r="D522" s="7" t="s">
        <v>811</v>
      </c>
      <c r="E522" s="7">
        <v>19</v>
      </c>
      <c r="F522" s="7" t="s">
        <v>842</v>
      </c>
      <c r="G522" s="7" t="s">
        <v>823</v>
      </c>
      <c r="H522" s="7">
        <v>5024</v>
      </c>
      <c r="I522" s="7" t="s">
        <v>854</v>
      </c>
      <c r="J522" s="8" t="str" cm="1">
        <f t="array" ref="J522">_xlfn.IFS(H522&gt;8000,"PLATINUM",H522&gt;6000,"GOLD",H522&gt;4000,"SILEVER",H522&gt;2000,"NORMAL",H522&gt;500,"BASIC")</f>
        <v>SILEVER</v>
      </c>
    </row>
    <row r="523" spans="1:10" ht="15.6" x14ac:dyDescent="0.3">
      <c r="A523" s="6">
        <v>44290</v>
      </c>
      <c r="B523" s="7" t="s">
        <v>294</v>
      </c>
      <c r="C523" s="7" t="s">
        <v>806</v>
      </c>
      <c r="D523" s="7" t="s">
        <v>818</v>
      </c>
      <c r="E523" s="7">
        <v>15</v>
      </c>
      <c r="F523" s="7" t="s">
        <v>846</v>
      </c>
      <c r="G523" s="7" t="s">
        <v>838</v>
      </c>
      <c r="H523" s="7">
        <v>8243</v>
      </c>
      <c r="I523" s="7" t="s">
        <v>851</v>
      </c>
      <c r="J523" s="8" t="str" cm="1">
        <f t="array" ref="J523">_xlfn.IFS(H523&gt;8000,"PLATINUM",H523&gt;6000,"GOLD",H523&gt;4000,"SILEVER",H523&gt;2000,"NORMAL",H523&gt;500,"BASIC")</f>
        <v>PLATINUM</v>
      </c>
    </row>
    <row r="524" spans="1:10" ht="15.6" x14ac:dyDescent="0.3">
      <c r="A524" s="6">
        <v>44239</v>
      </c>
      <c r="B524" s="7" t="s">
        <v>295</v>
      </c>
      <c r="C524" s="7" t="s">
        <v>806</v>
      </c>
      <c r="D524" s="7" t="s">
        <v>817</v>
      </c>
      <c r="E524" s="7">
        <v>13</v>
      </c>
      <c r="F524" s="7" t="s">
        <v>843</v>
      </c>
      <c r="G524" s="7" t="s">
        <v>840</v>
      </c>
      <c r="H524" s="7">
        <v>7792</v>
      </c>
      <c r="I524" s="7" t="s">
        <v>850</v>
      </c>
      <c r="J524" s="8" t="str" cm="1">
        <f t="array" ref="J524">_xlfn.IFS(H524&gt;8000,"PLATINUM",H524&gt;6000,"GOLD",H524&gt;4000,"SILEVER",H524&gt;2000,"NORMAL",H524&gt;500,"BASIC")</f>
        <v>GOLD</v>
      </c>
    </row>
    <row r="525" spans="1:10" ht="15.6" x14ac:dyDescent="0.3">
      <c r="A525" s="6">
        <v>44922</v>
      </c>
      <c r="B525" s="7" t="s">
        <v>296</v>
      </c>
      <c r="C525" s="7" t="s">
        <v>806</v>
      </c>
      <c r="D525" s="7" t="s">
        <v>817</v>
      </c>
      <c r="E525" s="7">
        <v>13</v>
      </c>
      <c r="F525" s="7" t="s">
        <v>844</v>
      </c>
      <c r="G525" s="7" t="s">
        <v>830</v>
      </c>
      <c r="H525" s="7">
        <v>7792</v>
      </c>
      <c r="I525" s="7" t="s">
        <v>850</v>
      </c>
      <c r="J525" s="8" t="str" cm="1">
        <f t="array" ref="J525">_xlfn.IFS(H525&gt;8000,"PLATINUM",H525&gt;6000,"GOLD",H525&gt;4000,"SILEVER",H525&gt;2000,"NORMAL",H525&gt;500,"BASIC")</f>
        <v>GOLD</v>
      </c>
    </row>
    <row r="526" spans="1:10" ht="15.6" x14ac:dyDescent="0.3">
      <c r="A526" s="6">
        <v>45310</v>
      </c>
      <c r="B526" s="7" t="s">
        <v>297</v>
      </c>
      <c r="C526" s="7" t="s">
        <v>806</v>
      </c>
      <c r="D526" s="7" t="s">
        <v>817</v>
      </c>
      <c r="E526" s="7">
        <v>13</v>
      </c>
      <c r="F526" s="7" t="s">
        <v>845</v>
      </c>
      <c r="G526" s="7" t="s">
        <v>832</v>
      </c>
      <c r="H526" s="7">
        <v>7792</v>
      </c>
      <c r="I526" s="7" t="s">
        <v>850</v>
      </c>
      <c r="J526" s="8" t="str" cm="1">
        <f t="array" ref="J526">_xlfn.IFS(H526&gt;8000,"PLATINUM",H526&gt;6000,"GOLD",H526&gt;4000,"SILEVER",H526&gt;2000,"NORMAL",H526&gt;500,"BASIC")</f>
        <v>GOLD</v>
      </c>
    </row>
    <row r="527" spans="1:10" ht="15.6" x14ac:dyDescent="0.3">
      <c r="A527" s="6">
        <v>44239</v>
      </c>
      <c r="B527" s="7" t="s">
        <v>295</v>
      </c>
      <c r="C527" s="7" t="s">
        <v>807</v>
      </c>
      <c r="D527" s="7" t="s">
        <v>814</v>
      </c>
      <c r="E527" s="7">
        <v>14</v>
      </c>
      <c r="F527" s="7" t="s">
        <v>843</v>
      </c>
      <c r="G527" s="7" t="s">
        <v>840</v>
      </c>
      <c r="H527" s="7">
        <v>2346</v>
      </c>
      <c r="I527" s="7" t="s">
        <v>851</v>
      </c>
      <c r="J527" s="8" t="str" cm="1">
        <f t="array" ref="J527">_xlfn.IFS(H527&gt;8000,"PLATINUM",H527&gt;6000,"GOLD",H527&gt;4000,"SILEVER",H527&gt;2000,"NORMAL",H527&gt;500,"BASIC")</f>
        <v>NORMAL</v>
      </c>
    </row>
    <row r="528" spans="1:10" ht="15.6" x14ac:dyDescent="0.3">
      <c r="A528" s="6">
        <v>44922</v>
      </c>
      <c r="B528" s="7" t="s">
        <v>296</v>
      </c>
      <c r="C528" s="7" t="s">
        <v>807</v>
      </c>
      <c r="D528" s="7" t="s">
        <v>814</v>
      </c>
      <c r="E528" s="7">
        <v>14</v>
      </c>
      <c r="F528" s="7" t="s">
        <v>844</v>
      </c>
      <c r="G528" s="7" t="s">
        <v>830</v>
      </c>
      <c r="H528" s="7">
        <v>2346</v>
      </c>
      <c r="I528" s="7" t="s">
        <v>851</v>
      </c>
      <c r="J528" s="8" t="str" cm="1">
        <f t="array" ref="J528">_xlfn.IFS(H528&gt;8000,"PLATINUM",H528&gt;6000,"GOLD",H528&gt;4000,"SILEVER",H528&gt;2000,"NORMAL",H528&gt;500,"BASIC")</f>
        <v>NORMAL</v>
      </c>
    </row>
    <row r="529" spans="1:10" ht="15.6" x14ac:dyDescent="0.3">
      <c r="A529" s="6">
        <v>45310</v>
      </c>
      <c r="B529" s="7" t="s">
        <v>297</v>
      </c>
      <c r="C529" s="7" t="s">
        <v>807</v>
      </c>
      <c r="D529" s="7" t="s">
        <v>814</v>
      </c>
      <c r="E529" s="7">
        <v>14</v>
      </c>
      <c r="F529" s="7" t="s">
        <v>845</v>
      </c>
      <c r="G529" s="7" t="s">
        <v>832</v>
      </c>
      <c r="H529" s="7">
        <v>2346</v>
      </c>
      <c r="I529" s="7" t="s">
        <v>851</v>
      </c>
      <c r="J529" s="8" t="str" cm="1">
        <f t="array" ref="J529">_xlfn.IFS(H529&gt;8000,"PLATINUM",H529&gt;6000,"GOLD",H529&gt;4000,"SILEVER",H529&gt;2000,"NORMAL",H529&gt;500,"BASIC")</f>
        <v>NORMAL</v>
      </c>
    </row>
    <row r="530" spans="1:10" ht="15.6" x14ac:dyDescent="0.3">
      <c r="A530" s="6">
        <v>44920</v>
      </c>
      <c r="B530" s="7" t="s">
        <v>298</v>
      </c>
      <c r="C530" s="7" t="s">
        <v>807</v>
      </c>
      <c r="D530" s="7" t="s">
        <v>816</v>
      </c>
      <c r="E530" s="7">
        <v>10</v>
      </c>
      <c r="F530" s="7" t="s">
        <v>847</v>
      </c>
      <c r="G530" s="7" t="s">
        <v>835</v>
      </c>
      <c r="H530" s="7">
        <v>7346</v>
      </c>
      <c r="I530" s="7" t="s">
        <v>853</v>
      </c>
      <c r="J530" s="8" t="str" cm="1">
        <f t="array" ref="J530">_xlfn.IFS(H530&gt;8000,"PLATINUM",H530&gt;6000,"GOLD",H530&gt;4000,"SILEVER",H530&gt;2000,"NORMAL",H530&gt;500,"BASIC")</f>
        <v>GOLD</v>
      </c>
    </row>
    <row r="531" spans="1:10" ht="15.6" x14ac:dyDescent="0.3">
      <c r="A531" s="6">
        <v>44920</v>
      </c>
      <c r="B531" s="7" t="s">
        <v>298</v>
      </c>
      <c r="C531" s="7" t="s">
        <v>805</v>
      </c>
      <c r="D531" s="7" t="s">
        <v>809</v>
      </c>
      <c r="E531" s="7">
        <v>7</v>
      </c>
      <c r="F531" s="7" t="s">
        <v>847</v>
      </c>
      <c r="G531" s="7" t="s">
        <v>835</v>
      </c>
      <c r="H531" s="7">
        <v>9770</v>
      </c>
      <c r="I531" s="7" t="s">
        <v>850</v>
      </c>
      <c r="J531" s="8" t="str" cm="1">
        <f t="array" ref="J531">_xlfn.IFS(H531&gt;8000,"PLATINUM",H531&gt;6000,"GOLD",H531&gt;4000,"SILEVER",H531&gt;2000,"NORMAL",H531&gt;500,"BASIC")</f>
        <v>PLATINUM</v>
      </c>
    </row>
    <row r="532" spans="1:10" ht="15.6" x14ac:dyDescent="0.3">
      <c r="A532" s="6">
        <v>44920</v>
      </c>
      <c r="B532" s="7" t="s">
        <v>298</v>
      </c>
      <c r="C532" s="7" t="s">
        <v>805</v>
      </c>
      <c r="D532" s="7" t="s">
        <v>812</v>
      </c>
      <c r="E532" s="7">
        <v>13</v>
      </c>
      <c r="F532" s="7" t="s">
        <v>847</v>
      </c>
      <c r="G532" s="7" t="s">
        <v>835</v>
      </c>
      <c r="H532" s="7">
        <v>7179</v>
      </c>
      <c r="I532" s="7" t="s">
        <v>853</v>
      </c>
      <c r="J532" s="8" t="str" cm="1">
        <f t="array" ref="J532">_xlfn.IFS(H532&gt;8000,"PLATINUM",H532&gt;6000,"GOLD",H532&gt;4000,"SILEVER",H532&gt;2000,"NORMAL",H532&gt;500,"BASIC")</f>
        <v>GOLD</v>
      </c>
    </row>
    <row r="533" spans="1:10" ht="15.6" x14ac:dyDescent="0.3">
      <c r="A533" s="6">
        <v>44840</v>
      </c>
      <c r="B533" s="7" t="s">
        <v>299</v>
      </c>
      <c r="C533" s="7" t="s">
        <v>805</v>
      </c>
      <c r="D533" s="7" t="s">
        <v>819</v>
      </c>
      <c r="E533" s="7">
        <v>2</v>
      </c>
      <c r="F533" s="7" t="s">
        <v>842</v>
      </c>
      <c r="G533" s="7" t="s">
        <v>823</v>
      </c>
      <c r="H533" s="7">
        <v>5449</v>
      </c>
      <c r="I533" s="7" t="s">
        <v>850</v>
      </c>
      <c r="J533" s="8" t="str" cm="1">
        <f t="array" ref="J533">_xlfn.IFS(H533&gt;8000,"PLATINUM",H533&gt;6000,"GOLD",H533&gt;4000,"SILEVER",H533&gt;2000,"NORMAL",H533&gt;500,"BASIC")</f>
        <v>SILEVER</v>
      </c>
    </row>
    <row r="534" spans="1:10" ht="15.6" x14ac:dyDescent="0.3">
      <c r="A534" s="6">
        <v>43948</v>
      </c>
      <c r="B534" s="7" t="s">
        <v>300</v>
      </c>
      <c r="C534" s="7" t="s">
        <v>807</v>
      </c>
      <c r="D534" s="7" t="s">
        <v>814</v>
      </c>
      <c r="E534" s="7">
        <v>6</v>
      </c>
      <c r="F534" s="7" t="s">
        <v>844</v>
      </c>
      <c r="G534" s="7" t="s">
        <v>825</v>
      </c>
      <c r="H534" s="7">
        <v>2895</v>
      </c>
      <c r="I534" s="7" t="s">
        <v>854</v>
      </c>
      <c r="J534" s="8" t="str" cm="1">
        <f t="array" ref="J534">_xlfn.IFS(H534&gt;8000,"PLATINUM",H534&gt;6000,"GOLD",H534&gt;4000,"SILEVER",H534&gt;2000,"NORMAL",H534&gt;500,"BASIC")</f>
        <v>NORMAL</v>
      </c>
    </row>
    <row r="535" spans="1:10" ht="15.6" x14ac:dyDescent="0.3">
      <c r="A535" s="6">
        <v>45425</v>
      </c>
      <c r="B535" s="7" t="s">
        <v>301</v>
      </c>
      <c r="C535" s="7" t="s">
        <v>807</v>
      </c>
      <c r="D535" s="7" t="s">
        <v>814</v>
      </c>
      <c r="E535" s="7">
        <v>6</v>
      </c>
      <c r="F535" s="7" t="s">
        <v>846</v>
      </c>
      <c r="G535" s="7" t="s">
        <v>838</v>
      </c>
      <c r="H535" s="7">
        <v>2895</v>
      </c>
      <c r="I535" s="7" t="s">
        <v>854</v>
      </c>
      <c r="J535" s="8" t="str" cm="1">
        <f t="array" ref="J535">_xlfn.IFS(H535&gt;8000,"PLATINUM",H535&gt;6000,"GOLD",H535&gt;4000,"SILEVER",H535&gt;2000,"NORMAL",H535&gt;500,"BASIC")</f>
        <v>NORMAL</v>
      </c>
    </row>
    <row r="536" spans="1:10" ht="15.6" x14ac:dyDescent="0.3">
      <c r="A536" s="6">
        <v>43948</v>
      </c>
      <c r="B536" s="7" t="s">
        <v>300</v>
      </c>
      <c r="C536" s="7" t="s">
        <v>807</v>
      </c>
      <c r="D536" s="7" t="s">
        <v>814</v>
      </c>
      <c r="E536" s="7">
        <v>1</v>
      </c>
      <c r="F536" s="7" t="s">
        <v>844</v>
      </c>
      <c r="G536" s="7" t="s">
        <v>825</v>
      </c>
      <c r="H536" s="7">
        <v>697</v>
      </c>
      <c r="I536" s="7" t="s">
        <v>850</v>
      </c>
      <c r="J536" s="8" t="str" cm="1">
        <f t="array" ref="J536">_xlfn.IFS(H536&gt;8000,"PLATINUM",H536&gt;6000,"GOLD",H536&gt;4000,"SILEVER",H536&gt;2000,"NORMAL",H536&gt;500,"BASIC")</f>
        <v>BASIC</v>
      </c>
    </row>
    <row r="537" spans="1:10" ht="15.6" x14ac:dyDescent="0.3">
      <c r="A537" s="6">
        <v>45425</v>
      </c>
      <c r="B537" s="7" t="s">
        <v>301</v>
      </c>
      <c r="C537" s="7" t="s">
        <v>807</v>
      </c>
      <c r="D537" s="7" t="s">
        <v>814</v>
      </c>
      <c r="E537" s="7">
        <v>1</v>
      </c>
      <c r="F537" s="7" t="s">
        <v>846</v>
      </c>
      <c r="G537" s="7" t="s">
        <v>838</v>
      </c>
      <c r="H537" s="7">
        <v>697</v>
      </c>
      <c r="I537" s="7" t="s">
        <v>850</v>
      </c>
      <c r="J537" s="8" t="str" cm="1">
        <f t="array" ref="J537">_xlfn.IFS(H537&gt;8000,"PLATINUM",H537&gt;6000,"GOLD",H537&gt;4000,"SILEVER",H537&gt;2000,"NORMAL",H537&gt;500,"BASIC")</f>
        <v>BASIC</v>
      </c>
    </row>
    <row r="538" spans="1:10" ht="15.6" x14ac:dyDescent="0.3">
      <c r="A538" s="6">
        <v>44127</v>
      </c>
      <c r="B538" s="7" t="s">
        <v>302</v>
      </c>
      <c r="C538" s="7" t="s">
        <v>807</v>
      </c>
      <c r="D538" s="7" t="s">
        <v>814</v>
      </c>
      <c r="E538" s="7">
        <v>4</v>
      </c>
      <c r="F538" s="7" t="s">
        <v>845</v>
      </c>
      <c r="G538" s="7" t="s">
        <v>827</v>
      </c>
      <c r="H538" s="7">
        <v>6145</v>
      </c>
      <c r="I538" s="7" t="s">
        <v>854</v>
      </c>
      <c r="J538" s="8" t="str" cm="1">
        <f t="array" ref="J538">_xlfn.IFS(H538&gt;8000,"PLATINUM",H538&gt;6000,"GOLD",H538&gt;4000,"SILEVER",H538&gt;2000,"NORMAL",H538&gt;500,"BASIC")</f>
        <v>GOLD</v>
      </c>
    </row>
    <row r="539" spans="1:10" ht="15.6" x14ac:dyDescent="0.3">
      <c r="A539" s="6">
        <v>44127</v>
      </c>
      <c r="B539" s="7" t="s">
        <v>302</v>
      </c>
      <c r="C539" s="7" t="s">
        <v>805</v>
      </c>
      <c r="D539" s="7" t="s">
        <v>810</v>
      </c>
      <c r="E539" s="7">
        <v>18</v>
      </c>
      <c r="F539" s="7" t="s">
        <v>845</v>
      </c>
      <c r="G539" s="7" t="s">
        <v>827</v>
      </c>
      <c r="H539" s="7">
        <v>2504</v>
      </c>
      <c r="I539" s="7" t="s">
        <v>850</v>
      </c>
      <c r="J539" s="8" t="str" cm="1">
        <f t="array" ref="J539">_xlfn.IFS(H539&gt;8000,"PLATINUM",H539&gt;6000,"GOLD",H539&gt;4000,"SILEVER",H539&gt;2000,"NORMAL",H539&gt;500,"BASIC")</f>
        <v>NORMAL</v>
      </c>
    </row>
    <row r="540" spans="1:10" ht="15.6" x14ac:dyDescent="0.3">
      <c r="A540" s="6">
        <v>44127</v>
      </c>
      <c r="B540" s="7" t="s">
        <v>302</v>
      </c>
      <c r="C540" s="7" t="s">
        <v>805</v>
      </c>
      <c r="D540" s="7" t="s">
        <v>819</v>
      </c>
      <c r="E540" s="7">
        <v>16</v>
      </c>
      <c r="F540" s="7" t="s">
        <v>845</v>
      </c>
      <c r="G540" s="7" t="s">
        <v>827</v>
      </c>
      <c r="H540" s="7">
        <v>3124</v>
      </c>
      <c r="I540" s="7" t="s">
        <v>851</v>
      </c>
      <c r="J540" s="8" t="str" cm="1">
        <f t="array" ref="J540">_xlfn.IFS(H540&gt;8000,"PLATINUM",H540&gt;6000,"GOLD",H540&gt;4000,"SILEVER",H540&gt;2000,"NORMAL",H540&gt;500,"BASIC")</f>
        <v>NORMAL</v>
      </c>
    </row>
    <row r="541" spans="1:10" ht="15.6" x14ac:dyDescent="0.3">
      <c r="A541" s="6">
        <v>44358</v>
      </c>
      <c r="B541" s="7" t="s">
        <v>303</v>
      </c>
      <c r="C541" s="7" t="s">
        <v>805</v>
      </c>
      <c r="D541" s="7" t="s">
        <v>809</v>
      </c>
      <c r="E541" s="7">
        <v>1</v>
      </c>
      <c r="F541" s="7" t="s">
        <v>847</v>
      </c>
      <c r="G541" s="7" t="s">
        <v>836</v>
      </c>
      <c r="H541" s="7">
        <v>6934</v>
      </c>
      <c r="I541" s="7" t="s">
        <v>851</v>
      </c>
      <c r="J541" s="8" t="str" cm="1">
        <f t="array" ref="J541">_xlfn.IFS(H541&gt;8000,"PLATINUM",H541&gt;6000,"GOLD",H541&gt;4000,"SILEVER",H541&gt;2000,"NORMAL",H541&gt;500,"BASIC")</f>
        <v>GOLD</v>
      </c>
    </row>
    <row r="542" spans="1:10" ht="15.6" x14ac:dyDescent="0.3">
      <c r="A542" s="6">
        <v>44447</v>
      </c>
      <c r="B542" s="7" t="s">
        <v>286</v>
      </c>
      <c r="C542" s="7" t="s">
        <v>805</v>
      </c>
      <c r="D542" s="7" t="s">
        <v>809</v>
      </c>
      <c r="E542" s="7">
        <v>1</v>
      </c>
      <c r="F542" s="7" t="s">
        <v>844</v>
      </c>
      <c r="G542" s="7" t="s">
        <v>830</v>
      </c>
      <c r="H542" s="7">
        <v>6934</v>
      </c>
      <c r="I542" s="7" t="s">
        <v>851</v>
      </c>
      <c r="J542" s="8" t="str" cm="1">
        <f t="array" ref="J542">_xlfn.IFS(H542&gt;8000,"PLATINUM",H542&gt;6000,"GOLD",H542&gt;4000,"SILEVER",H542&gt;2000,"NORMAL",H542&gt;500,"BASIC")</f>
        <v>GOLD</v>
      </c>
    </row>
    <row r="543" spans="1:10" ht="15.6" x14ac:dyDescent="0.3">
      <c r="A543" s="6">
        <v>44888</v>
      </c>
      <c r="B543" s="7" t="s">
        <v>304</v>
      </c>
      <c r="C543" s="7" t="s">
        <v>806</v>
      </c>
      <c r="D543" s="7" t="s">
        <v>815</v>
      </c>
      <c r="E543" s="7">
        <v>3</v>
      </c>
      <c r="F543" s="7" t="s">
        <v>843</v>
      </c>
      <c r="G543" s="7" t="s">
        <v>840</v>
      </c>
      <c r="H543" s="7">
        <v>4202</v>
      </c>
      <c r="I543" s="7" t="s">
        <v>854</v>
      </c>
      <c r="J543" s="8" t="str" cm="1">
        <f t="array" ref="J543">_xlfn.IFS(H543&gt;8000,"PLATINUM",H543&gt;6000,"GOLD",H543&gt;4000,"SILEVER",H543&gt;2000,"NORMAL",H543&gt;500,"BASIC")</f>
        <v>SILEVER</v>
      </c>
    </row>
    <row r="544" spans="1:10" ht="15.6" x14ac:dyDescent="0.3">
      <c r="A544" s="6">
        <v>44865</v>
      </c>
      <c r="B544" s="7" t="s">
        <v>305</v>
      </c>
      <c r="C544" s="7" t="s">
        <v>806</v>
      </c>
      <c r="D544" s="7" t="s">
        <v>815</v>
      </c>
      <c r="E544" s="7">
        <v>3</v>
      </c>
      <c r="F544" s="7" t="s">
        <v>844</v>
      </c>
      <c r="G544" s="7" t="s">
        <v>830</v>
      </c>
      <c r="H544" s="7">
        <v>4202</v>
      </c>
      <c r="I544" s="7" t="s">
        <v>854</v>
      </c>
      <c r="J544" s="8" t="str" cm="1">
        <f t="array" ref="J544">_xlfn.IFS(H544&gt;8000,"PLATINUM",H544&gt;6000,"GOLD",H544&gt;4000,"SILEVER",H544&gt;2000,"NORMAL",H544&gt;500,"BASIC")</f>
        <v>SILEVER</v>
      </c>
    </row>
    <row r="545" spans="1:10" ht="15.6" x14ac:dyDescent="0.3">
      <c r="A545" s="6">
        <v>45236</v>
      </c>
      <c r="B545" s="7" t="s">
        <v>306</v>
      </c>
      <c r="C545" s="7" t="s">
        <v>806</v>
      </c>
      <c r="D545" s="7" t="s">
        <v>815</v>
      </c>
      <c r="E545" s="7">
        <v>3</v>
      </c>
      <c r="F545" s="7" t="s">
        <v>842</v>
      </c>
      <c r="G545" s="7" t="s">
        <v>839</v>
      </c>
      <c r="H545" s="7">
        <v>4202</v>
      </c>
      <c r="I545" s="7" t="s">
        <v>854</v>
      </c>
      <c r="J545" s="8" t="str" cm="1">
        <f t="array" ref="J545">_xlfn.IFS(H545&gt;8000,"PLATINUM",H545&gt;6000,"GOLD",H545&gt;4000,"SILEVER",H545&gt;2000,"NORMAL",H545&gt;500,"BASIC")</f>
        <v>SILEVER</v>
      </c>
    </row>
    <row r="546" spans="1:10" ht="15.6" x14ac:dyDescent="0.3">
      <c r="A546" s="6">
        <v>45242</v>
      </c>
      <c r="B546" s="7" t="s">
        <v>307</v>
      </c>
      <c r="C546" s="7" t="s">
        <v>806</v>
      </c>
      <c r="D546" s="7" t="s">
        <v>815</v>
      </c>
      <c r="E546" s="7">
        <v>3</v>
      </c>
      <c r="F546" s="7" t="s">
        <v>846</v>
      </c>
      <c r="G546" s="7" t="s">
        <v>838</v>
      </c>
      <c r="H546" s="7">
        <v>4202</v>
      </c>
      <c r="I546" s="7" t="s">
        <v>854</v>
      </c>
      <c r="J546" s="8" t="str" cm="1">
        <f t="array" ref="J546">_xlfn.IFS(H546&gt;8000,"PLATINUM",H546&gt;6000,"GOLD",H546&gt;4000,"SILEVER",H546&gt;2000,"NORMAL",H546&gt;500,"BASIC")</f>
        <v>SILEVER</v>
      </c>
    </row>
    <row r="547" spans="1:10" ht="15.6" x14ac:dyDescent="0.3">
      <c r="A547" s="6">
        <v>45103</v>
      </c>
      <c r="B547" s="7" t="s">
        <v>308</v>
      </c>
      <c r="C547" s="7" t="s">
        <v>805</v>
      </c>
      <c r="D547" s="7" t="s">
        <v>810</v>
      </c>
      <c r="E547" s="7">
        <v>1</v>
      </c>
      <c r="F547" s="7" t="s">
        <v>845</v>
      </c>
      <c r="G547" s="7" t="s">
        <v>827</v>
      </c>
      <c r="H547" s="7">
        <v>2239</v>
      </c>
      <c r="I547" s="7" t="s">
        <v>850</v>
      </c>
      <c r="J547" s="8" t="str" cm="1">
        <f t="array" ref="J547">_xlfn.IFS(H547&gt;8000,"PLATINUM",H547&gt;6000,"GOLD",H547&gt;4000,"SILEVER",H547&gt;2000,"NORMAL",H547&gt;500,"BASIC")</f>
        <v>NORMAL</v>
      </c>
    </row>
    <row r="548" spans="1:10" ht="15.6" x14ac:dyDescent="0.3">
      <c r="A548" s="6">
        <v>45199</v>
      </c>
      <c r="B548" s="7" t="s">
        <v>309</v>
      </c>
      <c r="C548" s="7" t="s">
        <v>805</v>
      </c>
      <c r="D548" s="7" t="s">
        <v>810</v>
      </c>
      <c r="E548" s="7">
        <v>1</v>
      </c>
      <c r="F548" s="7" t="s">
        <v>843</v>
      </c>
      <c r="G548" s="7" t="s">
        <v>824</v>
      </c>
      <c r="H548" s="7">
        <v>2239</v>
      </c>
      <c r="I548" s="7" t="s">
        <v>850</v>
      </c>
      <c r="J548" s="8" t="str" cm="1">
        <f t="array" ref="J548">_xlfn.IFS(H548&gt;8000,"PLATINUM",H548&gt;6000,"GOLD",H548&gt;4000,"SILEVER",H548&gt;2000,"NORMAL",H548&gt;500,"BASIC")</f>
        <v>NORMAL</v>
      </c>
    </row>
    <row r="549" spans="1:10" ht="15.6" x14ac:dyDescent="0.3">
      <c r="A549" s="6">
        <v>45103</v>
      </c>
      <c r="B549" s="7" t="s">
        <v>308</v>
      </c>
      <c r="C549" s="7" t="s">
        <v>805</v>
      </c>
      <c r="D549" s="7" t="s">
        <v>819</v>
      </c>
      <c r="E549" s="7">
        <v>4</v>
      </c>
      <c r="F549" s="7" t="s">
        <v>845</v>
      </c>
      <c r="G549" s="7" t="s">
        <v>827</v>
      </c>
      <c r="H549" s="7">
        <v>2450</v>
      </c>
      <c r="I549" s="7" t="s">
        <v>851</v>
      </c>
      <c r="J549" s="8" t="str" cm="1">
        <f t="array" ref="J549">_xlfn.IFS(H549&gt;8000,"PLATINUM",H549&gt;6000,"GOLD",H549&gt;4000,"SILEVER",H549&gt;2000,"NORMAL",H549&gt;500,"BASIC")</f>
        <v>NORMAL</v>
      </c>
    </row>
    <row r="550" spans="1:10" ht="15.6" x14ac:dyDescent="0.3">
      <c r="A550" s="6">
        <v>45199</v>
      </c>
      <c r="B550" s="7" t="s">
        <v>309</v>
      </c>
      <c r="C550" s="7" t="s">
        <v>805</v>
      </c>
      <c r="D550" s="7" t="s">
        <v>819</v>
      </c>
      <c r="E550" s="7">
        <v>4</v>
      </c>
      <c r="F550" s="7" t="s">
        <v>843</v>
      </c>
      <c r="G550" s="7" t="s">
        <v>824</v>
      </c>
      <c r="H550" s="7">
        <v>2450</v>
      </c>
      <c r="I550" s="7" t="s">
        <v>851</v>
      </c>
      <c r="J550" s="8" t="str" cm="1">
        <f t="array" ref="J550">_xlfn.IFS(H550&gt;8000,"PLATINUM",H550&gt;6000,"GOLD",H550&gt;4000,"SILEVER",H550&gt;2000,"NORMAL",H550&gt;500,"BASIC")</f>
        <v>NORMAL</v>
      </c>
    </row>
    <row r="551" spans="1:10" ht="15.6" x14ac:dyDescent="0.3">
      <c r="A551" s="6">
        <v>44086</v>
      </c>
      <c r="B551" s="7" t="s">
        <v>310</v>
      </c>
      <c r="C551" s="7" t="s">
        <v>807</v>
      </c>
      <c r="D551" s="7" t="s">
        <v>814</v>
      </c>
      <c r="E551" s="7">
        <v>13</v>
      </c>
      <c r="F551" s="7" t="s">
        <v>844</v>
      </c>
      <c r="G551" s="7" t="s">
        <v>828</v>
      </c>
      <c r="H551" s="7">
        <v>9827</v>
      </c>
      <c r="I551" s="7" t="s">
        <v>851</v>
      </c>
      <c r="J551" s="8" t="str" cm="1">
        <f t="array" ref="J551">_xlfn.IFS(H551&gt;8000,"PLATINUM",H551&gt;6000,"GOLD",H551&gt;4000,"SILEVER",H551&gt;2000,"NORMAL",H551&gt;500,"BASIC")</f>
        <v>PLATINUM</v>
      </c>
    </row>
    <row r="552" spans="1:10" ht="15.6" x14ac:dyDescent="0.3">
      <c r="A552" s="6">
        <v>44086</v>
      </c>
      <c r="B552" s="7" t="s">
        <v>310</v>
      </c>
      <c r="C552" s="7" t="s">
        <v>807</v>
      </c>
      <c r="D552" s="7" t="s">
        <v>816</v>
      </c>
      <c r="E552" s="7">
        <v>15</v>
      </c>
      <c r="F552" s="7" t="s">
        <v>844</v>
      </c>
      <c r="G552" s="7" t="s">
        <v>828</v>
      </c>
      <c r="H552" s="7">
        <v>8077</v>
      </c>
      <c r="I552" s="7" t="s">
        <v>853</v>
      </c>
      <c r="J552" s="8" t="str" cm="1">
        <f t="array" ref="J552">_xlfn.IFS(H552&gt;8000,"PLATINUM",H552&gt;6000,"GOLD",H552&gt;4000,"SILEVER",H552&gt;2000,"NORMAL",H552&gt;500,"BASIC")</f>
        <v>PLATINUM</v>
      </c>
    </row>
    <row r="553" spans="1:10" ht="15.6" x14ac:dyDescent="0.3">
      <c r="A553" s="6">
        <v>44162</v>
      </c>
      <c r="B553" s="7" t="s">
        <v>311</v>
      </c>
      <c r="C553" s="7" t="s">
        <v>805</v>
      </c>
      <c r="D553" s="7" t="s">
        <v>819</v>
      </c>
      <c r="E553" s="7">
        <v>14</v>
      </c>
      <c r="F553" s="7" t="s">
        <v>843</v>
      </c>
      <c r="G553" s="7" t="s">
        <v>829</v>
      </c>
      <c r="H553" s="7">
        <v>5152</v>
      </c>
      <c r="I553" s="7" t="s">
        <v>850</v>
      </c>
      <c r="J553" s="8" t="str" cm="1">
        <f t="array" ref="J553">_xlfn.IFS(H553&gt;8000,"PLATINUM",H553&gt;6000,"GOLD",H553&gt;4000,"SILEVER",H553&gt;2000,"NORMAL",H553&gt;500,"BASIC")</f>
        <v>SILEVER</v>
      </c>
    </row>
    <row r="554" spans="1:10" ht="15.6" x14ac:dyDescent="0.3">
      <c r="A554" s="6">
        <v>44798</v>
      </c>
      <c r="B554" s="7" t="s">
        <v>312</v>
      </c>
      <c r="C554" s="7" t="s">
        <v>805</v>
      </c>
      <c r="D554" s="7" t="s">
        <v>819</v>
      </c>
      <c r="E554" s="7">
        <v>14</v>
      </c>
      <c r="F554" s="7" t="s">
        <v>845</v>
      </c>
      <c r="G554" s="7" t="s">
        <v>827</v>
      </c>
      <c r="H554" s="7">
        <v>5152</v>
      </c>
      <c r="I554" s="7" t="s">
        <v>850</v>
      </c>
      <c r="J554" s="8" t="str" cm="1">
        <f t="array" ref="J554">_xlfn.IFS(H554&gt;8000,"PLATINUM",H554&gt;6000,"GOLD",H554&gt;4000,"SILEVER",H554&gt;2000,"NORMAL",H554&gt;500,"BASIC")</f>
        <v>SILEVER</v>
      </c>
    </row>
    <row r="555" spans="1:10" ht="15.6" x14ac:dyDescent="0.3">
      <c r="A555" s="6">
        <v>45161</v>
      </c>
      <c r="B555" s="7" t="s">
        <v>313</v>
      </c>
      <c r="C555" s="7" t="s">
        <v>805</v>
      </c>
      <c r="D555" s="7" t="s">
        <v>819</v>
      </c>
      <c r="E555" s="7">
        <v>14</v>
      </c>
      <c r="F555" s="7" t="s">
        <v>843</v>
      </c>
      <c r="G555" s="7" t="s">
        <v>824</v>
      </c>
      <c r="H555" s="7">
        <v>5152</v>
      </c>
      <c r="I555" s="7" t="s">
        <v>850</v>
      </c>
      <c r="J555" s="8" t="str" cm="1">
        <f t="array" ref="J555">_xlfn.IFS(H555&gt;8000,"PLATINUM",H555&gt;6000,"GOLD",H555&gt;4000,"SILEVER",H555&gt;2000,"NORMAL",H555&gt;500,"BASIC")</f>
        <v>SILEVER</v>
      </c>
    </row>
    <row r="556" spans="1:10" ht="15.6" x14ac:dyDescent="0.3">
      <c r="A556" s="6">
        <v>45210</v>
      </c>
      <c r="B556" s="7" t="s">
        <v>314</v>
      </c>
      <c r="C556" s="7" t="s">
        <v>805</v>
      </c>
      <c r="D556" s="7" t="s">
        <v>819</v>
      </c>
      <c r="E556" s="7">
        <v>14</v>
      </c>
      <c r="F556" s="7" t="s">
        <v>844</v>
      </c>
      <c r="G556" s="7" t="s">
        <v>830</v>
      </c>
      <c r="H556" s="7">
        <v>5152</v>
      </c>
      <c r="I556" s="7" t="s">
        <v>850</v>
      </c>
      <c r="J556" s="8" t="str" cm="1">
        <f t="array" ref="J556">_xlfn.IFS(H556&gt;8000,"PLATINUM",H556&gt;6000,"GOLD",H556&gt;4000,"SILEVER",H556&gt;2000,"NORMAL",H556&gt;500,"BASIC")</f>
        <v>SILEVER</v>
      </c>
    </row>
    <row r="557" spans="1:10" ht="15.6" x14ac:dyDescent="0.3">
      <c r="A557" s="6">
        <v>44672</v>
      </c>
      <c r="B557" s="7" t="s">
        <v>315</v>
      </c>
      <c r="C557" s="7" t="s">
        <v>806</v>
      </c>
      <c r="D557" s="7" t="s">
        <v>815</v>
      </c>
      <c r="E557" s="7">
        <v>1</v>
      </c>
      <c r="F557" s="7" t="s">
        <v>846</v>
      </c>
      <c r="G557" s="7" t="s">
        <v>838</v>
      </c>
      <c r="H557" s="7">
        <v>2542</v>
      </c>
      <c r="I557" s="7" t="s">
        <v>853</v>
      </c>
      <c r="J557" s="8" t="str" cm="1">
        <f t="array" ref="J557">_xlfn.IFS(H557&gt;8000,"PLATINUM",H557&gt;6000,"GOLD",H557&gt;4000,"SILEVER",H557&gt;2000,"NORMAL",H557&gt;500,"BASIC")</f>
        <v>NORMAL</v>
      </c>
    </row>
    <row r="558" spans="1:10" ht="15.6" x14ac:dyDescent="0.3">
      <c r="A558" s="6">
        <v>45183</v>
      </c>
      <c r="B558" s="7" t="s">
        <v>316</v>
      </c>
      <c r="C558" s="7" t="s">
        <v>806</v>
      </c>
      <c r="D558" s="7" t="s">
        <v>815</v>
      </c>
      <c r="E558" s="7">
        <v>5</v>
      </c>
      <c r="F558" s="7" t="s">
        <v>845</v>
      </c>
      <c r="G558" s="7" t="s">
        <v>834</v>
      </c>
      <c r="H558" s="7">
        <v>8102</v>
      </c>
      <c r="I558" s="7" t="s">
        <v>850</v>
      </c>
      <c r="J558" s="8" t="str" cm="1">
        <f t="array" ref="J558">_xlfn.IFS(H558&gt;8000,"PLATINUM",H558&gt;6000,"GOLD",H558&gt;4000,"SILEVER",H558&gt;2000,"NORMAL",H558&gt;500,"BASIC")</f>
        <v>PLATINUM</v>
      </c>
    </row>
    <row r="559" spans="1:10" ht="15.6" x14ac:dyDescent="0.3">
      <c r="A559" s="6">
        <v>43950</v>
      </c>
      <c r="B559" s="7" t="s">
        <v>317</v>
      </c>
      <c r="C559" s="7" t="s">
        <v>806</v>
      </c>
      <c r="D559" s="7" t="s">
        <v>815</v>
      </c>
      <c r="E559" s="7">
        <v>5</v>
      </c>
      <c r="F559" s="7" t="s">
        <v>844</v>
      </c>
      <c r="G559" s="7" t="s">
        <v>825</v>
      </c>
      <c r="H559" s="7">
        <v>8102</v>
      </c>
      <c r="I559" s="7" t="s">
        <v>850</v>
      </c>
      <c r="J559" s="8" t="str" cm="1">
        <f t="array" ref="J559">_xlfn.IFS(H559&gt;8000,"PLATINUM",H559&gt;6000,"GOLD",H559&gt;4000,"SILEVER",H559&gt;2000,"NORMAL",H559&gt;500,"BASIC")</f>
        <v>PLATINUM</v>
      </c>
    </row>
    <row r="560" spans="1:10" ht="15.6" x14ac:dyDescent="0.3">
      <c r="A560" s="6">
        <v>44180</v>
      </c>
      <c r="B560" s="7" t="s">
        <v>318</v>
      </c>
      <c r="C560" s="7" t="s">
        <v>806</v>
      </c>
      <c r="D560" s="7" t="s">
        <v>815</v>
      </c>
      <c r="E560" s="7">
        <v>5</v>
      </c>
      <c r="F560" s="7" t="s">
        <v>847</v>
      </c>
      <c r="G560" s="7" t="s">
        <v>837</v>
      </c>
      <c r="H560" s="7">
        <v>8102</v>
      </c>
      <c r="I560" s="7" t="s">
        <v>850</v>
      </c>
      <c r="J560" s="8" t="str" cm="1">
        <f t="array" ref="J560">_xlfn.IFS(H560&gt;8000,"PLATINUM",H560&gt;6000,"GOLD",H560&gt;4000,"SILEVER",H560&gt;2000,"NORMAL",H560&gt;500,"BASIC")</f>
        <v>PLATINUM</v>
      </c>
    </row>
    <row r="561" spans="1:10" ht="15.6" x14ac:dyDescent="0.3">
      <c r="A561" s="6">
        <v>45183</v>
      </c>
      <c r="B561" s="7" t="s">
        <v>316</v>
      </c>
      <c r="C561" s="7" t="s">
        <v>807</v>
      </c>
      <c r="D561" s="7" t="s">
        <v>813</v>
      </c>
      <c r="E561" s="7">
        <v>10</v>
      </c>
      <c r="F561" s="7" t="s">
        <v>845</v>
      </c>
      <c r="G561" s="7" t="s">
        <v>834</v>
      </c>
      <c r="H561" s="7">
        <v>3234</v>
      </c>
      <c r="I561" s="7" t="s">
        <v>852</v>
      </c>
      <c r="J561" s="8" t="str" cm="1">
        <f t="array" ref="J561">_xlfn.IFS(H561&gt;8000,"PLATINUM",H561&gt;6000,"GOLD",H561&gt;4000,"SILEVER",H561&gt;2000,"NORMAL",H561&gt;500,"BASIC")</f>
        <v>NORMAL</v>
      </c>
    </row>
    <row r="562" spans="1:10" ht="15.6" x14ac:dyDescent="0.3">
      <c r="A562" s="6">
        <v>43950</v>
      </c>
      <c r="B562" s="7" t="s">
        <v>317</v>
      </c>
      <c r="C562" s="7" t="s">
        <v>807</v>
      </c>
      <c r="D562" s="7" t="s">
        <v>813</v>
      </c>
      <c r="E562" s="7">
        <v>10</v>
      </c>
      <c r="F562" s="7" t="s">
        <v>844</v>
      </c>
      <c r="G562" s="7" t="s">
        <v>825</v>
      </c>
      <c r="H562" s="7">
        <v>3234</v>
      </c>
      <c r="I562" s="7" t="s">
        <v>852</v>
      </c>
      <c r="J562" s="8" t="str" cm="1">
        <f t="array" ref="J562">_xlfn.IFS(H562&gt;8000,"PLATINUM",H562&gt;6000,"GOLD",H562&gt;4000,"SILEVER",H562&gt;2000,"NORMAL",H562&gt;500,"BASIC")</f>
        <v>NORMAL</v>
      </c>
    </row>
    <row r="563" spans="1:10" ht="15.6" x14ac:dyDescent="0.3">
      <c r="A563" s="6">
        <v>44180</v>
      </c>
      <c r="B563" s="7" t="s">
        <v>318</v>
      </c>
      <c r="C563" s="7" t="s">
        <v>807</v>
      </c>
      <c r="D563" s="7" t="s">
        <v>813</v>
      </c>
      <c r="E563" s="7">
        <v>10</v>
      </c>
      <c r="F563" s="7" t="s">
        <v>847</v>
      </c>
      <c r="G563" s="7" t="s">
        <v>837</v>
      </c>
      <c r="H563" s="7">
        <v>3234</v>
      </c>
      <c r="I563" s="7" t="s">
        <v>852</v>
      </c>
      <c r="J563" s="8" t="str" cm="1">
        <f t="array" ref="J563">_xlfn.IFS(H563&gt;8000,"PLATINUM",H563&gt;6000,"GOLD",H563&gt;4000,"SILEVER",H563&gt;2000,"NORMAL",H563&gt;500,"BASIC")</f>
        <v>NORMAL</v>
      </c>
    </row>
    <row r="564" spans="1:10" ht="15.6" x14ac:dyDescent="0.3">
      <c r="A564" s="6">
        <v>45484</v>
      </c>
      <c r="B564" s="7" t="s">
        <v>319</v>
      </c>
      <c r="C564" s="7" t="s">
        <v>807</v>
      </c>
      <c r="D564" s="7" t="s">
        <v>813</v>
      </c>
      <c r="E564" s="7">
        <v>18</v>
      </c>
      <c r="F564" s="7" t="s">
        <v>845</v>
      </c>
      <c r="G564" s="7" t="s">
        <v>827</v>
      </c>
      <c r="H564" s="7">
        <v>6200</v>
      </c>
      <c r="I564" s="7" t="s">
        <v>853</v>
      </c>
      <c r="J564" s="8" t="str" cm="1">
        <f t="array" ref="J564">_xlfn.IFS(H564&gt;8000,"PLATINUM",H564&gt;6000,"GOLD",H564&gt;4000,"SILEVER",H564&gt;2000,"NORMAL",H564&gt;500,"BASIC")</f>
        <v>GOLD</v>
      </c>
    </row>
    <row r="565" spans="1:10" ht="15.6" x14ac:dyDescent="0.3">
      <c r="A565" s="6">
        <v>45556</v>
      </c>
      <c r="B565" s="7" t="s">
        <v>320</v>
      </c>
      <c r="C565" s="7" t="s">
        <v>807</v>
      </c>
      <c r="D565" s="7" t="s">
        <v>813</v>
      </c>
      <c r="E565" s="7">
        <v>18</v>
      </c>
      <c r="F565" s="7" t="s">
        <v>842</v>
      </c>
      <c r="G565" s="7" t="s">
        <v>823</v>
      </c>
      <c r="H565" s="7">
        <v>6200</v>
      </c>
      <c r="I565" s="7" t="s">
        <v>853</v>
      </c>
      <c r="J565" s="8" t="str" cm="1">
        <f t="array" ref="J565">_xlfn.IFS(H565&gt;8000,"PLATINUM",H565&gt;6000,"GOLD",H565&gt;4000,"SILEVER",H565&gt;2000,"NORMAL",H565&gt;500,"BASIC")</f>
        <v>GOLD</v>
      </c>
    </row>
    <row r="566" spans="1:10" ht="15.6" x14ac:dyDescent="0.3">
      <c r="A566" s="6">
        <v>45690</v>
      </c>
      <c r="B566" s="7" t="s">
        <v>321</v>
      </c>
      <c r="C566" s="7" t="s">
        <v>805</v>
      </c>
      <c r="D566" s="7" t="s">
        <v>812</v>
      </c>
      <c r="E566" s="7">
        <v>13</v>
      </c>
      <c r="F566" s="7" t="s">
        <v>845</v>
      </c>
      <c r="G566" s="7" t="s">
        <v>827</v>
      </c>
      <c r="H566" s="7">
        <v>4470</v>
      </c>
      <c r="I566" s="7" t="s">
        <v>850</v>
      </c>
      <c r="J566" s="8" t="str" cm="1">
        <f t="array" ref="J566">_xlfn.IFS(H566&gt;8000,"PLATINUM",H566&gt;6000,"GOLD",H566&gt;4000,"SILEVER",H566&gt;2000,"NORMAL",H566&gt;500,"BASIC")</f>
        <v>SILEVER</v>
      </c>
    </row>
    <row r="567" spans="1:10" ht="15.6" x14ac:dyDescent="0.3">
      <c r="A567" s="6">
        <v>44855</v>
      </c>
      <c r="B567" s="7" t="s">
        <v>322</v>
      </c>
      <c r="C567" s="7" t="s">
        <v>806</v>
      </c>
      <c r="D567" s="7" t="s">
        <v>811</v>
      </c>
      <c r="E567" s="7">
        <v>7</v>
      </c>
      <c r="F567" s="7" t="s">
        <v>843</v>
      </c>
      <c r="G567" s="7" t="s">
        <v>829</v>
      </c>
      <c r="H567" s="7">
        <v>916</v>
      </c>
      <c r="I567" s="7" t="s">
        <v>850</v>
      </c>
      <c r="J567" s="8" t="str" cm="1">
        <f t="array" ref="J567">_xlfn.IFS(H567&gt;8000,"PLATINUM",H567&gt;6000,"GOLD",H567&gt;4000,"SILEVER",H567&gt;2000,"NORMAL",H567&gt;500,"BASIC")</f>
        <v>BASIC</v>
      </c>
    </row>
    <row r="568" spans="1:10" ht="15.6" x14ac:dyDescent="0.3">
      <c r="A568" s="6">
        <v>44125</v>
      </c>
      <c r="B568" s="7" t="s">
        <v>323</v>
      </c>
      <c r="C568" s="7" t="s">
        <v>806</v>
      </c>
      <c r="D568" s="7" t="s">
        <v>811</v>
      </c>
      <c r="E568" s="7">
        <v>7</v>
      </c>
      <c r="F568" s="7" t="s">
        <v>845</v>
      </c>
      <c r="G568" s="7" t="s">
        <v>834</v>
      </c>
      <c r="H568" s="7">
        <v>916</v>
      </c>
      <c r="I568" s="7" t="s">
        <v>850</v>
      </c>
      <c r="J568" s="8" t="str" cm="1">
        <f t="array" ref="J568">_xlfn.IFS(H568&gt;8000,"PLATINUM",H568&gt;6000,"GOLD",H568&gt;4000,"SILEVER",H568&gt;2000,"NORMAL",H568&gt;500,"BASIC")</f>
        <v>BASIC</v>
      </c>
    </row>
    <row r="569" spans="1:10" ht="15.6" x14ac:dyDescent="0.3">
      <c r="A569" s="6">
        <v>44855</v>
      </c>
      <c r="B569" s="7" t="s">
        <v>322</v>
      </c>
      <c r="C569" s="7" t="s">
        <v>807</v>
      </c>
      <c r="D569" s="7" t="s">
        <v>816</v>
      </c>
      <c r="E569" s="7">
        <v>20</v>
      </c>
      <c r="F569" s="7" t="s">
        <v>843</v>
      </c>
      <c r="G569" s="7" t="s">
        <v>829</v>
      </c>
      <c r="H569" s="7">
        <v>1165</v>
      </c>
      <c r="I569" s="7" t="s">
        <v>850</v>
      </c>
      <c r="J569" s="8" t="str" cm="1">
        <f t="array" ref="J569">_xlfn.IFS(H569&gt;8000,"PLATINUM",H569&gt;6000,"GOLD",H569&gt;4000,"SILEVER",H569&gt;2000,"NORMAL",H569&gt;500,"BASIC")</f>
        <v>BASIC</v>
      </c>
    </row>
    <row r="570" spans="1:10" ht="15.6" x14ac:dyDescent="0.3">
      <c r="A570" s="6">
        <v>44125</v>
      </c>
      <c r="B570" s="7" t="s">
        <v>323</v>
      </c>
      <c r="C570" s="7" t="s">
        <v>807</v>
      </c>
      <c r="D570" s="7" t="s">
        <v>816</v>
      </c>
      <c r="E570" s="7">
        <v>20</v>
      </c>
      <c r="F570" s="7" t="s">
        <v>845</v>
      </c>
      <c r="G570" s="7" t="s">
        <v>834</v>
      </c>
      <c r="H570" s="7">
        <v>1165</v>
      </c>
      <c r="I570" s="7" t="s">
        <v>850</v>
      </c>
      <c r="J570" s="8" t="str" cm="1">
        <f t="array" ref="J570">_xlfn.IFS(H570&gt;8000,"PLATINUM",H570&gt;6000,"GOLD",H570&gt;4000,"SILEVER",H570&gt;2000,"NORMAL",H570&gt;500,"BASIC")</f>
        <v>BASIC</v>
      </c>
    </row>
    <row r="571" spans="1:10" ht="15.6" x14ac:dyDescent="0.3">
      <c r="A571" s="6">
        <v>44855</v>
      </c>
      <c r="B571" s="7" t="s">
        <v>322</v>
      </c>
      <c r="C571" s="7" t="s">
        <v>807</v>
      </c>
      <c r="D571" s="7" t="s">
        <v>814</v>
      </c>
      <c r="E571" s="7">
        <v>12</v>
      </c>
      <c r="F571" s="7" t="s">
        <v>843</v>
      </c>
      <c r="G571" s="7" t="s">
        <v>829</v>
      </c>
      <c r="H571" s="7">
        <v>7846</v>
      </c>
      <c r="I571" s="7" t="s">
        <v>850</v>
      </c>
      <c r="J571" s="8" t="str" cm="1">
        <f t="array" ref="J571">_xlfn.IFS(H571&gt;8000,"PLATINUM",H571&gt;6000,"GOLD",H571&gt;4000,"SILEVER",H571&gt;2000,"NORMAL",H571&gt;500,"BASIC")</f>
        <v>GOLD</v>
      </c>
    </row>
    <row r="572" spans="1:10" ht="15.6" x14ac:dyDescent="0.3">
      <c r="A572" s="6">
        <v>44125</v>
      </c>
      <c r="B572" s="7" t="s">
        <v>323</v>
      </c>
      <c r="C572" s="7" t="s">
        <v>807</v>
      </c>
      <c r="D572" s="7" t="s">
        <v>814</v>
      </c>
      <c r="E572" s="7">
        <v>12</v>
      </c>
      <c r="F572" s="7" t="s">
        <v>845</v>
      </c>
      <c r="G572" s="7" t="s">
        <v>834</v>
      </c>
      <c r="H572" s="7">
        <v>7846</v>
      </c>
      <c r="I572" s="7" t="s">
        <v>850</v>
      </c>
      <c r="J572" s="8" t="str" cm="1">
        <f t="array" ref="J572">_xlfn.IFS(H572&gt;8000,"PLATINUM",H572&gt;6000,"GOLD",H572&gt;4000,"SILEVER",H572&gt;2000,"NORMAL",H572&gt;500,"BASIC")</f>
        <v>GOLD</v>
      </c>
    </row>
    <row r="573" spans="1:10" ht="15.6" x14ac:dyDescent="0.3">
      <c r="A573" s="6">
        <v>44572</v>
      </c>
      <c r="B573" s="7" t="s">
        <v>324</v>
      </c>
      <c r="C573" s="7" t="s">
        <v>806</v>
      </c>
      <c r="D573" s="7" t="s">
        <v>811</v>
      </c>
      <c r="E573" s="7">
        <v>1</v>
      </c>
      <c r="F573" s="7" t="s">
        <v>846</v>
      </c>
      <c r="G573" s="7" t="s">
        <v>833</v>
      </c>
      <c r="H573" s="7">
        <v>3022</v>
      </c>
      <c r="I573" s="7" t="s">
        <v>853</v>
      </c>
      <c r="J573" s="8" t="str" cm="1">
        <f t="array" ref="J573">_xlfn.IFS(H573&gt;8000,"PLATINUM",H573&gt;6000,"GOLD",H573&gt;4000,"SILEVER",H573&gt;2000,"NORMAL",H573&gt;500,"BASIC")</f>
        <v>NORMAL</v>
      </c>
    </row>
    <row r="574" spans="1:10" ht="15.6" x14ac:dyDescent="0.3">
      <c r="A574" s="6">
        <v>44244</v>
      </c>
      <c r="B574" s="7" t="s">
        <v>325</v>
      </c>
      <c r="C574" s="7" t="s">
        <v>806</v>
      </c>
      <c r="D574" s="7" t="s">
        <v>811</v>
      </c>
      <c r="E574" s="7">
        <v>1</v>
      </c>
      <c r="F574" s="7" t="s">
        <v>843</v>
      </c>
      <c r="G574" s="7" t="s">
        <v>824</v>
      </c>
      <c r="H574" s="7">
        <v>3022</v>
      </c>
      <c r="I574" s="7" t="s">
        <v>853</v>
      </c>
      <c r="J574" s="8" t="str" cm="1">
        <f t="array" ref="J574">_xlfn.IFS(H574&gt;8000,"PLATINUM",H574&gt;6000,"GOLD",H574&gt;4000,"SILEVER",H574&gt;2000,"NORMAL",H574&gt;500,"BASIC")</f>
        <v>NORMAL</v>
      </c>
    </row>
    <row r="575" spans="1:10" ht="15.6" x14ac:dyDescent="0.3">
      <c r="A575" s="6">
        <v>44572</v>
      </c>
      <c r="B575" s="7" t="s">
        <v>324</v>
      </c>
      <c r="C575" s="7" t="s">
        <v>805</v>
      </c>
      <c r="D575" s="7" t="s">
        <v>809</v>
      </c>
      <c r="E575" s="7">
        <v>13</v>
      </c>
      <c r="F575" s="7" t="s">
        <v>846</v>
      </c>
      <c r="G575" s="7" t="s">
        <v>833</v>
      </c>
      <c r="H575" s="7">
        <v>5266</v>
      </c>
      <c r="I575" s="7" t="s">
        <v>851</v>
      </c>
      <c r="J575" s="8" t="str" cm="1">
        <f t="array" ref="J575">_xlfn.IFS(H575&gt;8000,"PLATINUM",H575&gt;6000,"GOLD",H575&gt;4000,"SILEVER",H575&gt;2000,"NORMAL",H575&gt;500,"BASIC")</f>
        <v>SILEVER</v>
      </c>
    </row>
    <row r="576" spans="1:10" ht="15.6" x14ac:dyDescent="0.3">
      <c r="A576" s="6">
        <v>44244</v>
      </c>
      <c r="B576" s="7" t="s">
        <v>325</v>
      </c>
      <c r="C576" s="7" t="s">
        <v>805</v>
      </c>
      <c r="D576" s="7" t="s">
        <v>809</v>
      </c>
      <c r="E576" s="7">
        <v>13</v>
      </c>
      <c r="F576" s="7" t="s">
        <v>843</v>
      </c>
      <c r="G576" s="7" t="s">
        <v>824</v>
      </c>
      <c r="H576" s="7">
        <v>5266</v>
      </c>
      <c r="I576" s="7" t="s">
        <v>851</v>
      </c>
      <c r="J576" s="8" t="str" cm="1">
        <f t="array" ref="J576">_xlfn.IFS(H576&gt;8000,"PLATINUM",H576&gt;6000,"GOLD",H576&gt;4000,"SILEVER",H576&gt;2000,"NORMAL",H576&gt;500,"BASIC")</f>
        <v>SILEVER</v>
      </c>
    </row>
    <row r="577" spans="1:10" ht="15.6" x14ac:dyDescent="0.3">
      <c r="A577" s="6">
        <v>44506</v>
      </c>
      <c r="B577" s="7" t="s">
        <v>326</v>
      </c>
      <c r="C577" s="7" t="s">
        <v>806</v>
      </c>
      <c r="D577" s="7" t="s">
        <v>811</v>
      </c>
      <c r="E577" s="7">
        <v>9</v>
      </c>
      <c r="F577" s="7" t="s">
        <v>842</v>
      </c>
      <c r="G577" s="7" t="s">
        <v>826</v>
      </c>
      <c r="H577" s="7">
        <v>4853</v>
      </c>
      <c r="I577" s="7" t="s">
        <v>851</v>
      </c>
      <c r="J577" s="8" t="str" cm="1">
        <f t="array" ref="J577">_xlfn.IFS(H577&gt;8000,"PLATINUM",H577&gt;6000,"GOLD",H577&gt;4000,"SILEVER",H577&gt;2000,"NORMAL",H577&gt;500,"BASIC")</f>
        <v>SILEVER</v>
      </c>
    </row>
    <row r="578" spans="1:10" ht="15.6" x14ac:dyDescent="0.3">
      <c r="A578" s="6">
        <v>44803</v>
      </c>
      <c r="B578" s="7" t="s">
        <v>327</v>
      </c>
      <c r="C578" s="7" t="s">
        <v>806</v>
      </c>
      <c r="D578" s="7" t="s">
        <v>811</v>
      </c>
      <c r="E578" s="7">
        <v>9</v>
      </c>
      <c r="F578" s="7" t="s">
        <v>846</v>
      </c>
      <c r="G578" s="7" t="s">
        <v>838</v>
      </c>
      <c r="H578" s="7">
        <v>4853</v>
      </c>
      <c r="I578" s="7" t="s">
        <v>851</v>
      </c>
      <c r="J578" s="8" t="str" cm="1">
        <f t="array" ref="J578">_xlfn.IFS(H578&gt;8000,"PLATINUM",H578&gt;6000,"GOLD",H578&gt;4000,"SILEVER",H578&gt;2000,"NORMAL",H578&gt;500,"BASIC")</f>
        <v>SILEVER</v>
      </c>
    </row>
    <row r="579" spans="1:10" ht="15.6" x14ac:dyDescent="0.3">
      <c r="A579" s="6">
        <v>44841</v>
      </c>
      <c r="B579" s="7" t="s">
        <v>328</v>
      </c>
      <c r="C579" s="7" t="s">
        <v>806</v>
      </c>
      <c r="D579" s="7" t="s">
        <v>811</v>
      </c>
      <c r="E579" s="7">
        <v>1</v>
      </c>
      <c r="F579" s="7" t="s">
        <v>845</v>
      </c>
      <c r="G579" s="7" t="s">
        <v>834</v>
      </c>
      <c r="H579" s="7">
        <v>9832</v>
      </c>
      <c r="I579" s="7" t="s">
        <v>854</v>
      </c>
      <c r="J579" s="8" t="str" cm="1">
        <f t="array" ref="J579">_xlfn.IFS(H579&gt;8000,"PLATINUM",H579&gt;6000,"GOLD",H579&gt;4000,"SILEVER",H579&gt;2000,"NORMAL",H579&gt;500,"BASIC")</f>
        <v>PLATINUM</v>
      </c>
    </row>
    <row r="580" spans="1:10" ht="15.6" x14ac:dyDescent="0.3">
      <c r="A580" s="6">
        <v>44841</v>
      </c>
      <c r="B580" s="7" t="s">
        <v>328</v>
      </c>
      <c r="C580" s="7" t="s">
        <v>806</v>
      </c>
      <c r="D580" s="7" t="s">
        <v>811</v>
      </c>
      <c r="E580" s="7">
        <v>15</v>
      </c>
      <c r="F580" s="7" t="s">
        <v>845</v>
      </c>
      <c r="G580" s="7" t="s">
        <v>834</v>
      </c>
      <c r="H580" s="7">
        <v>796</v>
      </c>
      <c r="I580" s="7" t="s">
        <v>853</v>
      </c>
      <c r="J580" s="8" t="str" cm="1">
        <f t="array" ref="J580">_xlfn.IFS(H580&gt;8000,"PLATINUM",H580&gt;6000,"GOLD",H580&gt;4000,"SILEVER",H580&gt;2000,"NORMAL",H580&gt;500,"BASIC")</f>
        <v>BASIC</v>
      </c>
    </row>
    <row r="581" spans="1:10" ht="15.6" x14ac:dyDescent="0.3">
      <c r="A581" s="6">
        <v>45081</v>
      </c>
      <c r="B581" s="7" t="s">
        <v>329</v>
      </c>
      <c r="C581" s="7" t="s">
        <v>807</v>
      </c>
      <c r="D581" s="7" t="s">
        <v>814</v>
      </c>
      <c r="E581" s="7">
        <v>7</v>
      </c>
      <c r="F581" s="7" t="s">
        <v>845</v>
      </c>
      <c r="G581" s="7" t="s">
        <v>834</v>
      </c>
      <c r="H581" s="7">
        <v>883</v>
      </c>
      <c r="I581" s="7" t="s">
        <v>854</v>
      </c>
      <c r="J581" s="8" t="str" cm="1">
        <f t="array" ref="J581">_xlfn.IFS(H581&gt;8000,"PLATINUM",H581&gt;6000,"GOLD",H581&gt;4000,"SILEVER",H581&gt;2000,"NORMAL",H581&gt;500,"BASIC")</f>
        <v>BASIC</v>
      </c>
    </row>
    <row r="582" spans="1:10" ht="15.6" x14ac:dyDescent="0.3">
      <c r="A582" s="6">
        <v>45081</v>
      </c>
      <c r="B582" s="7" t="s">
        <v>329</v>
      </c>
      <c r="C582" s="7" t="s">
        <v>807</v>
      </c>
      <c r="D582" s="7" t="s">
        <v>820</v>
      </c>
      <c r="E582" s="7">
        <v>8</v>
      </c>
      <c r="F582" s="7" t="s">
        <v>845</v>
      </c>
      <c r="G582" s="7" t="s">
        <v>834</v>
      </c>
      <c r="H582" s="7">
        <v>4539</v>
      </c>
      <c r="I582" s="7" t="s">
        <v>851</v>
      </c>
      <c r="J582" s="8" t="str" cm="1">
        <f t="array" ref="J582">_xlfn.IFS(H582&gt;8000,"PLATINUM",H582&gt;6000,"GOLD",H582&gt;4000,"SILEVER",H582&gt;2000,"NORMAL",H582&gt;500,"BASIC")</f>
        <v>SILEVER</v>
      </c>
    </row>
    <row r="583" spans="1:10" ht="15.6" x14ac:dyDescent="0.3">
      <c r="A583" s="6">
        <v>45081</v>
      </c>
      <c r="B583" s="7" t="s">
        <v>329</v>
      </c>
      <c r="C583" s="7" t="s">
        <v>806</v>
      </c>
      <c r="D583" s="7" t="s">
        <v>818</v>
      </c>
      <c r="E583" s="7">
        <v>16</v>
      </c>
      <c r="F583" s="7" t="s">
        <v>845</v>
      </c>
      <c r="G583" s="7" t="s">
        <v>834</v>
      </c>
      <c r="H583" s="7">
        <v>9659</v>
      </c>
      <c r="I583" s="7" t="s">
        <v>851</v>
      </c>
      <c r="J583" s="8" t="str" cm="1">
        <f t="array" ref="J583">_xlfn.IFS(H583&gt;8000,"PLATINUM",H583&gt;6000,"GOLD",H583&gt;4000,"SILEVER",H583&gt;2000,"NORMAL",H583&gt;500,"BASIC")</f>
        <v>PLATINUM</v>
      </c>
    </row>
    <row r="584" spans="1:10" ht="15.6" x14ac:dyDescent="0.3">
      <c r="A584" s="6">
        <v>44694</v>
      </c>
      <c r="B584" s="7" t="s">
        <v>330</v>
      </c>
      <c r="C584" s="7" t="s">
        <v>805</v>
      </c>
      <c r="D584" s="7" t="s">
        <v>810</v>
      </c>
      <c r="E584" s="7">
        <v>2</v>
      </c>
      <c r="F584" s="7" t="s">
        <v>845</v>
      </c>
      <c r="G584" s="7" t="s">
        <v>832</v>
      </c>
      <c r="H584" s="7">
        <v>9562</v>
      </c>
      <c r="I584" s="7" t="s">
        <v>851</v>
      </c>
      <c r="J584" s="8" t="str" cm="1">
        <f t="array" ref="J584">_xlfn.IFS(H584&gt;8000,"PLATINUM",H584&gt;6000,"GOLD",H584&gt;4000,"SILEVER",H584&gt;2000,"NORMAL",H584&gt;500,"BASIC")</f>
        <v>PLATINUM</v>
      </c>
    </row>
    <row r="585" spans="1:10" ht="15.6" x14ac:dyDescent="0.3">
      <c r="A585" s="6">
        <v>44949</v>
      </c>
      <c r="B585" s="7" t="s">
        <v>331</v>
      </c>
      <c r="C585" s="7" t="s">
        <v>805</v>
      </c>
      <c r="D585" s="7" t="s">
        <v>812</v>
      </c>
      <c r="E585" s="7">
        <v>3</v>
      </c>
      <c r="F585" s="7" t="s">
        <v>845</v>
      </c>
      <c r="G585" s="7" t="s">
        <v>834</v>
      </c>
      <c r="H585" s="7">
        <v>4688</v>
      </c>
      <c r="I585" s="7" t="s">
        <v>853</v>
      </c>
      <c r="J585" s="8" t="str" cm="1">
        <f t="array" ref="J585">_xlfn.IFS(H585&gt;8000,"PLATINUM",H585&gt;6000,"GOLD",H585&gt;4000,"SILEVER",H585&gt;2000,"NORMAL",H585&gt;500,"BASIC")</f>
        <v>SILEVER</v>
      </c>
    </row>
    <row r="586" spans="1:10" ht="15.6" x14ac:dyDescent="0.3">
      <c r="A586" s="6">
        <v>44402</v>
      </c>
      <c r="B586" s="7" t="s">
        <v>332</v>
      </c>
      <c r="C586" s="7" t="s">
        <v>805</v>
      </c>
      <c r="D586" s="7" t="s">
        <v>812</v>
      </c>
      <c r="E586" s="7">
        <v>3</v>
      </c>
      <c r="F586" s="7" t="s">
        <v>845</v>
      </c>
      <c r="G586" s="7" t="s">
        <v>832</v>
      </c>
      <c r="H586" s="7">
        <v>4688</v>
      </c>
      <c r="I586" s="7" t="s">
        <v>853</v>
      </c>
      <c r="J586" s="8" t="str" cm="1">
        <f t="array" ref="J586">_xlfn.IFS(H586&gt;8000,"PLATINUM",H586&gt;6000,"GOLD",H586&gt;4000,"SILEVER",H586&gt;2000,"NORMAL",H586&gt;500,"BASIC")</f>
        <v>SILEVER</v>
      </c>
    </row>
    <row r="587" spans="1:10" ht="15.6" x14ac:dyDescent="0.3">
      <c r="A587" s="6">
        <v>45724</v>
      </c>
      <c r="B587" s="7" t="s">
        <v>333</v>
      </c>
      <c r="C587" s="7" t="s">
        <v>805</v>
      </c>
      <c r="D587" s="7" t="s">
        <v>819</v>
      </c>
      <c r="E587" s="7">
        <v>4</v>
      </c>
      <c r="F587" s="7" t="s">
        <v>847</v>
      </c>
      <c r="G587" s="7" t="s">
        <v>835</v>
      </c>
      <c r="H587" s="7">
        <v>7900</v>
      </c>
      <c r="I587" s="7" t="s">
        <v>854</v>
      </c>
      <c r="J587" s="8" t="str" cm="1">
        <f t="array" ref="J587">_xlfn.IFS(H587&gt;8000,"PLATINUM",H587&gt;6000,"GOLD",H587&gt;4000,"SILEVER",H587&gt;2000,"NORMAL",H587&gt;500,"BASIC")</f>
        <v>GOLD</v>
      </c>
    </row>
    <row r="588" spans="1:10" ht="15.6" x14ac:dyDescent="0.3">
      <c r="A588" s="6">
        <v>44920</v>
      </c>
      <c r="B588" s="7" t="s">
        <v>334</v>
      </c>
      <c r="C588" s="7" t="s">
        <v>807</v>
      </c>
      <c r="D588" s="7" t="s">
        <v>820</v>
      </c>
      <c r="E588" s="7">
        <v>17</v>
      </c>
      <c r="F588" s="7" t="s">
        <v>847</v>
      </c>
      <c r="G588" s="7" t="s">
        <v>836</v>
      </c>
      <c r="H588" s="7">
        <v>6967</v>
      </c>
      <c r="I588" s="7" t="s">
        <v>854</v>
      </c>
      <c r="J588" s="8" t="str" cm="1">
        <f t="array" ref="J588">_xlfn.IFS(H588&gt;8000,"PLATINUM",H588&gt;6000,"GOLD",H588&gt;4000,"SILEVER",H588&gt;2000,"NORMAL",H588&gt;500,"BASIC")</f>
        <v>GOLD</v>
      </c>
    </row>
    <row r="589" spans="1:10" ht="15.6" x14ac:dyDescent="0.3">
      <c r="A589" s="6">
        <v>44920</v>
      </c>
      <c r="B589" s="7" t="s">
        <v>334</v>
      </c>
      <c r="C589" s="7" t="s">
        <v>806</v>
      </c>
      <c r="D589" s="7" t="s">
        <v>817</v>
      </c>
      <c r="E589" s="7">
        <v>6</v>
      </c>
      <c r="F589" s="7" t="s">
        <v>847</v>
      </c>
      <c r="G589" s="7" t="s">
        <v>836</v>
      </c>
      <c r="H589" s="7">
        <v>1091</v>
      </c>
      <c r="I589" s="7" t="s">
        <v>854</v>
      </c>
      <c r="J589" s="8" t="str" cm="1">
        <f t="array" ref="J589">_xlfn.IFS(H589&gt;8000,"PLATINUM",H589&gt;6000,"GOLD",H589&gt;4000,"SILEVER",H589&gt;2000,"NORMAL",H589&gt;500,"BASIC")</f>
        <v>BASIC</v>
      </c>
    </row>
    <row r="590" spans="1:10" ht="15.6" x14ac:dyDescent="0.3">
      <c r="A590" s="6">
        <v>44920</v>
      </c>
      <c r="B590" s="7" t="s">
        <v>334</v>
      </c>
      <c r="C590" s="7" t="s">
        <v>806</v>
      </c>
      <c r="D590" s="7" t="s">
        <v>818</v>
      </c>
      <c r="E590" s="7">
        <v>2</v>
      </c>
      <c r="F590" s="7" t="s">
        <v>847</v>
      </c>
      <c r="G590" s="7" t="s">
        <v>836</v>
      </c>
      <c r="H590" s="7">
        <v>6027</v>
      </c>
      <c r="I590" s="7" t="s">
        <v>853</v>
      </c>
      <c r="J590" s="8" t="str" cm="1">
        <f t="array" ref="J590">_xlfn.IFS(H590&gt;8000,"PLATINUM",H590&gt;6000,"GOLD",H590&gt;4000,"SILEVER",H590&gt;2000,"NORMAL",H590&gt;500,"BASIC")</f>
        <v>GOLD</v>
      </c>
    </row>
    <row r="591" spans="1:10" ht="15.6" x14ac:dyDescent="0.3">
      <c r="A591" s="6">
        <v>45406</v>
      </c>
      <c r="B591" s="7" t="s">
        <v>335</v>
      </c>
      <c r="C591" s="7" t="s">
        <v>807</v>
      </c>
      <c r="D591" s="7" t="s">
        <v>813</v>
      </c>
      <c r="E591" s="7">
        <v>2</v>
      </c>
      <c r="F591" s="7" t="s">
        <v>846</v>
      </c>
      <c r="G591" s="7" t="s">
        <v>831</v>
      </c>
      <c r="H591" s="7">
        <v>4852</v>
      </c>
      <c r="I591" s="7" t="s">
        <v>852</v>
      </c>
      <c r="J591" s="8" t="str" cm="1">
        <f t="array" ref="J591">_xlfn.IFS(H591&gt;8000,"PLATINUM",H591&gt;6000,"GOLD",H591&gt;4000,"SILEVER",H591&gt;2000,"NORMAL",H591&gt;500,"BASIC")</f>
        <v>SILEVER</v>
      </c>
    </row>
    <row r="592" spans="1:10" ht="15.6" x14ac:dyDescent="0.3">
      <c r="A592" s="6">
        <v>44554</v>
      </c>
      <c r="B592" s="7" t="s">
        <v>336</v>
      </c>
      <c r="C592" s="7" t="s">
        <v>807</v>
      </c>
      <c r="D592" s="7" t="s">
        <v>813</v>
      </c>
      <c r="E592" s="7">
        <v>2</v>
      </c>
      <c r="F592" s="7" t="s">
        <v>842</v>
      </c>
      <c r="G592" s="7" t="s">
        <v>839</v>
      </c>
      <c r="H592" s="7">
        <v>4852</v>
      </c>
      <c r="I592" s="7" t="s">
        <v>852</v>
      </c>
      <c r="J592" s="8" t="str" cm="1">
        <f t="array" ref="J592">_xlfn.IFS(H592&gt;8000,"PLATINUM",H592&gt;6000,"GOLD",H592&gt;4000,"SILEVER",H592&gt;2000,"NORMAL",H592&gt;500,"BASIC")</f>
        <v>SILEVER</v>
      </c>
    </row>
    <row r="593" spans="1:10" ht="15.6" x14ac:dyDescent="0.3">
      <c r="A593" s="6">
        <v>45176</v>
      </c>
      <c r="B593" s="7" t="s">
        <v>337</v>
      </c>
      <c r="C593" s="7" t="s">
        <v>807</v>
      </c>
      <c r="D593" s="7" t="s">
        <v>813</v>
      </c>
      <c r="E593" s="7">
        <v>2</v>
      </c>
      <c r="F593" s="7" t="s">
        <v>843</v>
      </c>
      <c r="G593" s="7" t="s">
        <v>829</v>
      </c>
      <c r="H593" s="7">
        <v>4852</v>
      </c>
      <c r="I593" s="7" t="s">
        <v>852</v>
      </c>
      <c r="J593" s="8" t="str" cm="1">
        <f t="array" ref="J593">_xlfn.IFS(H593&gt;8000,"PLATINUM",H593&gt;6000,"GOLD",H593&gt;4000,"SILEVER",H593&gt;2000,"NORMAL",H593&gt;500,"BASIC")</f>
        <v>SILEVER</v>
      </c>
    </row>
    <row r="594" spans="1:10" ht="15.6" x14ac:dyDescent="0.3">
      <c r="A594" s="6">
        <v>44418</v>
      </c>
      <c r="B594" s="7" t="s">
        <v>338</v>
      </c>
      <c r="C594" s="7" t="s">
        <v>807</v>
      </c>
      <c r="D594" s="7" t="s">
        <v>816</v>
      </c>
      <c r="E594" s="7">
        <v>6</v>
      </c>
      <c r="F594" s="7" t="s">
        <v>842</v>
      </c>
      <c r="G594" s="7" t="s">
        <v>839</v>
      </c>
      <c r="H594" s="7">
        <v>4314</v>
      </c>
      <c r="I594" s="7" t="s">
        <v>854</v>
      </c>
      <c r="J594" s="8" t="str" cm="1">
        <f t="array" ref="J594">_xlfn.IFS(H594&gt;8000,"PLATINUM",H594&gt;6000,"GOLD",H594&gt;4000,"SILEVER",H594&gt;2000,"NORMAL",H594&gt;500,"BASIC")</f>
        <v>SILEVER</v>
      </c>
    </row>
    <row r="595" spans="1:10" ht="15.6" x14ac:dyDescent="0.3">
      <c r="A595" s="6">
        <v>45438</v>
      </c>
      <c r="B595" s="7" t="s">
        <v>339</v>
      </c>
      <c r="C595" s="7" t="s">
        <v>806</v>
      </c>
      <c r="D595" s="7" t="s">
        <v>811</v>
      </c>
      <c r="E595" s="7">
        <v>3</v>
      </c>
      <c r="F595" s="7" t="s">
        <v>846</v>
      </c>
      <c r="G595" s="7" t="s">
        <v>833</v>
      </c>
      <c r="H595" s="7">
        <v>3288</v>
      </c>
      <c r="I595" s="7" t="s">
        <v>852</v>
      </c>
      <c r="J595" s="8" t="str" cm="1">
        <f t="array" ref="J595">_xlfn.IFS(H595&gt;8000,"PLATINUM",H595&gt;6000,"GOLD",H595&gt;4000,"SILEVER",H595&gt;2000,"NORMAL",H595&gt;500,"BASIC")</f>
        <v>NORMAL</v>
      </c>
    </row>
    <row r="596" spans="1:10" ht="15.6" x14ac:dyDescent="0.3">
      <c r="A596" s="6">
        <v>44611</v>
      </c>
      <c r="B596" s="7" t="s">
        <v>340</v>
      </c>
      <c r="C596" s="7" t="s">
        <v>806</v>
      </c>
      <c r="D596" s="7" t="s">
        <v>811</v>
      </c>
      <c r="E596" s="7">
        <v>3</v>
      </c>
      <c r="F596" s="7" t="s">
        <v>843</v>
      </c>
      <c r="G596" s="7" t="s">
        <v>829</v>
      </c>
      <c r="H596" s="7">
        <v>3288</v>
      </c>
      <c r="I596" s="7" t="s">
        <v>852</v>
      </c>
      <c r="J596" s="8" t="str" cm="1">
        <f t="array" ref="J596">_xlfn.IFS(H596&gt;8000,"PLATINUM",H596&gt;6000,"GOLD",H596&gt;4000,"SILEVER",H596&gt;2000,"NORMAL",H596&gt;500,"BASIC")</f>
        <v>NORMAL</v>
      </c>
    </row>
    <row r="597" spans="1:10" ht="15.6" x14ac:dyDescent="0.3">
      <c r="A597" s="6">
        <v>45635</v>
      </c>
      <c r="B597" s="7" t="s">
        <v>341</v>
      </c>
      <c r="C597" s="7" t="s">
        <v>806</v>
      </c>
      <c r="D597" s="7" t="s">
        <v>818</v>
      </c>
      <c r="E597" s="7">
        <v>5</v>
      </c>
      <c r="F597" s="7" t="s">
        <v>844</v>
      </c>
      <c r="G597" s="7" t="s">
        <v>828</v>
      </c>
      <c r="H597" s="7">
        <v>3977</v>
      </c>
      <c r="I597" s="7" t="s">
        <v>853</v>
      </c>
      <c r="J597" s="8" t="str" cm="1">
        <f t="array" ref="J597">_xlfn.IFS(H597&gt;8000,"PLATINUM",H597&gt;6000,"GOLD",H597&gt;4000,"SILEVER",H597&gt;2000,"NORMAL",H597&gt;500,"BASIC")</f>
        <v>NORMAL</v>
      </c>
    </row>
    <row r="598" spans="1:10" ht="15.6" x14ac:dyDescent="0.3">
      <c r="A598" s="6">
        <v>45078</v>
      </c>
      <c r="B598" s="7" t="s">
        <v>342</v>
      </c>
      <c r="C598" s="7" t="s">
        <v>805</v>
      </c>
      <c r="D598" s="7" t="s">
        <v>810</v>
      </c>
      <c r="E598" s="7">
        <v>2</v>
      </c>
      <c r="F598" s="7" t="s">
        <v>843</v>
      </c>
      <c r="G598" s="7" t="s">
        <v>824</v>
      </c>
      <c r="H598" s="7">
        <v>6252</v>
      </c>
      <c r="I598" s="7" t="s">
        <v>852</v>
      </c>
      <c r="J598" s="8" t="str" cm="1">
        <f t="array" ref="J598">_xlfn.IFS(H598&gt;8000,"PLATINUM",H598&gt;6000,"GOLD",H598&gt;4000,"SILEVER",H598&gt;2000,"NORMAL",H598&gt;500,"BASIC")</f>
        <v>GOLD</v>
      </c>
    </row>
    <row r="599" spans="1:10" ht="15.6" x14ac:dyDescent="0.3">
      <c r="A599" s="6">
        <v>45235</v>
      </c>
      <c r="B599" s="7" t="s">
        <v>343</v>
      </c>
      <c r="C599" s="7" t="s">
        <v>806</v>
      </c>
      <c r="D599" s="7" t="s">
        <v>811</v>
      </c>
      <c r="E599" s="7">
        <v>12</v>
      </c>
      <c r="F599" s="7" t="s">
        <v>844</v>
      </c>
      <c r="G599" s="7" t="s">
        <v>825</v>
      </c>
      <c r="H599" s="7">
        <v>9084</v>
      </c>
      <c r="I599" s="7" t="s">
        <v>851</v>
      </c>
      <c r="J599" s="8" t="str" cm="1">
        <f t="array" ref="J599">_xlfn.IFS(H599&gt;8000,"PLATINUM",H599&gt;6000,"GOLD",H599&gt;4000,"SILEVER",H599&gt;2000,"NORMAL",H599&gt;500,"BASIC")</f>
        <v>PLATINUM</v>
      </c>
    </row>
    <row r="600" spans="1:10" ht="15.6" x14ac:dyDescent="0.3">
      <c r="A600" s="6">
        <v>44003</v>
      </c>
      <c r="B600" s="7" t="s">
        <v>344</v>
      </c>
      <c r="C600" s="7" t="s">
        <v>805</v>
      </c>
      <c r="D600" s="7" t="s">
        <v>819</v>
      </c>
      <c r="E600" s="7">
        <v>15</v>
      </c>
      <c r="F600" s="7" t="s">
        <v>845</v>
      </c>
      <c r="G600" s="7" t="s">
        <v>832</v>
      </c>
      <c r="H600" s="7">
        <v>8994</v>
      </c>
      <c r="I600" s="7" t="s">
        <v>853</v>
      </c>
      <c r="J600" s="8" t="str" cm="1">
        <f t="array" ref="J600">_xlfn.IFS(H600&gt;8000,"PLATINUM",H600&gt;6000,"GOLD",H600&gt;4000,"SILEVER",H600&gt;2000,"NORMAL",H600&gt;500,"BASIC")</f>
        <v>PLATINUM</v>
      </c>
    </row>
    <row r="601" spans="1:10" ht="15.6" x14ac:dyDescent="0.3">
      <c r="A601" s="6">
        <v>44130</v>
      </c>
      <c r="B601" s="7" t="s">
        <v>345</v>
      </c>
      <c r="C601" s="7" t="s">
        <v>806</v>
      </c>
      <c r="D601" s="7" t="s">
        <v>815</v>
      </c>
      <c r="E601" s="7">
        <v>16</v>
      </c>
      <c r="F601" s="7" t="s">
        <v>846</v>
      </c>
      <c r="G601" s="7" t="s">
        <v>831</v>
      </c>
      <c r="H601" s="7">
        <v>1089</v>
      </c>
      <c r="I601" s="7" t="s">
        <v>852</v>
      </c>
      <c r="J601" s="8" t="str" cm="1">
        <f t="array" ref="J601">_xlfn.IFS(H601&gt;8000,"PLATINUM",H601&gt;6000,"GOLD",H601&gt;4000,"SILEVER",H601&gt;2000,"NORMAL",H601&gt;500,"BASIC")</f>
        <v>BASIC</v>
      </c>
    </row>
    <row r="602" spans="1:10" ht="15.6" x14ac:dyDescent="0.3">
      <c r="A602" s="6">
        <v>44718</v>
      </c>
      <c r="B602" s="7" t="s">
        <v>346</v>
      </c>
      <c r="C602" s="7" t="s">
        <v>806</v>
      </c>
      <c r="D602" s="7" t="s">
        <v>818</v>
      </c>
      <c r="E602" s="7">
        <v>19</v>
      </c>
      <c r="F602" s="7" t="s">
        <v>843</v>
      </c>
      <c r="G602" s="7" t="s">
        <v>829</v>
      </c>
      <c r="H602" s="7">
        <v>6690</v>
      </c>
      <c r="I602" s="7" t="s">
        <v>850</v>
      </c>
      <c r="J602" s="8" t="str" cm="1">
        <f t="array" ref="J602">_xlfn.IFS(H602&gt;8000,"PLATINUM",H602&gt;6000,"GOLD",H602&gt;4000,"SILEVER",H602&gt;2000,"NORMAL",H602&gt;500,"BASIC")</f>
        <v>GOLD</v>
      </c>
    </row>
    <row r="603" spans="1:10" ht="15.6" x14ac:dyDescent="0.3">
      <c r="A603" s="6">
        <v>44513</v>
      </c>
      <c r="B603" s="7" t="s">
        <v>347</v>
      </c>
      <c r="C603" s="7" t="s">
        <v>806</v>
      </c>
      <c r="D603" s="7" t="s">
        <v>818</v>
      </c>
      <c r="E603" s="7">
        <v>19</v>
      </c>
      <c r="F603" s="7" t="s">
        <v>843</v>
      </c>
      <c r="G603" s="7" t="s">
        <v>824</v>
      </c>
      <c r="H603" s="7">
        <v>6690</v>
      </c>
      <c r="I603" s="7" t="s">
        <v>850</v>
      </c>
      <c r="J603" s="8" t="str" cm="1">
        <f t="array" ref="J603">_xlfn.IFS(H603&gt;8000,"PLATINUM",H603&gt;6000,"GOLD",H603&gt;4000,"SILEVER",H603&gt;2000,"NORMAL",H603&gt;500,"BASIC")</f>
        <v>GOLD</v>
      </c>
    </row>
    <row r="604" spans="1:10" ht="15.6" x14ac:dyDescent="0.3">
      <c r="A604" s="6">
        <v>44718</v>
      </c>
      <c r="B604" s="7" t="s">
        <v>346</v>
      </c>
      <c r="C604" s="7" t="s">
        <v>807</v>
      </c>
      <c r="D604" s="7" t="s">
        <v>820</v>
      </c>
      <c r="E604" s="7">
        <v>10</v>
      </c>
      <c r="F604" s="7" t="s">
        <v>843</v>
      </c>
      <c r="G604" s="7" t="s">
        <v>829</v>
      </c>
      <c r="H604" s="7">
        <v>4985</v>
      </c>
      <c r="I604" s="7" t="s">
        <v>853</v>
      </c>
      <c r="J604" s="8" t="str" cm="1">
        <f t="array" ref="J604">_xlfn.IFS(H604&gt;8000,"PLATINUM",H604&gt;6000,"GOLD",H604&gt;4000,"SILEVER",H604&gt;2000,"NORMAL",H604&gt;500,"BASIC")</f>
        <v>SILEVER</v>
      </c>
    </row>
    <row r="605" spans="1:10" ht="15.6" x14ac:dyDescent="0.3">
      <c r="A605" s="6">
        <v>44513</v>
      </c>
      <c r="B605" s="7" t="s">
        <v>347</v>
      </c>
      <c r="C605" s="7" t="s">
        <v>807</v>
      </c>
      <c r="D605" s="7" t="s">
        <v>820</v>
      </c>
      <c r="E605" s="7">
        <v>10</v>
      </c>
      <c r="F605" s="7" t="s">
        <v>843</v>
      </c>
      <c r="G605" s="7" t="s">
        <v>824</v>
      </c>
      <c r="H605" s="7">
        <v>4985</v>
      </c>
      <c r="I605" s="7" t="s">
        <v>853</v>
      </c>
      <c r="J605" s="8" t="str" cm="1">
        <f t="array" ref="J605">_xlfn.IFS(H605&gt;8000,"PLATINUM",H605&gt;6000,"GOLD",H605&gt;4000,"SILEVER",H605&gt;2000,"NORMAL",H605&gt;500,"BASIC")</f>
        <v>SILEVER</v>
      </c>
    </row>
    <row r="606" spans="1:10" ht="15.6" x14ac:dyDescent="0.3">
      <c r="A606" s="6">
        <v>44511</v>
      </c>
      <c r="B606" s="7" t="s">
        <v>348</v>
      </c>
      <c r="C606" s="7" t="s">
        <v>805</v>
      </c>
      <c r="D606" s="7" t="s">
        <v>809</v>
      </c>
      <c r="E606" s="7">
        <v>15</v>
      </c>
      <c r="F606" s="7" t="s">
        <v>842</v>
      </c>
      <c r="G606" s="7" t="s">
        <v>823</v>
      </c>
      <c r="H606" s="7">
        <v>8590</v>
      </c>
      <c r="I606" s="7" t="s">
        <v>852</v>
      </c>
      <c r="J606" s="8" t="str" cm="1">
        <f t="array" ref="J606">_xlfn.IFS(H606&gt;8000,"PLATINUM",H606&gt;6000,"GOLD",H606&gt;4000,"SILEVER",H606&gt;2000,"NORMAL",H606&gt;500,"BASIC")</f>
        <v>PLATINUM</v>
      </c>
    </row>
    <row r="607" spans="1:10" ht="15.6" x14ac:dyDescent="0.3">
      <c r="A607" s="6">
        <v>44511</v>
      </c>
      <c r="B607" s="7" t="s">
        <v>348</v>
      </c>
      <c r="C607" s="7" t="s">
        <v>807</v>
      </c>
      <c r="D607" s="7" t="s">
        <v>813</v>
      </c>
      <c r="E607" s="7">
        <v>10</v>
      </c>
      <c r="F607" s="7" t="s">
        <v>842</v>
      </c>
      <c r="G607" s="7" t="s">
        <v>823</v>
      </c>
      <c r="H607" s="7">
        <v>6973</v>
      </c>
      <c r="I607" s="7" t="s">
        <v>854</v>
      </c>
      <c r="J607" s="8" t="str" cm="1">
        <f t="array" ref="J607">_xlfn.IFS(H607&gt;8000,"PLATINUM",H607&gt;6000,"GOLD",H607&gt;4000,"SILEVER",H607&gt;2000,"NORMAL",H607&gt;500,"BASIC")</f>
        <v>GOLD</v>
      </c>
    </row>
    <row r="608" spans="1:10" ht="15.6" x14ac:dyDescent="0.3">
      <c r="A608" s="6">
        <v>44408</v>
      </c>
      <c r="B608" s="7" t="s">
        <v>216</v>
      </c>
      <c r="C608" s="7" t="s">
        <v>805</v>
      </c>
      <c r="D608" s="7" t="s">
        <v>810</v>
      </c>
      <c r="E608" s="7">
        <v>19</v>
      </c>
      <c r="F608" s="7" t="s">
        <v>846</v>
      </c>
      <c r="G608" s="7" t="s">
        <v>831</v>
      </c>
      <c r="H608" s="7">
        <v>4591</v>
      </c>
      <c r="I608" s="7" t="s">
        <v>852</v>
      </c>
      <c r="J608" s="8" t="str" cm="1">
        <f t="array" ref="J608">_xlfn.IFS(H608&gt;8000,"PLATINUM",H608&gt;6000,"GOLD",H608&gt;4000,"SILEVER",H608&gt;2000,"NORMAL",H608&gt;500,"BASIC")</f>
        <v>SILEVER</v>
      </c>
    </row>
    <row r="609" spans="1:10" ht="15.6" x14ac:dyDescent="0.3">
      <c r="A609" s="6">
        <v>44408</v>
      </c>
      <c r="B609" s="7" t="s">
        <v>216</v>
      </c>
      <c r="C609" s="7" t="s">
        <v>806</v>
      </c>
      <c r="D609" s="7" t="s">
        <v>811</v>
      </c>
      <c r="E609" s="7">
        <v>17</v>
      </c>
      <c r="F609" s="7" t="s">
        <v>846</v>
      </c>
      <c r="G609" s="7" t="s">
        <v>831</v>
      </c>
      <c r="H609" s="7">
        <v>9612</v>
      </c>
      <c r="I609" s="7" t="s">
        <v>853</v>
      </c>
      <c r="J609" s="8" t="str" cm="1">
        <f t="array" ref="J609">_xlfn.IFS(H609&gt;8000,"PLATINUM",H609&gt;6000,"GOLD",H609&gt;4000,"SILEVER",H609&gt;2000,"NORMAL",H609&gt;500,"BASIC")</f>
        <v>PLATINUM</v>
      </c>
    </row>
    <row r="610" spans="1:10" ht="15.6" x14ac:dyDescent="0.3">
      <c r="A610" s="6">
        <v>45395</v>
      </c>
      <c r="B610" s="7" t="s">
        <v>349</v>
      </c>
      <c r="C610" s="7" t="s">
        <v>807</v>
      </c>
      <c r="D610" s="7" t="s">
        <v>814</v>
      </c>
      <c r="E610" s="7">
        <v>1</v>
      </c>
      <c r="F610" s="7" t="s">
        <v>845</v>
      </c>
      <c r="G610" s="7" t="s">
        <v>832</v>
      </c>
      <c r="H610" s="7">
        <v>5343</v>
      </c>
      <c r="I610" s="7" t="s">
        <v>852</v>
      </c>
      <c r="J610" s="8" t="str" cm="1">
        <f t="array" ref="J610">_xlfn.IFS(H610&gt;8000,"PLATINUM",H610&gt;6000,"GOLD",H610&gt;4000,"SILEVER",H610&gt;2000,"NORMAL",H610&gt;500,"BASIC")</f>
        <v>SILEVER</v>
      </c>
    </row>
    <row r="611" spans="1:10" ht="15.6" x14ac:dyDescent="0.3">
      <c r="A611" s="6">
        <v>44670</v>
      </c>
      <c r="B611" s="7" t="s">
        <v>350</v>
      </c>
      <c r="C611" s="7" t="s">
        <v>806</v>
      </c>
      <c r="D611" s="7" t="s">
        <v>815</v>
      </c>
      <c r="E611" s="7">
        <v>20</v>
      </c>
      <c r="F611" s="7" t="s">
        <v>843</v>
      </c>
      <c r="G611" s="7" t="s">
        <v>829</v>
      </c>
      <c r="H611" s="7">
        <v>6956</v>
      </c>
      <c r="I611" s="7" t="s">
        <v>851</v>
      </c>
      <c r="J611" s="8" t="str" cm="1">
        <f t="array" ref="J611">_xlfn.IFS(H611&gt;8000,"PLATINUM",H611&gt;6000,"GOLD",H611&gt;4000,"SILEVER",H611&gt;2000,"NORMAL",H611&gt;500,"BASIC")</f>
        <v>GOLD</v>
      </c>
    </row>
    <row r="612" spans="1:10" ht="15.6" x14ac:dyDescent="0.3">
      <c r="A612" s="6">
        <v>45374</v>
      </c>
      <c r="B612" s="7" t="s">
        <v>351</v>
      </c>
      <c r="C612" s="7" t="s">
        <v>807</v>
      </c>
      <c r="D612" s="7" t="s">
        <v>813</v>
      </c>
      <c r="E612" s="7">
        <v>17</v>
      </c>
      <c r="F612" s="7" t="s">
        <v>844</v>
      </c>
      <c r="G612" s="7" t="s">
        <v>825</v>
      </c>
      <c r="H612" s="7">
        <v>5306</v>
      </c>
      <c r="I612" s="7" t="s">
        <v>852</v>
      </c>
      <c r="J612" s="8" t="str" cm="1">
        <f t="array" ref="J612">_xlfn.IFS(H612&gt;8000,"PLATINUM",H612&gt;6000,"GOLD",H612&gt;4000,"SILEVER",H612&gt;2000,"NORMAL",H612&gt;500,"BASIC")</f>
        <v>SILEVER</v>
      </c>
    </row>
    <row r="613" spans="1:10" ht="15.6" x14ac:dyDescent="0.3">
      <c r="A613" s="6">
        <v>44323</v>
      </c>
      <c r="B613" s="7" t="s">
        <v>352</v>
      </c>
      <c r="C613" s="7" t="s">
        <v>807</v>
      </c>
      <c r="D613" s="7" t="s">
        <v>816</v>
      </c>
      <c r="E613" s="7">
        <v>17</v>
      </c>
      <c r="F613" s="7" t="s">
        <v>844</v>
      </c>
      <c r="G613" s="7" t="s">
        <v>828</v>
      </c>
      <c r="H613" s="7">
        <v>8982</v>
      </c>
      <c r="I613" s="7" t="s">
        <v>850</v>
      </c>
      <c r="J613" s="8" t="str" cm="1">
        <f t="array" ref="J613">_xlfn.IFS(H613&gt;8000,"PLATINUM",H613&gt;6000,"GOLD",H613&gt;4000,"SILEVER",H613&gt;2000,"NORMAL",H613&gt;500,"BASIC")</f>
        <v>PLATINUM</v>
      </c>
    </row>
    <row r="614" spans="1:10" ht="15.6" x14ac:dyDescent="0.3">
      <c r="A614" s="6">
        <v>44323</v>
      </c>
      <c r="B614" s="7" t="s">
        <v>352</v>
      </c>
      <c r="C614" s="7" t="s">
        <v>806</v>
      </c>
      <c r="D614" s="7" t="s">
        <v>817</v>
      </c>
      <c r="E614" s="7">
        <v>5</v>
      </c>
      <c r="F614" s="7" t="s">
        <v>844</v>
      </c>
      <c r="G614" s="7" t="s">
        <v>828</v>
      </c>
      <c r="H614" s="7">
        <v>4826</v>
      </c>
      <c r="I614" s="7" t="s">
        <v>851</v>
      </c>
      <c r="J614" s="8" t="str" cm="1">
        <f t="array" ref="J614">_xlfn.IFS(H614&gt;8000,"PLATINUM",H614&gt;6000,"GOLD",H614&gt;4000,"SILEVER",H614&gt;2000,"NORMAL",H614&gt;500,"BASIC")</f>
        <v>SILEVER</v>
      </c>
    </row>
    <row r="615" spans="1:10" ht="15.6" x14ac:dyDescent="0.3">
      <c r="A615" s="6">
        <v>44687</v>
      </c>
      <c r="B615" s="7" t="s">
        <v>353</v>
      </c>
      <c r="C615" s="7" t="s">
        <v>806</v>
      </c>
      <c r="D615" s="7" t="s">
        <v>811</v>
      </c>
      <c r="E615" s="7">
        <v>15</v>
      </c>
      <c r="F615" s="7" t="s">
        <v>847</v>
      </c>
      <c r="G615" s="7" t="s">
        <v>836</v>
      </c>
      <c r="H615" s="7">
        <v>972</v>
      </c>
      <c r="I615" s="7" t="s">
        <v>852</v>
      </c>
      <c r="J615" s="8" t="str" cm="1">
        <f t="array" ref="J615">_xlfn.IFS(H615&gt;8000,"PLATINUM",H615&gt;6000,"GOLD",H615&gt;4000,"SILEVER",H615&gt;2000,"NORMAL",H615&gt;500,"BASIC")</f>
        <v>BASIC</v>
      </c>
    </row>
    <row r="616" spans="1:10" ht="15.6" x14ac:dyDescent="0.3">
      <c r="A616" s="6">
        <v>44417</v>
      </c>
      <c r="B616" s="7" t="s">
        <v>354</v>
      </c>
      <c r="C616" s="7" t="s">
        <v>806</v>
      </c>
      <c r="D616" s="7" t="s">
        <v>815</v>
      </c>
      <c r="E616" s="7">
        <v>4</v>
      </c>
      <c r="F616" s="7" t="s">
        <v>842</v>
      </c>
      <c r="G616" s="7" t="s">
        <v>823</v>
      </c>
      <c r="H616" s="7">
        <v>3665</v>
      </c>
      <c r="I616" s="7" t="s">
        <v>853</v>
      </c>
      <c r="J616" s="8" t="str" cm="1">
        <f t="array" ref="J616">_xlfn.IFS(H616&gt;8000,"PLATINUM",H616&gt;6000,"GOLD",H616&gt;4000,"SILEVER",H616&gt;2000,"NORMAL",H616&gt;500,"BASIC")</f>
        <v>NORMAL</v>
      </c>
    </row>
    <row r="617" spans="1:10" ht="15.6" x14ac:dyDescent="0.3">
      <c r="A617" s="6">
        <v>45697</v>
      </c>
      <c r="B617" s="7" t="s">
        <v>355</v>
      </c>
      <c r="C617" s="7" t="s">
        <v>806</v>
      </c>
      <c r="D617" s="7" t="s">
        <v>815</v>
      </c>
      <c r="E617" s="7">
        <v>4</v>
      </c>
      <c r="F617" s="7" t="s">
        <v>842</v>
      </c>
      <c r="G617" s="7" t="s">
        <v>839</v>
      </c>
      <c r="H617" s="7">
        <v>3665</v>
      </c>
      <c r="I617" s="7" t="s">
        <v>853</v>
      </c>
      <c r="J617" s="8" t="str" cm="1">
        <f t="array" ref="J617">_xlfn.IFS(H617&gt;8000,"PLATINUM",H617&gt;6000,"GOLD",H617&gt;4000,"SILEVER",H617&gt;2000,"NORMAL",H617&gt;500,"BASIC")</f>
        <v>NORMAL</v>
      </c>
    </row>
    <row r="618" spans="1:10" ht="15.6" x14ac:dyDescent="0.3">
      <c r="A618" s="6">
        <v>45405</v>
      </c>
      <c r="B618" s="7" t="s">
        <v>356</v>
      </c>
      <c r="C618" s="7" t="s">
        <v>806</v>
      </c>
      <c r="D618" s="7" t="s">
        <v>811</v>
      </c>
      <c r="E618" s="7">
        <v>2</v>
      </c>
      <c r="F618" s="7" t="s">
        <v>845</v>
      </c>
      <c r="G618" s="7" t="s">
        <v>827</v>
      </c>
      <c r="H618" s="7">
        <v>9808</v>
      </c>
      <c r="I618" s="7" t="s">
        <v>850</v>
      </c>
      <c r="J618" s="8" t="str" cm="1">
        <f t="array" ref="J618">_xlfn.IFS(H618&gt;8000,"PLATINUM",H618&gt;6000,"GOLD",H618&gt;4000,"SILEVER",H618&gt;2000,"NORMAL",H618&gt;500,"BASIC")</f>
        <v>PLATINUM</v>
      </c>
    </row>
    <row r="619" spans="1:10" ht="15.6" x14ac:dyDescent="0.3">
      <c r="A619" s="6">
        <v>44980</v>
      </c>
      <c r="B619" s="7" t="s">
        <v>357</v>
      </c>
      <c r="C619" s="7" t="s">
        <v>807</v>
      </c>
      <c r="D619" s="7" t="s">
        <v>814</v>
      </c>
      <c r="E619" s="7">
        <v>17</v>
      </c>
      <c r="F619" s="7" t="s">
        <v>847</v>
      </c>
      <c r="G619" s="7" t="s">
        <v>837</v>
      </c>
      <c r="H619" s="7">
        <v>1133</v>
      </c>
      <c r="I619" s="7" t="s">
        <v>850</v>
      </c>
      <c r="J619" s="8" t="str" cm="1">
        <f t="array" ref="J619">_xlfn.IFS(H619&gt;8000,"PLATINUM",H619&gt;6000,"GOLD",H619&gt;4000,"SILEVER",H619&gt;2000,"NORMAL",H619&gt;500,"BASIC")</f>
        <v>BASIC</v>
      </c>
    </row>
    <row r="620" spans="1:10" ht="15.6" x14ac:dyDescent="0.3">
      <c r="A620" s="6">
        <v>45449</v>
      </c>
      <c r="B620" s="7" t="s">
        <v>358</v>
      </c>
      <c r="C620" s="7" t="s">
        <v>807</v>
      </c>
      <c r="D620" s="7" t="s">
        <v>814</v>
      </c>
      <c r="E620" s="7">
        <v>17</v>
      </c>
      <c r="F620" s="7" t="s">
        <v>845</v>
      </c>
      <c r="G620" s="7" t="s">
        <v>832</v>
      </c>
      <c r="H620" s="7">
        <v>1133</v>
      </c>
      <c r="I620" s="7" t="s">
        <v>850</v>
      </c>
      <c r="J620" s="8" t="str" cm="1">
        <f t="array" ref="J620">_xlfn.IFS(H620&gt;8000,"PLATINUM",H620&gt;6000,"GOLD",H620&gt;4000,"SILEVER",H620&gt;2000,"NORMAL",H620&gt;500,"BASIC")</f>
        <v>BASIC</v>
      </c>
    </row>
    <row r="621" spans="1:10" ht="15.6" x14ac:dyDescent="0.3">
      <c r="A621" s="6">
        <v>44980</v>
      </c>
      <c r="B621" s="7" t="s">
        <v>357</v>
      </c>
      <c r="C621" s="7" t="s">
        <v>807</v>
      </c>
      <c r="D621" s="7" t="s">
        <v>820</v>
      </c>
      <c r="E621" s="7">
        <v>19</v>
      </c>
      <c r="F621" s="7" t="s">
        <v>847</v>
      </c>
      <c r="G621" s="7" t="s">
        <v>837</v>
      </c>
      <c r="H621" s="7">
        <v>6248</v>
      </c>
      <c r="I621" s="7" t="s">
        <v>854</v>
      </c>
      <c r="J621" s="8" t="str" cm="1">
        <f t="array" ref="J621">_xlfn.IFS(H621&gt;8000,"PLATINUM",H621&gt;6000,"GOLD",H621&gt;4000,"SILEVER",H621&gt;2000,"NORMAL",H621&gt;500,"BASIC")</f>
        <v>GOLD</v>
      </c>
    </row>
    <row r="622" spans="1:10" ht="15.6" x14ac:dyDescent="0.3">
      <c r="A622" s="6">
        <v>45449</v>
      </c>
      <c r="B622" s="7" t="s">
        <v>358</v>
      </c>
      <c r="C622" s="7" t="s">
        <v>807</v>
      </c>
      <c r="D622" s="7" t="s">
        <v>820</v>
      </c>
      <c r="E622" s="7">
        <v>19</v>
      </c>
      <c r="F622" s="7" t="s">
        <v>845</v>
      </c>
      <c r="G622" s="7" t="s">
        <v>832</v>
      </c>
      <c r="H622" s="7">
        <v>6248</v>
      </c>
      <c r="I622" s="7" t="s">
        <v>854</v>
      </c>
      <c r="J622" s="8" t="str" cm="1">
        <f t="array" ref="J622">_xlfn.IFS(H622&gt;8000,"PLATINUM",H622&gt;6000,"GOLD",H622&gt;4000,"SILEVER",H622&gt;2000,"NORMAL",H622&gt;500,"BASIC")</f>
        <v>GOLD</v>
      </c>
    </row>
    <row r="623" spans="1:10" ht="15.6" x14ac:dyDescent="0.3">
      <c r="A623" s="6">
        <v>45684</v>
      </c>
      <c r="B623" s="7" t="s">
        <v>359</v>
      </c>
      <c r="C623" s="7" t="s">
        <v>805</v>
      </c>
      <c r="D623" s="7" t="s">
        <v>809</v>
      </c>
      <c r="E623" s="7">
        <v>17</v>
      </c>
      <c r="F623" s="7" t="s">
        <v>842</v>
      </c>
      <c r="G623" s="7" t="s">
        <v>839</v>
      </c>
      <c r="H623" s="7">
        <v>5666</v>
      </c>
      <c r="I623" s="7" t="s">
        <v>853</v>
      </c>
      <c r="J623" s="8" t="str" cm="1">
        <f t="array" ref="J623">_xlfn.IFS(H623&gt;8000,"PLATINUM",H623&gt;6000,"GOLD",H623&gt;4000,"SILEVER",H623&gt;2000,"NORMAL",H623&gt;500,"BASIC")</f>
        <v>SILEVER</v>
      </c>
    </row>
    <row r="624" spans="1:10" ht="15.6" x14ac:dyDescent="0.3">
      <c r="A624" s="6">
        <v>45023</v>
      </c>
      <c r="B624" s="7" t="s">
        <v>360</v>
      </c>
      <c r="C624" s="7" t="s">
        <v>806</v>
      </c>
      <c r="D624" s="7" t="s">
        <v>815</v>
      </c>
      <c r="E624" s="7">
        <v>18</v>
      </c>
      <c r="F624" s="7" t="s">
        <v>846</v>
      </c>
      <c r="G624" s="7" t="s">
        <v>831</v>
      </c>
      <c r="H624" s="7">
        <v>4171</v>
      </c>
      <c r="I624" s="7" t="s">
        <v>854</v>
      </c>
      <c r="J624" s="8" t="str" cm="1">
        <f t="array" ref="J624">_xlfn.IFS(H624&gt;8000,"PLATINUM",H624&gt;6000,"GOLD",H624&gt;4000,"SILEVER",H624&gt;2000,"NORMAL",H624&gt;500,"BASIC")</f>
        <v>SILEVER</v>
      </c>
    </row>
    <row r="625" spans="1:10" ht="15.6" x14ac:dyDescent="0.3">
      <c r="A625" s="6">
        <v>44581</v>
      </c>
      <c r="B625" s="7" t="s">
        <v>361</v>
      </c>
      <c r="C625" s="7" t="s">
        <v>805</v>
      </c>
      <c r="D625" s="7" t="s">
        <v>810</v>
      </c>
      <c r="E625" s="7">
        <v>7</v>
      </c>
      <c r="F625" s="7" t="s">
        <v>843</v>
      </c>
      <c r="G625" s="7" t="s">
        <v>829</v>
      </c>
      <c r="H625" s="7">
        <v>6236</v>
      </c>
      <c r="I625" s="7" t="s">
        <v>853</v>
      </c>
      <c r="J625" s="8" t="str" cm="1">
        <f t="array" ref="J625">_xlfn.IFS(H625&gt;8000,"PLATINUM",H625&gt;6000,"GOLD",H625&gt;4000,"SILEVER",H625&gt;2000,"NORMAL",H625&gt;500,"BASIC")</f>
        <v>GOLD</v>
      </c>
    </row>
    <row r="626" spans="1:10" ht="15.6" x14ac:dyDescent="0.3">
      <c r="A626" s="6">
        <v>44691</v>
      </c>
      <c r="B626" s="7" t="s">
        <v>362</v>
      </c>
      <c r="C626" s="7" t="s">
        <v>805</v>
      </c>
      <c r="D626" s="7" t="s">
        <v>810</v>
      </c>
      <c r="E626" s="7">
        <v>7</v>
      </c>
      <c r="F626" s="7" t="s">
        <v>842</v>
      </c>
      <c r="G626" s="7" t="s">
        <v>826</v>
      </c>
      <c r="H626" s="7">
        <v>6236</v>
      </c>
      <c r="I626" s="7" t="s">
        <v>853</v>
      </c>
      <c r="J626" s="8" t="str" cm="1">
        <f t="array" ref="J626">_xlfn.IFS(H626&gt;8000,"PLATINUM",H626&gt;6000,"GOLD",H626&gt;4000,"SILEVER",H626&gt;2000,"NORMAL",H626&gt;500,"BASIC")</f>
        <v>GOLD</v>
      </c>
    </row>
    <row r="627" spans="1:10" ht="15.6" x14ac:dyDescent="0.3">
      <c r="A627" s="6">
        <v>45441</v>
      </c>
      <c r="B627" s="7" t="s">
        <v>363</v>
      </c>
      <c r="C627" s="7" t="s">
        <v>807</v>
      </c>
      <c r="D627" s="7" t="s">
        <v>814</v>
      </c>
      <c r="E627" s="7">
        <v>8</v>
      </c>
      <c r="F627" s="7" t="s">
        <v>845</v>
      </c>
      <c r="G627" s="7" t="s">
        <v>827</v>
      </c>
      <c r="H627" s="7">
        <v>5410</v>
      </c>
      <c r="I627" s="7" t="s">
        <v>853</v>
      </c>
      <c r="J627" s="8" t="str" cm="1">
        <f t="array" ref="J627">_xlfn.IFS(H627&gt;8000,"PLATINUM",H627&gt;6000,"GOLD",H627&gt;4000,"SILEVER",H627&gt;2000,"NORMAL",H627&gt;500,"BASIC")</f>
        <v>SILEVER</v>
      </c>
    </row>
    <row r="628" spans="1:10" ht="15.6" x14ac:dyDescent="0.3">
      <c r="A628" s="6">
        <v>44565</v>
      </c>
      <c r="B628" s="7" t="s">
        <v>364</v>
      </c>
      <c r="C628" s="7" t="s">
        <v>807</v>
      </c>
      <c r="D628" s="7" t="s">
        <v>814</v>
      </c>
      <c r="E628" s="7">
        <v>8</v>
      </c>
      <c r="F628" s="7" t="s">
        <v>842</v>
      </c>
      <c r="G628" s="7" t="s">
        <v>839</v>
      </c>
      <c r="H628" s="7">
        <v>5410</v>
      </c>
      <c r="I628" s="7" t="s">
        <v>853</v>
      </c>
      <c r="J628" s="8" t="str" cm="1">
        <f t="array" ref="J628">_xlfn.IFS(H628&gt;8000,"PLATINUM",H628&gt;6000,"GOLD",H628&gt;4000,"SILEVER",H628&gt;2000,"NORMAL",H628&gt;500,"BASIC")</f>
        <v>SILEVER</v>
      </c>
    </row>
    <row r="629" spans="1:10" ht="15.6" x14ac:dyDescent="0.3">
      <c r="A629" s="6">
        <v>45414</v>
      </c>
      <c r="B629" s="7" t="s">
        <v>365</v>
      </c>
      <c r="C629" s="7" t="s">
        <v>807</v>
      </c>
      <c r="D629" s="7" t="s">
        <v>816</v>
      </c>
      <c r="E629" s="7">
        <v>1</v>
      </c>
      <c r="F629" s="7" t="s">
        <v>845</v>
      </c>
      <c r="G629" s="7" t="s">
        <v>827</v>
      </c>
      <c r="H629" s="7">
        <v>3024</v>
      </c>
      <c r="I629" s="7" t="s">
        <v>853</v>
      </c>
      <c r="J629" s="8" t="str" cm="1">
        <f t="array" ref="J629">_xlfn.IFS(H629&gt;8000,"PLATINUM",H629&gt;6000,"GOLD",H629&gt;4000,"SILEVER",H629&gt;2000,"NORMAL",H629&gt;500,"BASIC")</f>
        <v>NORMAL</v>
      </c>
    </row>
    <row r="630" spans="1:10" ht="15.6" x14ac:dyDescent="0.3">
      <c r="A630" s="6">
        <v>44558</v>
      </c>
      <c r="B630" s="7" t="s">
        <v>366</v>
      </c>
      <c r="C630" s="7" t="s">
        <v>807</v>
      </c>
      <c r="D630" s="7" t="s">
        <v>816</v>
      </c>
      <c r="E630" s="7">
        <v>1</v>
      </c>
      <c r="F630" s="7" t="s">
        <v>847</v>
      </c>
      <c r="G630" s="7" t="s">
        <v>835</v>
      </c>
      <c r="H630" s="7">
        <v>3024</v>
      </c>
      <c r="I630" s="7" t="s">
        <v>853</v>
      </c>
      <c r="J630" s="8" t="str" cm="1">
        <f t="array" ref="J630">_xlfn.IFS(H630&gt;8000,"PLATINUM",H630&gt;6000,"GOLD",H630&gt;4000,"SILEVER",H630&gt;2000,"NORMAL",H630&gt;500,"BASIC")</f>
        <v>NORMAL</v>
      </c>
    </row>
    <row r="631" spans="1:10" ht="15.6" x14ac:dyDescent="0.3">
      <c r="A631" s="6">
        <v>44907</v>
      </c>
      <c r="B631" s="7" t="s">
        <v>367</v>
      </c>
      <c r="C631" s="7" t="s">
        <v>806</v>
      </c>
      <c r="D631" s="7" t="s">
        <v>815</v>
      </c>
      <c r="E631" s="7">
        <v>5</v>
      </c>
      <c r="F631" s="7" t="s">
        <v>843</v>
      </c>
      <c r="G631" s="7" t="s">
        <v>829</v>
      </c>
      <c r="H631" s="7">
        <v>7434</v>
      </c>
      <c r="I631" s="7" t="s">
        <v>850</v>
      </c>
      <c r="J631" s="8" t="str" cm="1">
        <f t="array" ref="J631">_xlfn.IFS(H631&gt;8000,"PLATINUM",H631&gt;6000,"GOLD",H631&gt;4000,"SILEVER",H631&gt;2000,"NORMAL",H631&gt;500,"BASIC")</f>
        <v>GOLD</v>
      </c>
    </row>
    <row r="632" spans="1:10" ht="15.6" x14ac:dyDescent="0.3">
      <c r="A632" s="6">
        <v>45155</v>
      </c>
      <c r="B632" s="7" t="s">
        <v>368</v>
      </c>
      <c r="C632" s="7" t="s">
        <v>805</v>
      </c>
      <c r="D632" s="7" t="s">
        <v>809</v>
      </c>
      <c r="E632" s="7">
        <v>19</v>
      </c>
      <c r="F632" s="7" t="s">
        <v>846</v>
      </c>
      <c r="G632" s="7" t="s">
        <v>831</v>
      </c>
      <c r="H632" s="7">
        <v>7213</v>
      </c>
      <c r="I632" s="7" t="s">
        <v>851</v>
      </c>
      <c r="J632" s="8" t="str" cm="1">
        <f t="array" ref="J632">_xlfn.IFS(H632&gt;8000,"PLATINUM",H632&gt;6000,"GOLD",H632&gt;4000,"SILEVER",H632&gt;2000,"NORMAL",H632&gt;500,"BASIC")</f>
        <v>GOLD</v>
      </c>
    </row>
    <row r="633" spans="1:10" ht="15.6" x14ac:dyDescent="0.3">
      <c r="A633" s="6">
        <v>44529</v>
      </c>
      <c r="B633" s="7" t="s">
        <v>369</v>
      </c>
      <c r="C633" s="7" t="s">
        <v>805</v>
      </c>
      <c r="D633" s="7" t="s">
        <v>809</v>
      </c>
      <c r="E633" s="7">
        <v>19</v>
      </c>
      <c r="F633" s="7" t="s">
        <v>847</v>
      </c>
      <c r="G633" s="7" t="s">
        <v>836</v>
      </c>
      <c r="H633" s="7">
        <v>7213</v>
      </c>
      <c r="I633" s="7" t="s">
        <v>851</v>
      </c>
      <c r="J633" s="8" t="str" cm="1">
        <f t="array" ref="J633">_xlfn.IFS(H633&gt;8000,"PLATINUM",H633&gt;6000,"GOLD",H633&gt;4000,"SILEVER",H633&gt;2000,"NORMAL",H633&gt;500,"BASIC")</f>
        <v>GOLD</v>
      </c>
    </row>
    <row r="634" spans="1:10" ht="15.6" x14ac:dyDescent="0.3">
      <c r="A634" s="6">
        <v>45155</v>
      </c>
      <c r="B634" s="7" t="s">
        <v>368</v>
      </c>
      <c r="C634" s="7" t="s">
        <v>807</v>
      </c>
      <c r="D634" s="7" t="s">
        <v>813</v>
      </c>
      <c r="E634" s="7">
        <v>9</v>
      </c>
      <c r="F634" s="7" t="s">
        <v>846</v>
      </c>
      <c r="G634" s="7" t="s">
        <v>831</v>
      </c>
      <c r="H634" s="7">
        <v>3176</v>
      </c>
      <c r="I634" s="7" t="s">
        <v>852</v>
      </c>
      <c r="J634" s="8" t="str" cm="1">
        <f t="array" ref="J634">_xlfn.IFS(H634&gt;8000,"PLATINUM",H634&gt;6000,"GOLD",H634&gt;4000,"SILEVER",H634&gt;2000,"NORMAL",H634&gt;500,"BASIC")</f>
        <v>NORMAL</v>
      </c>
    </row>
    <row r="635" spans="1:10" ht="15.6" x14ac:dyDescent="0.3">
      <c r="A635" s="6">
        <v>44529</v>
      </c>
      <c r="B635" s="7" t="s">
        <v>369</v>
      </c>
      <c r="C635" s="7" t="s">
        <v>807</v>
      </c>
      <c r="D635" s="7" t="s">
        <v>813</v>
      </c>
      <c r="E635" s="7">
        <v>9</v>
      </c>
      <c r="F635" s="7" t="s">
        <v>847</v>
      </c>
      <c r="G635" s="7" t="s">
        <v>836</v>
      </c>
      <c r="H635" s="7">
        <v>3176</v>
      </c>
      <c r="I635" s="7" t="s">
        <v>852</v>
      </c>
      <c r="J635" s="8" t="str" cm="1">
        <f t="array" ref="J635">_xlfn.IFS(H635&gt;8000,"PLATINUM",H635&gt;6000,"GOLD",H635&gt;4000,"SILEVER",H635&gt;2000,"NORMAL",H635&gt;500,"BASIC")</f>
        <v>NORMAL</v>
      </c>
    </row>
    <row r="636" spans="1:10" ht="15.6" x14ac:dyDescent="0.3">
      <c r="A636" s="6">
        <v>44360</v>
      </c>
      <c r="B636" s="7" t="s">
        <v>370</v>
      </c>
      <c r="C636" s="7" t="s">
        <v>806</v>
      </c>
      <c r="D636" s="7" t="s">
        <v>818</v>
      </c>
      <c r="E636" s="7">
        <v>18</v>
      </c>
      <c r="F636" s="7" t="s">
        <v>842</v>
      </c>
      <c r="G636" s="7" t="s">
        <v>823</v>
      </c>
      <c r="H636" s="7">
        <v>9144</v>
      </c>
      <c r="I636" s="7" t="s">
        <v>853</v>
      </c>
      <c r="J636" s="8" t="str" cm="1">
        <f t="array" ref="J636">_xlfn.IFS(H636&gt;8000,"PLATINUM",H636&gt;6000,"GOLD",H636&gt;4000,"SILEVER",H636&gt;2000,"NORMAL",H636&gt;500,"BASIC")</f>
        <v>PLATINUM</v>
      </c>
    </row>
    <row r="637" spans="1:10" ht="15.6" x14ac:dyDescent="0.3">
      <c r="A637" s="6">
        <v>44746</v>
      </c>
      <c r="B637" s="7" t="s">
        <v>371</v>
      </c>
      <c r="C637" s="7" t="s">
        <v>807</v>
      </c>
      <c r="D637" s="7" t="s">
        <v>813</v>
      </c>
      <c r="E637" s="7">
        <v>19</v>
      </c>
      <c r="F637" s="7" t="s">
        <v>846</v>
      </c>
      <c r="G637" s="7" t="s">
        <v>838</v>
      </c>
      <c r="H637" s="7">
        <v>4146</v>
      </c>
      <c r="I637" s="7" t="s">
        <v>852</v>
      </c>
      <c r="J637" s="8" t="str" cm="1">
        <f t="array" ref="J637">_xlfn.IFS(H637&gt;8000,"PLATINUM",H637&gt;6000,"GOLD",H637&gt;4000,"SILEVER",H637&gt;2000,"NORMAL",H637&gt;500,"BASIC")</f>
        <v>SILEVER</v>
      </c>
    </row>
    <row r="638" spans="1:10" ht="15.6" x14ac:dyDescent="0.3">
      <c r="A638" s="6">
        <v>44746</v>
      </c>
      <c r="B638" s="7" t="s">
        <v>371</v>
      </c>
      <c r="C638" s="7" t="s">
        <v>807</v>
      </c>
      <c r="D638" s="7" t="s">
        <v>813</v>
      </c>
      <c r="E638" s="7">
        <v>7</v>
      </c>
      <c r="F638" s="7" t="s">
        <v>846</v>
      </c>
      <c r="G638" s="7" t="s">
        <v>838</v>
      </c>
      <c r="H638" s="7">
        <v>3793</v>
      </c>
      <c r="I638" s="7" t="s">
        <v>852</v>
      </c>
      <c r="J638" s="8" t="str" cm="1">
        <f t="array" ref="J638">_xlfn.IFS(H638&gt;8000,"PLATINUM",H638&gt;6000,"GOLD",H638&gt;4000,"SILEVER",H638&gt;2000,"NORMAL",H638&gt;500,"BASIC")</f>
        <v>NORMAL</v>
      </c>
    </row>
    <row r="639" spans="1:10" ht="15.6" x14ac:dyDescent="0.3">
      <c r="A639" s="6">
        <v>44374</v>
      </c>
      <c r="B639" s="7" t="s">
        <v>372</v>
      </c>
      <c r="C639" s="7" t="s">
        <v>807</v>
      </c>
      <c r="D639" s="7" t="s">
        <v>816</v>
      </c>
      <c r="E639" s="7">
        <v>11</v>
      </c>
      <c r="F639" s="7" t="s">
        <v>845</v>
      </c>
      <c r="G639" s="7" t="s">
        <v>827</v>
      </c>
      <c r="H639" s="7">
        <v>7169</v>
      </c>
      <c r="I639" s="7" t="s">
        <v>854</v>
      </c>
      <c r="J639" s="8" t="str" cm="1">
        <f t="array" ref="J639">_xlfn.IFS(H639&gt;8000,"PLATINUM",H639&gt;6000,"GOLD",H639&gt;4000,"SILEVER",H639&gt;2000,"NORMAL",H639&gt;500,"BASIC")</f>
        <v>GOLD</v>
      </c>
    </row>
    <row r="640" spans="1:10" ht="15.6" x14ac:dyDescent="0.3">
      <c r="A640" s="6">
        <v>44374</v>
      </c>
      <c r="B640" s="7" t="s">
        <v>372</v>
      </c>
      <c r="C640" s="7" t="s">
        <v>807</v>
      </c>
      <c r="D640" s="7" t="s">
        <v>814</v>
      </c>
      <c r="E640" s="7">
        <v>18</v>
      </c>
      <c r="F640" s="7" t="s">
        <v>845</v>
      </c>
      <c r="G640" s="7" t="s">
        <v>827</v>
      </c>
      <c r="H640" s="7">
        <v>4046</v>
      </c>
      <c r="I640" s="7" t="s">
        <v>853</v>
      </c>
      <c r="J640" s="8" t="str" cm="1">
        <f t="array" ref="J640">_xlfn.IFS(H640&gt;8000,"PLATINUM",H640&gt;6000,"GOLD",H640&gt;4000,"SILEVER",H640&gt;2000,"NORMAL",H640&gt;500,"BASIC")</f>
        <v>SILEVER</v>
      </c>
    </row>
    <row r="641" spans="1:10" ht="15.6" x14ac:dyDescent="0.3">
      <c r="A641" s="6">
        <v>45264</v>
      </c>
      <c r="B641" s="7" t="s">
        <v>373</v>
      </c>
      <c r="C641" s="7" t="s">
        <v>805</v>
      </c>
      <c r="D641" s="7" t="s">
        <v>819</v>
      </c>
      <c r="E641" s="7">
        <v>11</v>
      </c>
      <c r="F641" s="7" t="s">
        <v>845</v>
      </c>
      <c r="G641" s="7" t="s">
        <v>832</v>
      </c>
      <c r="H641" s="7">
        <v>4164</v>
      </c>
      <c r="I641" s="7" t="s">
        <v>854</v>
      </c>
      <c r="J641" s="8" t="str" cm="1">
        <f t="array" ref="J641">_xlfn.IFS(H641&gt;8000,"PLATINUM",H641&gt;6000,"GOLD",H641&gt;4000,"SILEVER",H641&gt;2000,"NORMAL",H641&gt;500,"BASIC")</f>
        <v>SILEVER</v>
      </c>
    </row>
    <row r="642" spans="1:10" ht="15.6" x14ac:dyDescent="0.3">
      <c r="A642" s="6">
        <v>45264</v>
      </c>
      <c r="B642" s="7" t="s">
        <v>373</v>
      </c>
      <c r="C642" s="7" t="s">
        <v>807</v>
      </c>
      <c r="D642" s="7" t="s">
        <v>813</v>
      </c>
      <c r="E642" s="7">
        <v>5</v>
      </c>
      <c r="F642" s="7" t="s">
        <v>845</v>
      </c>
      <c r="G642" s="7" t="s">
        <v>832</v>
      </c>
      <c r="H642" s="7">
        <v>5389</v>
      </c>
      <c r="I642" s="7" t="s">
        <v>850</v>
      </c>
      <c r="J642" s="8" t="str" cm="1">
        <f t="array" ref="J642">_xlfn.IFS(H642&gt;8000,"PLATINUM",H642&gt;6000,"GOLD",H642&gt;4000,"SILEVER",H642&gt;2000,"NORMAL",H642&gt;500,"BASIC")</f>
        <v>SILEVER</v>
      </c>
    </row>
    <row r="643" spans="1:10" ht="15.6" x14ac:dyDescent="0.3">
      <c r="A643" s="6">
        <v>44782</v>
      </c>
      <c r="B643" s="7" t="s">
        <v>374</v>
      </c>
      <c r="C643" s="7" t="s">
        <v>807</v>
      </c>
      <c r="D643" s="7" t="s">
        <v>816</v>
      </c>
      <c r="E643" s="7">
        <v>5</v>
      </c>
      <c r="F643" s="7" t="s">
        <v>844</v>
      </c>
      <c r="G643" s="7" t="s">
        <v>828</v>
      </c>
      <c r="H643" s="7">
        <v>5448</v>
      </c>
      <c r="I643" s="7" t="s">
        <v>854</v>
      </c>
      <c r="J643" s="8" t="str" cm="1">
        <f t="array" ref="J643">_xlfn.IFS(H643&gt;8000,"PLATINUM",H643&gt;6000,"GOLD",H643&gt;4000,"SILEVER",H643&gt;2000,"NORMAL",H643&gt;500,"BASIC")</f>
        <v>SILEVER</v>
      </c>
    </row>
    <row r="644" spans="1:10" ht="15.6" x14ac:dyDescent="0.3">
      <c r="A644" s="6">
        <v>43929</v>
      </c>
      <c r="B644" s="7" t="s">
        <v>375</v>
      </c>
      <c r="C644" s="7" t="s">
        <v>807</v>
      </c>
      <c r="D644" s="7" t="s">
        <v>816</v>
      </c>
      <c r="E644" s="7">
        <v>1</v>
      </c>
      <c r="F644" s="7" t="s">
        <v>842</v>
      </c>
      <c r="G644" s="7" t="s">
        <v>826</v>
      </c>
      <c r="H644" s="7">
        <v>4115</v>
      </c>
      <c r="I644" s="7" t="s">
        <v>850</v>
      </c>
      <c r="J644" s="8" t="str" cm="1">
        <f t="array" ref="J644">_xlfn.IFS(H644&gt;8000,"PLATINUM",H644&gt;6000,"GOLD",H644&gt;4000,"SILEVER",H644&gt;2000,"NORMAL",H644&gt;500,"BASIC")</f>
        <v>SILEVER</v>
      </c>
    </row>
    <row r="645" spans="1:10" ht="15.6" x14ac:dyDescent="0.3">
      <c r="A645" s="6">
        <v>43929</v>
      </c>
      <c r="B645" s="7" t="s">
        <v>375</v>
      </c>
      <c r="C645" s="7" t="s">
        <v>807</v>
      </c>
      <c r="D645" s="7" t="s">
        <v>813</v>
      </c>
      <c r="E645" s="7">
        <v>12</v>
      </c>
      <c r="F645" s="7" t="s">
        <v>842</v>
      </c>
      <c r="G645" s="7" t="s">
        <v>826</v>
      </c>
      <c r="H645" s="7">
        <v>4761</v>
      </c>
      <c r="I645" s="7" t="s">
        <v>850</v>
      </c>
      <c r="J645" s="8" t="str" cm="1">
        <f t="array" ref="J645">_xlfn.IFS(H645&gt;8000,"PLATINUM",H645&gt;6000,"GOLD",H645&gt;4000,"SILEVER",H645&gt;2000,"NORMAL",H645&gt;500,"BASIC")</f>
        <v>SILEVER</v>
      </c>
    </row>
    <row r="646" spans="1:10" ht="15.6" x14ac:dyDescent="0.3">
      <c r="A646" s="6">
        <v>45219</v>
      </c>
      <c r="B646" s="7" t="s">
        <v>376</v>
      </c>
      <c r="C646" s="7" t="s">
        <v>806</v>
      </c>
      <c r="D646" s="7" t="s">
        <v>818</v>
      </c>
      <c r="E646" s="7">
        <v>6</v>
      </c>
      <c r="F646" s="7" t="s">
        <v>844</v>
      </c>
      <c r="G646" s="7" t="s">
        <v>825</v>
      </c>
      <c r="H646" s="7">
        <v>5899</v>
      </c>
      <c r="I646" s="7" t="s">
        <v>852</v>
      </c>
      <c r="J646" s="8" t="str" cm="1">
        <f t="array" ref="J646">_xlfn.IFS(H646&gt;8000,"PLATINUM",H646&gt;6000,"GOLD",H646&gt;4000,"SILEVER",H646&gt;2000,"NORMAL",H646&gt;500,"BASIC")</f>
        <v>SILEVER</v>
      </c>
    </row>
    <row r="647" spans="1:10" ht="15.6" x14ac:dyDescent="0.3">
      <c r="A647" s="6">
        <v>44602</v>
      </c>
      <c r="B647" s="7" t="s">
        <v>377</v>
      </c>
      <c r="C647" s="7" t="s">
        <v>807</v>
      </c>
      <c r="D647" s="7" t="s">
        <v>814</v>
      </c>
      <c r="E647" s="7">
        <v>9</v>
      </c>
      <c r="F647" s="7" t="s">
        <v>844</v>
      </c>
      <c r="G647" s="7" t="s">
        <v>825</v>
      </c>
      <c r="H647" s="7">
        <v>6109</v>
      </c>
      <c r="I647" s="7" t="s">
        <v>852</v>
      </c>
      <c r="J647" s="8" t="str" cm="1">
        <f t="array" ref="J647">_xlfn.IFS(H647&gt;8000,"PLATINUM",H647&gt;6000,"GOLD",H647&gt;4000,"SILEVER",H647&gt;2000,"NORMAL",H647&gt;500,"BASIC")</f>
        <v>GOLD</v>
      </c>
    </row>
    <row r="648" spans="1:10" ht="15.6" x14ac:dyDescent="0.3">
      <c r="A648" s="6">
        <v>45204</v>
      </c>
      <c r="B648" s="7" t="s">
        <v>378</v>
      </c>
      <c r="C648" s="7" t="s">
        <v>807</v>
      </c>
      <c r="D648" s="7" t="s">
        <v>814</v>
      </c>
      <c r="E648" s="7">
        <v>9</v>
      </c>
      <c r="F648" s="7" t="s">
        <v>844</v>
      </c>
      <c r="G648" s="7" t="s">
        <v>830</v>
      </c>
      <c r="H648" s="7">
        <v>6109</v>
      </c>
      <c r="I648" s="7" t="s">
        <v>852</v>
      </c>
      <c r="J648" s="8" t="str" cm="1">
        <f t="array" ref="J648">_xlfn.IFS(H648&gt;8000,"PLATINUM",H648&gt;6000,"GOLD",H648&gt;4000,"SILEVER",H648&gt;2000,"NORMAL",H648&gt;500,"BASIC")</f>
        <v>GOLD</v>
      </c>
    </row>
    <row r="649" spans="1:10" ht="15.6" x14ac:dyDescent="0.3">
      <c r="A649" s="6">
        <v>44602</v>
      </c>
      <c r="B649" s="7" t="s">
        <v>377</v>
      </c>
      <c r="C649" s="7" t="s">
        <v>805</v>
      </c>
      <c r="D649" s="7" t="s">
        <v>809</v>
      </c>
      <c r="E649" s="7">
        <v>17</v>
      </c>
      <c r="F649" s="7" t="s">
        <v>844</v>
      </c>
      <c r="G649" s="7" t="s">
        <v>825</v>
      </c>
      <c r="H649" s="7">
        <v>4628</v>
      </c>
      <c r="I649" s="7" t="s">
        <v>850</v>
      </c>
      <c r="J649" s="8" t="str" cm="1">
        <f t="array" ref="J649">_xlfn.IFS(H649&gt;8000,"PLATINUM",H649&gt;6000,"GOLD",H649&gt;4000,"SILEVER",H649&gt;2000,"NORMAL",H649&gt;500,"BASIC")</f>
        <v>SILEVER</v>
      </c>
    </row>
    <row r="650" spans="1:10" ht="15.6" x14ac:dyDescent="0.3">
      <c r="A650" s="6">
        <v>45204</v>
      </c>
      <c r="B650" s="7" t="s">
        <v>378</v>
      </c>
      <c r="C650" s="7" t="s">
        <v>805</v>
      </c>
      <c r="D650" s="7" t="s">
        <v>809</v>
      </c>
      <c r="E650" s="7">
        <v>17</v>
      </c>
      <c r="F650" s="7" t="s">
        <v>844</v>
      </c>
      <c r="G650" s="7" t="s">
        <v>830</v>
      </c>
      <c r="H650" s="7">
        <v>4628</v>
      </c>
      <c r="I650" s="7" t="s">
        <v>850</v>
      </c>
      <c r="J650" s="8" t="str" cm="1">
        <f t="array" ref="J650">_xlfn.IFS(H650&gt;8000,"PLATINUM",H650&gt;6000,"GOLD",H650&gt;4000,"SILEVER",H650&gt;2000,"NORMAL",H650&gt;500,"BASIC")</f>
        <v>SILEVER</v>
      </c>
    </row>
    <row r="651" spans="1:10" ht="15.6" x14ac:dyDescent="0.3">
      <c r="A651" s="6">
        <v>44826</v>
      </c>
      <c r="B651" s="7" t="s">
        <v>379</v>
      </c>
      <c r="C651" s="7" t="s">
        <v>806</v>
      </c>
      <c r="D651" s="7" t="s">
        <v>811</v>
      </c>
      <c r="E651" s="7">
        <v>13</v>
      </c>
      <c r="F651" s="7" t="s">
        <v>843</v>
      </c>
      <c r="G651" s="7" t="s">
        <v>840</v>
      </c>
      <c r="H651" s="7">
        <v>4369</v>
      </c>
      <c r="I651" s="7" t="s">
        <v>853</v>
      </c>
      <c r="J651" s="8" t="str" cm="1">
        <f t="array" ref="J651">_xlfn.IFS(H651&gt;8000,"PLATINUM",H651&gt;6000,"GOLD",H651&gt;4000,"SILEVER",H651&gt;2000,"NORMAL",H651&gt;500,"BASIC")</f>
        <v>SILEVER</v>
      </c>
    </row>
    <row r="652" spans="1:10" ht="15.6" x14ac:dyDescent="0.3">
      <c r="A652" s="6">
        <v>44289</v>
      </c>
      <c r="B652" s="7" t="s">
        <v>380</v>
      </c>
      <c r="C652" s="7" t="s">
        <v>806</v>
      </c>
      <c r="D652" s="7" t="s">
        <v>811</v>
      </c>
      <c r="E652" s="7">
        <v>13</v>
      </c>
      <c r="F652" s="7" t="s">
        <v>846</v>
      </c>
      <c r="G652" s="7" t="s">
        <v>833</v>
      </c>
      <c r="H652" s="7">
        <v>4369</v>
      </c>
      <c r="I652" s="7" t="s">
        <v>853</v>
      </c>
      <c r="J652" s="8" t="str" cm="1">
        <f t="array" ref="J652">_xlfn.IFS(H652&gt;8000,"PLATINUM",H652&gt;6000,"GOLD",H652&gt;4000,"SILEVER",H652&gt;2000,"NORMAL",H652&gt;500,"BASIC")</f>
        <v>SILEVER</v>
      </c>
    </row>
    <row r="653" spans="1:10" ht="15.6" x14ac:dyDescent="0.3">
      <c r="A653" s="6">
        <v>44319</v>
      </c>
      <c r="B653" s="7" t="s">
        <v>381</v>
      </c>
      <c r="C653" s="7" t="s">
        <v>807</v>
      </c>
      <c r="D653" s="7" t="s">
        <v>816</v>
      </c>
      <c r="E653" s="7">
        <v>20</v>
      </c>
      <c r="F653" s="7" t="s">
        <v>845</v>
      </c>
      <c r="G653" s="7" t="s">
        <v>827</v>
      </c>
      <c r="H653" s="7">
        <v>5632</v>
      </c>
      <c r="I653" s="7" t="s">
        <v>853</v>
      </c>
      <c r="J653" s="8" t="str" cm="1">
        <f t="array" ref="J653">_xlfn.IFS(H653&gt;8000,"PLATINUM",H653&gt;6000,"GOLD",H653&gt;4000,"SILEVER",H653&gt;2000,"NORMAL",H653&gt;500,"BASIC")</f>
        <v>SILEVER</v>
      </c>
    </row>
    <row r="654" spans="1:10" ht="15.6" x14ac:dyDescent="0.3">
      <c r="A654" s="6">
        <v>45333</v>
      </c>
      <c r="B654" s="7" t="s">
        <v>382</v>
      </c>
      <c r="C654" s="7" t="s">
        <v>807</v>
      </c>
      <c r="D654" s="7" t="s">
        <v>816</v>
      </c>
      <c r="E654" s="7">
        <v>20</v>
      </c>
      <c r="F654" s="7" t="s">
        <v>842</v>
      </c>
      <c r="G654" s="7" t="s">
        <v>823</v>
      </c>
      <c r="H654" s="7">
        <v>5632</v>
      </c>
      <c r="I654" s="7" t="s">
        <v>853</v>
      </c>
      <c r="J654" s="8" t="str" cm="1">
        <f t="array" ref="J654">_xlfn.IFS(H654&gt;8000,"PLATINUM",H654&gt;6000,"GOLD",H654&gt;4000,"SILEVER",H654&gt;2000,"NORMAL",H654&gt;500,"BASIC")</f>
        <v>SILEVER</v>
      </c>
    </row>
    <row r="655" spans="1:10" ht="15.6" x14ac:dyDescent="0.3">
      <c r="A655" s="6">
        <v>45692</v>
      </c>
      <c r="B655" s="7" t="s">
        <v>383</v>
      </c>
      <c r="C655" s="7" t="s">
        <v>807</v>
      </c>
      <c r="D655" s="7" t="s">
        <v>816</v>
      </c>
      <c r="E655" s="7">
        <v>20</v>
      </c>
      <c r="F655" s="7" t="s">
        <v>847</v>
      </c>
      <c r="G655" s="7" t="s">
        <v>837</v>
      </c>
      <c r="H655" s="7">
        <v>5632</v>
      </c>
      <c r="I655" s="7" t="s">
        <v>853</v>
      </c>
      <c r="J655" s="8" t="str" cm="1">
        <f t="array" ref="J655">_xlfn.IFS(H655&gt;8000,"PLATINUM",H655&gt;6000,"GOLD",H655&gt;4000,"SILEVER",H655&gt;2000,"NORMAL",H655&gt;500,"BASIC")</f>
        <v>SILEVER</v>
      </c>
    </row>
    <row r="656" spans="1:10" ht="15.6" x14ac:dyDescent="0.3">
      <c r="A656" s="6">
        <v>44846</v>
      </c>
      <c r="B656" s="7" t="s">
        <v>384</v>
      </c>
      <c r="C656" s="7" t="s">
        <v>806</v>
      </c>
      <c r="D656" s="7" t="s">
        <v>817</v>
      </c>
      <c r="E656" s="7">
        <v>14</v>
      </c>
      <c r="F656" s="7" t="s">
        <v>845</v>
      </c>
      <c r="G656" s="7" t="s">
        <v>832</v>
      </c>
      <c r="H656" s="7">
        <v>7519</v>
      </c>
      <c r="I656" s="7" t="s">
        <v>850</v>
      </c>
      <c r="J656" s="8" t="str" cm="1">
        <f t="array" ref="J656">_xlfn.IFS(H656&gt;8000,"PLATINUM",H656&gt;6000,"GOLD",H656&gt;4000,"SILEVER",H656&gt;2000,"NORMAL",H656&gt;500,"BASIC")</f>
        <v>GOLD</v>
      </c>
    </row>
    <row r="657" spans="1:10" ht="15.6" x14ac:dyDescent="0.3">
      <c r="A657" s="6">
        <v>44846</v>
      </c>
      <c r="B657" s="7" t="s">
        <v>384</v>
      </c>
      <c r="C657" s="7" t="s">
        <v>805</v>
      </c>
      <c r="D657" s="7" t="s">
        <v>809</v>
      </c>
      <c r="E657" s="7">
        <v>13</v>
      </c>
      <c r="F657" s="7" t="s">
        <v>845</v>
      </c>
      <c r="G657" s="7" t="s">
        <v>832</v>
      </c>
      <c r="H657" s="7">
        <v>1564</v>
      </c>
      <c r="I657" s="7" t="s">
        <v>851</v>
      </c>
      <c r="J657" s="8" t="str" cm="1">
        <f t="array" ref="J657">_xlfn.IFS(H657&gt;8000,"PLATINUM",H657&gt;6000,"GOLD",H657&gt;4000,"SILEVER",H657&gt;2000,"NORMAL",H657&gt;500,"BASIC")</f>
        <v>BASIC</v>
      </c>
    </row>
    <row r="658" spans="1:10" ht="15.6" x14ac:dyDescent="0.3">
      <c r="A658" s="6">
        <v>44598</v>
      </c>
      <c r="B658" s="7" t="s">
        <v>385</v>
      </c>
      <c r="C658" s="7" t="s">
        <v>805</v>
      </c>
      <c r="D658" s="7" t="s">
        <v>809</v>
      </c>
      <c r="E658" s="7">
        <v>10</v>
      </c>
      <c r="F658" s="7" t="s">
        <v>846</v>
      </c>
      <c r="G658" s="7" t="s">
        <v>833</v>
      </c>
      <c r="H658" s="7">
        <v>2804</v>
      </c>
      <c r="I658" s="7" t="s">
        <v>853</v>
      </c>
      <c r="J658" s="8" t="str" cm="1">
        <f t="array" ref="J658">_xlfn.IFS(H658&gt;8000,"PLATINUM",H658&gt;6000,"GOLD",H658&gt;4000,"SILEVER",H658&gt;2000,"NORMAL",H658&gt;500,"BASIC")</f>
        <v>NORMAL</v>
      </c>
    </row>
    <row r="659" spans="1:10" ht="15.6" x14ac:dyDescent="0.3">
      <c r="A659" s="6">
        <v>44144</v>
      </c>
      <c r="B659" s="7" t="s">
        <v>386</v>
      </c>
      <c r="C659" s="7" t="s">
        <v>805</v>
      </c>
      <c r="D659" s="7" t="s">
        <v>809</v>
      </c>
      <c r="E659" s="7">
        <v>10</v>
      </c>
      <c r="F659" s="7" t="s">
        <v>842</v>
      </c>
      <c r="G659" s="7" t="s">
        <v>839</v>
      </c>
      <c r="H659" s="7">
        <v>2804</v>
      </c>
      <c r="I659" s="7" t="s">
        <v>853</v>
      </c>
      <c r="J659" s="8" t="str" cm="1">
        <f t="array" ref="J659">_xlfn.IFS(H659&gt;8000,"PLATINUM",H659&gt;6000,"GOLD",H659&gt;4000,"SILEVER",H659&gt;2000,"NORMAL",H659&gt;500,"BASIC")</f>
        <v>NORMAL</v>
      </c>
    </row>
    <row r="660" spans="1:10" ht="15.6" x14ac:dyDescent="0.3">
      <c r="A660" s="6">
        <v>45049</v>
      </c>
      <c r="B660" s="7" t="s">
        <v>387</v>
      </c>
      <c r="C660" s="7" t="s">
        <v>805</v>
      </c>
      <c r="D660" s="7" t="s">
        <v>809</v>
      </c>
      <c r="E660" s="7">
        <v>10</v>
      </c>
      <c r="F660" s="7" t="s">
        <v>842</v>
      </c>
      <c r="G660" s="7" t="s">
        <v>839</v>
      </c>
      <c r="H660" s="7">
        <v>2804</v>
      </c>
      <c r="I660" s="7" t="s">
        <v>853</v>
      </c>
      <c r="J660" s="8" t="str" cm="1">
        <f t="array" ref="J660">_xlfn.IFS(H660&gt;8000,"PLATINUM",H660&gt;6000,"GOLD",H660&gt;4000,"SILEVER",H660&gt;2000,"NORMAL",H660&gt;500,"BASIC")</f>
        <v>NORMAL</v>
      </c>
    </row>
    <row r="661" spans="1:10" ht="15.6" x14ac:dyDescent="0.3">
      <c r="A661" s="6">
        <v>44838</v>
      </c>
      <c r="B661" s="7" t="s">
        <v>388</v>
      </c>
      <c r="C661" s="7" t="s">
        <v>807</v>
      </c>
      <c r="D661" s="7" t="s">
        <v>814</v>
      </c>
      <c r="E661" s="7">
        <v>6</v>
      </c>
      <c r="F661" s="7" t="s">
        <v>843</v>
      </c>
      <c r="G661" s="7" t="s">
        <v>829</v>
      </c>
      <c r="H661" s="7">
        <v>2321</v>
      </c>
      <c r="I661" s="7" t="s">
        <v>852</v>
      </c>
      <c r="J661" s="8" t="str" cm="1">
        <f t="array" ref="J661">_xlfn.IFS(H661&gt;8000,"PLATINUM",H661&gt;6000,"GOLD",H661&gt;4000,"SILEVER",H661&gt;2000,"NORMAL",H661&gt;500,"BASIC")</f>
        <v>NORMAL</v>
      </c>
    </row>
    <row r="662" spans="1:10" ht="15.6" x14ac:dyDescent="0.3">
      <c r="A662" s="6">
        <v>45525</v>
      </c>
      <c r="B662" s="7" t="s">
        <v>389</v>
      </c>
      <c r="C662" s="7" t="s">
        <v>805</v>
      </c>
      <c r="D662" s="7" t="s">
        <v>812</v>
      </c>
      <c r="E662" s="7">
        <v>6</v>
      </c>
      <c r="F662" s="7" t="s">
        <v>842</v>
      </c>
      <c r="G662" s="7" t="s">
        <v>839</v>
      </c>
      <c r="H662" s="7">
        <v>5730</v>
      </c>
      <c r="I662" s="7" t="s">
        <v>854</v>
      </c>
      <c r="J662" s="8" t="str" cm="1">
        <f t="array" ref="J662">_xlfn.IFS(H662&gt;8000,"PLATINUM",H662&gt;6000,"GOLD",H662&gt;4000,"SILEVER",H662&gt;2000,"NORMAL",H662&gt;500,"BASIC")</f>
        <v>SILEVER</v>
      </c>
    </row>
    <row r="663" spans="1:10" ht="15.6" x14ac:dyDescent="0.3">
      <c r="A663" s="6">
        <v>44520</v>
      </c>
      <c r="B663" s="7" t="s">
        <v>390</v>
      </c>
      <c r="C663" s="7" t="s">
        <v>807</v>
      </c>
      <c r="D663" s="7" t="s">
        <v>816</v>
      </c>
      <c r="E663" s="7">
        <v>12</v>
      </c>
      <c r="F663" s="7" t="s">
        <v>843</v>
      </c>
      <c r="G663" s="7" t="s">
        <v>824</v>
      </c>
      <c r="H663" s="7">
        <v>7441</v>
      </c>
      <c r="I663" s="7" t="s">
        <v>854</v>
      </c>
      <c r="J663" s="8" t="str" cm="1">
        <f t="array" ref="J663">_xlfn.IFS(H663&gt;8000,"PLATINUM",H663&gt;6000,"GOLD",H663&gt;4000,"SILEVER",H663&gt;2000,"NORMAL",H663&gt;500,"BASIC")</f>
        <v>GOLD</v>
      </c>
    </row>
    <row r="664" spans="1:10" ht="15.6" x14ac:dyDescent="0.3">
      <c r="A664" s="6">
        <v>43964</v>
      </c>
      <c r="B664" s="7" t="s">
        <v>391</v>
      </c>
      <c r="C664" s="7" t="s">
        <v>807</v>
      </c>
      <c r="D664" s="7" t="s">
        <v>816</v>
      </c>
      <c r="E664" s="7">
        <v>12</v>
      </c>
      <c r="F664" s="7" t="s">
        <v>846</v>
      </c>
      <c r="G664" s="7" t="s">
        <v>833</v>
      </c>
      <c r="H664" s="7">
        <v>7441</v>
      </c>
      <c r="I664" s="7" t="s">
        <v>854</v>
      </c>
      <c r="J664" s="8" t="str" cm="1">
        <f t="array" ref="J664">_xlfn.IFS(H664&gt;8000,"PLATINUM",H664&gt;6000,"GOLD",H664&gt;4000,"SILEVER",H664&gt;2000,"NORMAL",H664&gt;500,"BASIC")</f>
        <v>GOLD</v>
      </c>
    </row>
    <row r="665" spans="1:10" ht="15.6" x14ac:dyDescent="0.3">
      <c r="A665" s="6">
        <v>44985</v>
      </c>
      <c r="B665" s="7" t="s">
        <v>392</v>
      </c>
      <c r="C665" s="7" t="s">
        <v>806</v>
      </c>
      <c r="D665" s="7" t="s">
        <v>818</v>
      </c>
      <c r="E665" s="7">
        <v>7</v>
      </c>
      <c r="F665" s="7" t="s">
        <v>844</v>
      </c>
      <c r="G665" s="7" t="s">
        <v>828</v>
      </c>
      <c r="H665" s="7">
        <v>1732</v>
      </c>
      <c r="I665" s="7" t="s">
        <v>850</v>
      </c>
      <c r="J665" s="8" t="str" cm="1">
        <f t="array" ref="J665">_xlfn.IFS(H665&gt;8000,"PLATINUM",H665&gt;6000,"GOLD",H665&gt;4000,"SILEVER",H665&gt;2000,"NORMAL",H665&gt;500,"BASIC")</f>
        <v>BASIC</v>
      </c>
    </row>
    <row r="666" spans="1:10" ht="15.6" x14ac:dyDescent="0.3">
      <c r="A666" s="6">
        <v>44985</v>
      </c>
      <c r="B666" s="7" t="s">
        <v>392</v>
      </c>
      <c r="C666" s="7" t="s">
        <v>806</v>
      </c>
      <c r="D666" s="7" t="s">
        <v>817</v>
      </c>
      <c r="E666" s="7">
        <v>19</v>
      </c>
      <c r="F666" s="7" t="s">
        <v>844</v>
      </c>
      <c r="G666" s="7" t="s">
        <v>828</v>
      </c>
      <c r="H666" s="7">
        <v>8788</v>
      </c>
      <c r="I666" s="7" t="s">
        <v>852</v>
      </c>
      <c r="J666" s="8" t="str" cm="1">
        <f t="array" ref="J666">_xlfn.IFS(H666&gt;8000,"PLATINUM",H666&gt;6000,"GOLD",H666&gt;4000,"SILEVER",H666&gt;2000,"NORMAL",H666&gt;500,"BASIC")</f>
        <v>PLATINUM</v>
      </c>
    </row>
    <row r="667" spans="1:10" ht="15.6" x14ac:dyDescent="0.3">
      <c r="A667" s="6">
        <v>44217</v>
      </c>
      <c r="B667" s="7" t="s">
        <v>393</v>
      </c>
      <c r="C667" s="7" t="s">
        <v>806</v>
      </c>
      <c r="D667" s="7" t="s">
        <v>815</v>
      </c>
      <c r="E667" s="7">
        <v>11</v>
      </c>
      <c r="F667" s="7" t="s">
        <v>847</v>
      </c>
      <c r="G667" s="7" t="s">
        <v>835</v>
      </c>
      <c r="H667" s="7">
        <v>838</v>
      </c>
      <c r="I667" s="7" t="s">
        <v>852</v>
      </c>
      <c r="J667" s="8" t="str" cm="1">
        <f t="array" ref="J667">_xlfn.IFS(H667&gt;8000,"PLATINUM",H667&gt;6000,"GOLD",H667&gt;4000,"SILEVER",H667&gt;2000,"NORMAL",H667&gt;500,"BASIC")</f>
        <v>BASIC</v>
      </c>
    </row>
    <row r="668" spans="1:10" ht="15.6" x14ac:dyDescent="0.3">
      <c r="A668" s="6">
        <v>44620</v>
      </c>
      <c r="B668" s="7" t="s">
        <v>394</v>
      </c>
      <c r="C668" s="7" t="s">
        <v>806</v>
      </c>
      <c r="D668" s="7" t="s">
        <v>815</v>
      </c>
      <c r="E668" s="7">
        <v>11</v>
      </c>
      <c r="F668" s="7" t="s">
        <v>843</v>
      </c>
      <c r="G668" s="7" t="s">
        <v>840</v>
      </c>
      <c r="H668" s="7">
        <v>838</v>
      </c>
      <c r="I668" s="7" t="s">
        <v>852</v>
      </c>
      <c r="J668" s="8" t="str" cm="1">
        <f t="array" ref="J668">_xlfn.IFS(H668&gt;8000,"PLATINUM",H668&gt;6000,"GOLD",H668&gt;4000,"SILEVER",H668&gt;2000,"NORMAL",H668&gt;500,"BASIC")</f>
        <v>BASIC</v>
      </c>
    </row>
    <row r="669" spans="1:10" ht="15.6" x14ac:dyDescent="0.3">
      <c r="A669" s="6">
        <v>44217</v>
      </c>
      <c r="B669" s="7" t="s">
        <v>393</v>
      </c>
      <c r="C669" s="7" t="s">
        <v>807</v>
      </c>
      <c r="D669" s="7" t="s">
        <v>813</v>
      </c>
      <c r="E669" s="7">
        <v>2</v>
      </c>
      <c r="F669" s="7" t="s">
        <v>847</v>
      </c>
      <c r="G669" s="7" t="s">
        <v>835</v>
      </c>
      <c r="H669" s="7">
        <v>3577</v>
      </c>
      <c r="I669" s="7" t="s">
        <v>850</v>
      </c>
      <c r="J669" s="8" t="str" cm="1">
        <f t="array" ref="J669">_xlfn.IFS(H669&gt;8000,"PLATINUM",H669&gt;6000,"GOLD",H669&gt;4000,"SILEVER",H669&gt;2000,"NORMAL",H669&gt;500,"BASIC")</f>
        <v>NORMAL</v>
      </c>
    </row>
    <row r="670" spans="1:10" ht="15.6" x14ac:dyDescent="0.3">
      <c r="A670" s="6">
        <v>44620</v>
      </c>
      <c r="B670" s="7" t="s">
        <v>394</v>
      </c>
      <c r="C670" s="7" t="s">
        <v>807</v>
      </c>
      <c r="D670" s="7" t="s">
        <v>813</v>
      </c>
      <c r="E670" s="7">
        <v>2</v>
      </c>
      <c r="F670" s="7" t="s">
        <v>843</v>
      </c>
      <c r="G670" s="7" t="s">
        <v>840</v>
      </c>
      <c r="H670" s="7">
        <v>3577</v>
      </c>
      <c r="I670" s="7" t="s">
        <v>850</v>
      </c>
      <c r="J670" s="8" t="str" cm="1">
        <f t="array" ref="J670">_xlfn.IFS(H670&gt;8000,"PLATINUM",H670&gt;6000,"GOLD",H670&gt;4000,"SILEVER",H670&gt;2000,"NORMAL",H670&gt;500,"BASIC")</f>
        <v>NORMAL</v>
      </c>
    </row>
    <row r="671" spans="1:10" ht="15.6" x14ac:dyDescent="0.3">
      <c r="A671" s="6">
        <v>45407</v>
      </c>
      <c r="B671" s="7" t="s">
        <v>395</v>
      </c>
      <c r="C671" s="7" t="s">
        <v>805</v>
      </c>
      <c r="D671" s="7" t="s">
        <v>819</v>
      </c>
      <c r="E671" s="7">
        <v>6</v>
      </c>
      <c r="F671" s="7" t="s">
        <v>846</v>
      </c>
      <c r="G671" s="7" t="s">
        <v>831</v>
      </c>
      <c r="H671" s="7">
        <v>7122</v>
      </c>
      <c r="I671" s="7" t="s">
        <v>851</v>
      </c>
      <c r="J671" s="8" t="str" cm="1">
        <f t="array" ref="J671">_xlfn.IFS(H671&gt;8000,"PLATINUM",H671&gt;6000,"GOLD",H671&gt;4000,"SILEVER",H671&gt;2000,"NORMAL",H671&gt;500,"BASIC")</f>
        <v>GOLD</v>
      </c>
    </row>
    <row r="672" spans="1:10" ht="15.6" x14ac:dyDescent="0.3">
      <c r="A672" s="6">
        <v>44995</v>
      </c>
      <c r="B672" s="7" t="s">
        <v>396</v>
      </c>
      <c r="C672" s="7" t="s">
        <v>805</v>
      </c>
      <c r="D672" s="7" t="s">
        <v>819</v>
      </c>
      <c r="E672" s="7">
        <v>6</v>
      </c>
      <c r="F672" s="7" t="s">
        <v>846</v>
      </c>
      <c r="G672" s="7" t="s">
        <v>838</v>
      </c>
      <c r="H672" s="7">
        <v>7122</v>
      </c>
      <c r="I672" s="7" t="s">
        <v>851</v>
      </c>
      <c r="J672" s="8" t="str" cm="1">
        <f t="array" ref="J672">_xlfn.IFS(H672&gt;8000,"PLATINUM",H672&gt;6000,"GOLD",H672&gt;4000,"SILEVER",H672&gt;2000,"NORMAL",H672&gt;500,"BASIC")</f>
        <v>GOLD</v>
      </c>
    </row>
    <row r="673" spans="1:10" ht="15.6" x14ac:dyDescent="0.3">
      <c r="A673" s="6">
        <v>45117</v>
      </c>
      <c r="B673" s="7" t="s">
        <v>397</v>
      </c>
      <c r="C673" s="7" t="s">
        <v>805</v>
      </c>
      <c r="D673" s="7" t="s">
        <v>819</v>
      </c>
      <c r="E673" s="7">
        <v>6</v>
      </c>
      <c r="F673" s="7" t="s">
        <v>844</v>
      </c>
      <c r="G673" s="7" t="s">
        <v>828</v>
      </c>
      <c r="H673" s="7">
        <v>7122</v>
      </c>
      <c r="I673" s="7" t="s">
        <v>851</v>
      </c>
      <c r="J673" s="8" t="str" cm="1">
        <f t="array" ref="J673">_xlfn.IFS(H673&gt;8000,"PLATINUM",H673&gt;6000,"GOLD",H673&gt;4000,"SILEVER",H673&gt;2000,"NORMAL",H673&gt;500,"BASIC")</f>
        <v>GOLD</v>
      </c>
    </row>
    <row r="674" spans="1:10" ht="15.6" x14ac:dyDescent="0.3">
      <c r="A674" s="6">
        <v>45407</v>
      </c>
      <c r="B674" s="7" t="s">
        <v>395</v>
      </c>
      <c r="C674" s="7" t="s">
        <v>806</v>
      </c>
      <c r="D674" s="7" t="s">
        <v>815</v>
      </c>
      <c r="E674" s="7">
        <v>15</v>
      </c>
      <c r="F674" s="7" t="s">
        <v>846</v>
      </c>
      <c r="G674" s="7" t="s">
        <v>831</v>
      </c>
      <c r="H674" s="7">
        <v>7327</v>
      </c>
      <c r="I674" s="7" t="s">
        <v>853</v>
      </c>
      <c r="J674" s="8" t="str" cm="1">
        <f t="array" ref="J674">_xlfn.IFS(H674&gt;8000,"PLATINUM",H674&gt;6000,"GOLD",H674&gt;4000,"SILEVER",H674&gt;2000,"NORMAL",H674&gt;500,"BASIC")</f>
        <v>GOLD</v>
      </c>
    </row>
    <row r="675" spans="1:10" ht="15.6" x14ac:dyDescent="0.3">
      <c r="A675" s="6">
        <v>44995</v>
      </c>
      <c r="B675" s="7" t="s">
        <v>396</v>
      </c>
      <c r="C675" s="7" t="s">
        <v>806</v>
      </c>
      <c r="D675" s="7" t="s">
        <v>815</v>
      </c>
      <c r="E675" s="7">
        <v>15</v>
      </c>
      <c r="F675" s="7" t="s">
        <v>846</v>
      </c>
      <c r="G675" s="7" t="s">
        <v>838</v>
      </c>
      <c r="H675" s="7">
        <v>7327</v>
      </c>
      <c r="I675" s="7" t="s">
        <v>853</v>
      </c>
      <c r="J675" s="8" t="str" cm="1">
        <f t="array" ref="J675">_xlfn.IFS(H675&gt;8000,"PLATINUM",H675&gt;6000,"GOLD",H675&gt;4000,"SILEVER",H675&gt;2000,"NORMAL",H675&gt;500,"BASIC")</f>
        <v>GOLD</v>
      </c>
    </row>
    <row r="676" spans="1:10" ht="15.6" x14ac:dyDescent="0.3">
      <c r="A676" s="6">
        <v>45117</v>
      </c>
      <c r="B676" s="7" t="s">
        <v>397</v>
      </c>
      <c r="C676" s="7" t="s">
        <v>806</v>
      </c>
      <c r="D676" s="7" t="s">
        <v>815</v>
      </c>
      <c r="E676" s="7">
        <v>15</v>
      </c>
      <c r="F676" s="7" t="s">
        <v>844</v>
      </c>
      <c r="G676" s="7" t="s">
        <v>828</v>
      </c>
      <c r="H676" s="7">
        <v>7327</v>
      </c>
      <c r="I676" s="7" t="s">
        <v>853</v>
      </c>
      <c r="J676" s="8" t="str" cm="1">
        <f t="array" ref="J676">_xlfn.IFS(H676&gt;8000,"PLATINUM",H676&gt;6000,"GOLD",H676&gt;4000,"SILEVER",H676&gt;2000,"NORMAL",H676&gt;500,"BASIC")</f>
        <v>GOLD</v>
      </c>
    </row>
    <row r="677" spans="1:10" ht="15.6" x14ac:dyDescent="0.3">
      <c r="A677" s="6">
        <v>45501</v>
      </c>
      <c r="B677" s="7" t="s">
        <v>398</v>
      </c>
      <c r="C677" s="7" t="s">
        <v>805</v>
      </c>
      <c r="D677" s="7" t="s">
        <v>810</v>
      </c>
      <c r="E677" s="7">
        <v>18</v>
      </c>
      <c r="F677" s="7" t="s">
        <v>842</v>
      </c>
      <c r="G677" s="7" t="s">
        <v>839</v>
      </c>
      <c r="H677" s="7">
        <v>2239</v>
      </c>
      <c r="I677" s="7" t="s">
        <v>854</v>
      </c>
      <c r="J677" s="8" t="str" cm="1">
        <f t="array" ref="J677">_xlfn.IFS(H677&gt;8000,"PLATINUM",H677&gt;6000,"GOLD",H677&gt;4000,"SILEVER",H677&gt;2000,"NORMAL",H677&gt;500,"BASIC")</f>
        <v>NORMAL</v>
      </c>
    </row>
    <row r="678" spans="1:10" ht="15.6" x14ac:dyDescent="0.3">
      <c r="A678" s="6">
        <v>45501</v>
      </c>
      <c r="B678" s="7" t="s">
        <v>398</v>
      </c>
      <c r="C678" s="7" t="s">
        <v>806</v>
      </c>
      <c r="D678" s="7" t="s">
        <v>815</v>
      </c>
      <c r="E678" s="7">
        <v>1</v>
      </c>
      <c r="F678" s="7" t="s">
        <v>842</v>
      </c>
      <c r="G678" s="7" t="s">
        <v>839</v>
      </c>
      <c r="H678" s="7">
        <v>4932</v>
      </c>
      <c r="I678" s="7" t="s">
        <v>854</v>
      </c>
      <c r="J678" s="8" t="str" cm="1">
        <f t="array" ref="J678">_xlfn.IFS(H678&gt;8000,"PLATINUM",H678&gt;6000,"GOLD",H678&gt;4000,"SILEVER",H678&gt;2000,"NORMAL",H678&gt;500,"BASIC")</f>
        <v>SILEVER</v>
      </c>
    </row>
    <row r="679" spans="1:10" ht="15.6" x14ac:dyDescent="0.3">
      <c r="A679" s="6">
        <v>45137</v>
      </c>
      <c r="B679" s="7" t="s">
        <v>399</v>
      </c>
      <c r="C679" s="7" t="s">
        <v>805</v>
      </c>
      <c r="D679" s="7" t="s">
        <v>810</v>
      </c>
      <c r="E679" s="7">
        <v>8</v>
      </c>
      <c r="F679" s="7" t="s">
        <v>842</v>
      </c>
      <c r="G679" s="7" t="s">
        <v>826</v>
      </c>
      <c r="H679" s="7">
        <v>4609</v>
      </c>
      <c r="I679" s="7" t="s">
        <v>850</v>
      </c>
      <c r="J679" s="8" t="str" cm="1">
        <f t="array" ref="J679">_xlfn.IFS(H679&gt;8000,"PLATINUM",H679&gt;6000,"GOLD",H679&gt;4000,"SILEVER",H679&gt;2000,"NORMAL",H679&gt;500,"BASIC")</f>
        <v>SILEVER</v>
      </c>
    </row>
    <row r="680" spans="1:10" ht="15.6" x14ac:dyDescent="0.3">
      <c r="A680" s="6">
        <v>45137</v>
      </c>
      <c r="B680" s="7" t="s">
        <v>399</v>
      </c>
      <c r="C680" s="7" t="s">
        <v>806</v>
      </c>
      <c r="D680" s="7" t="s">
        <v>817</v>
      </c>
      <c r="E680" s="7">
        <v>4</v>
      </c>
      <c r="F680" s="7" t="s">
        <v>842</v>
      </c>
      <c r="G680" s="7" t="s">
        <v>826</v>
      </c>
      <c r="H680" s="7">
        <v>2328</v>
      </c>
      <c r="I680" s="7" t="s">
        <v>850</v>
      </c>
      <c r="J680" s="8" t="str" cm="1">
        <f t="array" ref="J680">_xlfn.IFS(H680&gt;8000,"PLATINUM",H680&gt;6000,"GOLD",H680&gt;4000,"SILEVER",H680&gt;2000,"NORMAL",H680&gt;500,"BASIC")</f>
        <v>NORMAL</v>
      </c>
    </row>
    <row r="681" spans="1:10" ht="15.6" x14ac:dyDescent="0.3">
      <c r="A681" s="6">
        <v>45137</v>
      </c>
      <c r="B681" s="7" t="s">
        <v>399</v>
      </c>
      <c r="C681" s="7" t="s">
        <v>805</v>
      </c>
      <c r="D681" s="7" t="s">
        <v>810</v>
      </c>
      <c r="E681" s="7">
        <v>7</v>
      </c>
      <c r="F681" s="7" t="s">
        <v>842</v>
      </c>
      <c r="G681" s="7" t="s">
        <v>826</v>
      </c>
      <c r="H681" s="7">
        <v>4734</v>
      </c>
      <c r="I681" s="7" t="s">
        <v>851</v>
      </c>
      <c r="J681" s="8" t="str" cm="1">
        <f t="array" ref="J681">_xlfn.IFS(H681&gt;8000,"PLATINUM",H681&gt;6000,"GOLD",H681&gt;4000,"SILEVER",H681&gt;2000,"NORMAL",H681&gt;500,"BASIC")</f>
        <v>SILEVER</v>
      </c>
    </row>
    <row r="682" spans="1:10" ht="15.6" x14ac:dyDescent="0.3">
      <c r="A682" s="6">
        <v>45570</v>
      </c>
      <c r="B682" s="7" t="s">
        <v>400</v>
      </c>
      <c r="C682" s="7" t="s">
        <v>807</v>
      </c>
      <c r="D682" s="7" t="s">
        <v>816</v>
      </c>
      <c r="E682" s="7">
        <v>5</v>
      </c>
      <c r="F682" s="7" t="s">
        <v>844</v>
      </c>
      <c r="G682" s="7" t="s">
        <v>828</v>
      </c>
      <c r="H682" s="7">
        <v>1388</v>
      </c>
      <c r="I682" s="7" t="s">
        <v>850</v>
      </c>
      <c r="J682" s="8" t="str" cm="1">
        <f t="array" ref="J682">_xlfn.IFS(H682&gt;8000,"PLATINUM",H682&gt;6000,"GOLD",H682&gt;4000,"SILEVER",H682&gt;2000,"NORMAL",H682&gt;500,"BASIC")</f>
        <v>BASIC</v>
      </c>
    </row>
    <row r="683" spans="1:10" ht="15.6" x14ac:dyDescent="0.3">
      <c r="A683" s="6">
        <v>45570</v>
      </c>
      <c r="B683" s="7" t="s">
        <v>400</v>
      </c>
      <c r="C683" s="7" t="s">
        <v>805</v>
      </c>
      <c r="D683" s="7" t="s">
        <v>812</v>
      </c>
      <c r="E683" s="7">
        <v>8</v>
      </c>
      <c r="F683" s="7" t="s">
        <v>844</v>
      </c>
      <c r="G683" s="7" t="s">
        <v>828</v>
      </c>
      <c r="H683" s="7">
        <v>8555</v>
      </c>
      <c r="I683" s="7" t="s">
        <v>853</v>
      </c>
      <c r="J683" s="8" t="str" cm="1">
        <f t="array" ref="J683">_xlfn.IFS(H683&gt;8000,"PLATINUM",H683&gt;6000,"GOLD",H683&gt;4000,"SILEVER",H683&gt;2000,"NORMAL",H683&gt;500,"BASIC")</f>
        <v>PLATINUM</v>
      </c>
    </row>
    <row r="684" spans="1:10" ht="15.6" x14ac:dyDescent="0.3">
      <c r="A684" s="6">
        <v>45342</v>
      </c>
      <c r="B684" s="7" t="s">
        <v>401</v>
      </c>
      <c r="C684" s="7" t="s">
        <v>807</v>
      </c>
      <c r="D684" s="7" t="s">
        <v>813</v>
      </c>
      <c r="E684" s="7">
        <v>4</v>
      </c>
      <c r="F684" s="7" t="s">
        <v>846</v>
      </c>
      <c r="G684" s="7" t="s">
        <v>831</v>
      </c>
      <c r="H684" s="7">
        <v>9024</v>
      </c>
      <c r="I684" s="7" t="s">
        <v>853</v>
      </c>
      <c r="J684" s="8" t="str" cm="1">
        <f t="array" ref="J684">_xlfn.IFS(H684&gt;8000,"PLATINUM",H684&gt;6000,"GOLD",H684&gt;4000,"SILEVER",H684&gt;2000,"NORMAL",H684&gt;500,"BASIC")</f>
        <v>PLATINUM</v>
      </c>
    </row>
    <row r="685" spans="1:10" ht="15.6" x14ac:dyDescent="0.3">
      <c r="A685" s="6">
        <v>45342</v>
      </c>
      <c r="B685" s="7" t="s">
        <v>401</v>
      </c>
      <c r="C685" s="7" t="s">
        <v>805</v>
      </c>
      <c r="D685" s="7" t="s">
        <v>812</v>
      </c>
      <c r="E685" s="7">
        <v>4</v>
      </c>
      <c r="F685" s="7" t="s">
        <v>846</v>
      </c>
      <c r="G685" s="7" t="s">
        <v>831</v>
      </c>
      <c r="H685" s="7">
        <v>2468</v>
      </c>
      <c r="I685" s="7" t="s">
        <v>853</v>
      </c>
      <c r="J685" s="8" t="str" cm="1">
        <f t="array" ref="J685">_xlfn.IFS(H685&gt;8000,"PLATINUM",H685&gt;6000,"GOLD",H685&gt;4000,"SILEVER",H685&gt;2000,"NORMAL",H685&gt;500,"BASIC")</f>
        <v>NORMAL</v>
      </c>
    </row>
    <row r="686" spans="1:10" ht="15.6" x14ac:dyDescent="0.3">
      <c r="A686" s="6">
        <v>45035</v>
      </c>
      <c r="B686" s="7" t="s">
        <v>402</v>
      </c>
      <c r="C686" s="7" t="s">
        <v>805</v>
      </c>
      <c r="D686" s="7" t="s">
        <v>809</v>
      </c>
      <c r="E686" s="7">
        <v>4</v>
      </c>
      <c r="F686" s="7" t="s">
        <v>842</v>
      </c>
      <c r="G686" s="7" t="s">
        <v>826</v>
      </c>
      <c r="H686" s="7">
        <v>9438</v>
      </c>
      <c r="I686" s="7" t="s">
        <v>854</v>
      </c>
      <c r="J686" s="8" t="str" cm="1">
        <f t="array" ref="J686">_xlfn.IFS(H686&gt;8000,"PLATINUM",H686&gt;6000,"GOLD",H686&gt;4000,"SILEVER",H686&gt;2000,"NORMAL",H686&gt;500,"BASIC")</f>
        <v>PLATINUM</v>
      </c>
    </row>
    <row r="687" spans="1:10" ht="15.6" x14ac:dyDescent="0.3">
      <c r="A687" s="6">
        <v>45228</v>
      </c>
      <c r="B687" s="7" t="s">
        <v>403</v>
      </c>
      <c r="C687" s="7" t="s">
        <v>805</v>
      </c>
      <c r="D687" s="7" t="s">
        <v>809</v>
      </c>
      <c r="E687" s="7">
        <v>4</v>
      </c>
      <c r="F687" s="7" t="s">
        <v>846</v>
      </c>
      <c r="G687" s="7" t="s">
        <v>833</v>
      </c>
      <c r="H687" s="7">
        <v>9438</v>
      </c>
      <c r="I687" s="7" t="s">
        <v>854</v>
      </c>
      <c r="J687" s="8" t="str" cm="1">
        <f t="array" ref="J687">_xlfn.IFS(H687&gt;8000,"PLATINUM",H687&gt;6000,"GOLD",H687&gt;4000,"SILEVER",H687&gt;2000,"NORMAL",H687&gt;500,"BASIC")</f>
        <v>PLATINUM</v>
      </c>
    </row>
    <row r="688" spans="1:10" ht="15.6" x14ac:dyDescent="0.3">
      <c r="A688" s="6">
        <v>44628</v>
      </c>
      <c r="B688" s="7" t="s">
        <v>404</v>
      </c>
      <c r="C688" s="7" t="s">
        <v>805</v>
      </c>
      <c r="D688" s="7" t="s">
        <v>819</v>
      </c>
      <c r="E688" s="7">
        <v>18</v>
      </c>
      <c r="F688" s="7" t="s">
        <v>847</v>
      </c>
      <c r="G688" s="7" t="s">
        <v>837</v>
      </c>
      <c r="H688" s="7">
        <v>2685</v>
      </c>
      <c r="I688" s="7" t="s">
        <v>850</v>
      </c>
      <c r="J688" s="8" t="str" cm="1">
        <f t="array" ref="J688">_xlfn.IFS(H688&gt;8000,"PLATINUM",H688&gt;6000,"GOLD",H688&gt;4000,"SILEVER",H688&gt;2000,"NORMAL",H688&gt;500,"BASIC")</f>
        <v>NORMAL</v>
      </c>
    </row>
    <row r="689" spans="1:10" ht="15.6" x14ac:dyDescent="0.3">
      <c r="A689" s="6">
        <v>44903</v>
      </c>
      <c r="B689" s="7" t="s">
        <v>405</v>
      </c>
      <c r="C689" s="7" t="s">
        <v>805</v>
      </c>
      <c r="D689" s="7" t="s">
        <v>819</v>
      </c>
      <c r="E689" s="7">
        <v>18</v>
      </c>
      <c r="F689" s="7" t="s">
        <v>842</v>
      </c>
      <c r="G689" s="7" t="s">
        <v>839</v>
      </c>
      <c r="H689" s="7">
        <v>2685</v>
      </c>
      <c r="I689" s="7" t="s">
        <v>850</v>
      </c>
      <c r="J689" s="8" t="str" cm="1">
        <f t="array" ref="J689">_xlfn.IFS(H689&gt;8000,"PLATINUM",H689&gt;6000,"GOLD",H689&gt;4000,"SILEVER",H689&gt;2000,"NORMAL",H689&gt;500,"BASIC")</f>
        <v>NORMAL</v>
      </c>
    </row>
    <row r="690" spans="1:10" ht="15.6" x14ac:dyDescent="0.3">
      <c r="A690" s="6">
        <v>44628</v>
      </c>
      <c r="B690" s="7" t="s">
        <v>404</v>
      </c>
      <c r="C690" s="7" t="s">
        <v>807</v>
      </c>
      <c r="D690" s="7" t="s">
        <v>814</v>
      </c>
      <c r="E690" s="7">
        <v>14</v>
      </c>
      <c r="F690" s="7" t="s">
        <v>847</v>
      </c>
      <c r="G690" s="7" t="s">
        <v>837</v>
      </c>
      <c r="H690" s="7">
        <v>9916</v>
      </c>
      <c r="I690" s="7" t="s">
        <v>850</v>
      </c>
      <c r="J690" s="8" t="str" cm="1">
        <f t="array" ref="J690">_xlfn.IFS(H690&gt;8000,"PLATINUM",H690&gt;6000,"GOLD",H690&gt;4000,"SILEVER",H690&gt;2000,"NORMAL",H690&gt;500,"BASIC")</f>
        <v>PLATINUM</v>
      </c>
    </row>
    <row r="691" spans="1:10" ht="15.6" x14ac:dyDescent="0.3">
      <c r="A691" s="6">
        <v>44903</v>
      </c>
      <c r="B691" s="7" t="s">
        <v>405</v>
      </c>
      <c r="C691" s="7" t="s">
        <v>807</v>
      </c>
      <c r="D691" s="7" t="s">
        <v>814</v>
      </c>
      <c r="E691" s="7">
        <v>14</v>
      </c>
      <c r="F691" s="7" t="s">
        <v>842</v>
      </c>
      <c r="G691" s="7" t="s">
        <v>839</v>
      </c>
      <c r="H691" s="7">
        <v>9916</v>
      </c>
      <c r="I691" s="7" t="s">
        <v>850</v>
      </c>
      <c r="J691" s="8" t="str" cm="1">
        <f t="array" ref="J691">_xlfn.IFS(H691&gt;8000,"PLATINUM",H691&gt;6000,"GOLD",H691&gt;4000,"SILEVER",H691&gt;2000,"NORMAL",H691&gt;500,"BASIC")</f>
        <v>PLATINUM</v>
      </c>
    </row>
    <row r="692" spans="1:10" ht="15.6" x14ac:dyDescent="0.3">
      <c r="A692" s="6">
        <v>44628</v>
      </c>
      <c r="B692" s="7" t="s">
        <v>404</v>
      </c>
      <c r="C692" s="7" t="s">
        <v>805</v>
      </c>
      <c r="D692" s="7" t="s">
        <v>809</v>
      </c>
      <c r="E692" s="7">
        <v>14</v>
      </c>
      <c r="F692" s="7" t="s">
        <v>847</v>
      </c>
      <c r="G692" s="7" t="s">
        <v>837</v>
      </c>
      <c r="H692" s="7">
        <v>6184</v>
      </c>
      <c r="I692" s="7" t="s">
        <v>853</v>
      </c>
      <c r="J692" s="8" t="str" cm="1">
        <f t="array" ref="J692">_xlfn.IFS(H692&gt;8000,"PLATINUM",H692&gt;6000,"GOLD",H692&gt;4000,"SILEVER",H692&gt;2000,"NORMAL",H692&gt;500,"BASIC")</f>
        <v>GOLD</v>
      </c>
    </row>
    <row r="693" spans="1:10" ht="15.6" x14ac:dyDescent="0.3">
      <c r="A693" s="6">
        <v>44903</v>
      </c>
      <c r="B693" s="7" t="s">
        <v>405</v>
      </c>
      <c r="C693" s="7" t="s">
        <v>805</v>
      </c>
      <c r="D693" s="7" t="s">
        <v>809</v>
      </c>
      <c r="E693" s="7">
        <v>14</v>
      </c>
      <c r="F693" s="7" t="s">
        <v>842</v>
      </c>
      <c r="G693" s="7" t="s">
        <v>839</v>
      </c>
      <c r="H693" s="7">
        <v>6184</v>
      </c>
      <c r="I693" s="7" t="s">
        <v>853</v>
      </c>
      <c r="J693" s="8" t="str" cm="1">
        <f t="array" ref="J693">_xlfn.IFS(H693&gt;8000,"PLATINUM",H693&gt;6000,"GOLD",H693&gt;4000,"SILEVER",H693&gt;2000,"NORMAL",H693&gt;500,"BASIC")</f>
        <v>GOLD</v>
      </c>
    </row>
    <row r="694" spans="1:10" ht="15.6" x14ac:dyDescent="0.3">
      <c r="A694" s="6">
        <v>44628</v>
      </c>
      <c r="B694" s="7" t="s">
        <v>404</v>
      </c>
      <c r="C694" s="7" t="s">
        <v>806</v>
      </c>
      <c r="D694" s="7" t="s">
        <v>815</v>
      </c>
      <c r="E694" s="7">
        <v>8</v>
      </c>
      <c r="F694" s="7" t="s">
        <v>847</v>
      </c>
      <c r="G694" s="7" t="s">
        <v>837</v>
      </c>
      <c r="H694" s="7">
        <v>4548</v>
      </c>
      <c r="I694" s="7" t="s">
        <v>851</v>
      </c>
      <c r="J694" s="8" t="str" cm="1">
        <f t="array" ref="J694">_xlfn.IFS(H694&gt;8000,"PLATINUM",H694&gt;6000,"GOLD",H694&gt;4000,"SILEVER",H694&gt;2000,"NORMAL",H694&gt;500,"BASIC")</f>
        <v>SILEVER</v>
      </c>
    </row>
    <row r="695" spans="1:10" ht="15.6" x14ac:dyDescent="0.3">
      <c r="A695" s="6">
        <v>44903</v>
      </c>
      <c r="B695" s="7" t="s">
        <v>405</v>
      </c>
      <c r="C695" s="7" t="s">
        <v>806</v>
      </c>
      <c r="D695" s="7" t="s">
        <v>815</v>
      </c>
      <c r="E695" s="7">
        <v>8</v>
      </c>
      <c r="F695" s="7" t="s">
        <v>842</v>
      </c>
      <c r="G695" s="7" t="s">
        <v>839</v>
      </c>
      <c r="H695" s="7">
        <v>4548</v>
      </c>
      <c r="I695" s="7" t="s">
        <v>851</v>
      </c>
      <c r="J695" s="8" t="str" cm="1">
        <f t="array" ref="J695">_xlfn.IFS(H695&gt;8000,"PLATINUM",H695&gt;6000,"GOLD",H695&gt;4000,"SILEVER",H695&gt;2000,"NORMAL",H695&gt;500,"BASIC")</f>
        <v>SILEVER</v>
      </c>
    </row>
    <row r="696" spans="1:10" ht="15.6" x14ac:dyDescent="0.3">
      <c r="A696" s="6">
        <v>45500</v>
      </c>
      <c r="B696" s="7" t="s">
        <v>406</v>
      </c>
      <c r="C696" s="7" t="s">
        <v>806</v>
      </c>
      <c r="D696" s="7" t="s">
        <v>815</v>
      </c>
      <c r="E696" s="7">
        <v>7</v>
      </c>
      <c r="F696" s="7" t="s">
        <v>844</v>
      </c>
      <c r="G696" s="7" t="s">
        <v>830</v>
      </c>
      <c r="H696" s="7">
        <v>7195</v>
      </c>
      <c r="I696" s="7" t="s">
        <v>854</v>
      </c>
      <c r="J696" s="8" t="str" cm="1">
        <f t="array" ref="J696">_xlfn.IFS(H696&gt;8000,"PLATINUM",H696&gt;6000,"GOLD",H696&gt;4000,"SILEVER",H696&gt;2000,"NORMAL",H696&gt;500,"BASIC")</f>
        <v>GOLD</v>
      </c>
    </row>
    <row r="697" spans="1:10" ht="15.6" x14ac:dyDescent="0.3">
      <c r="A697" s="6">
        <v>44747</v>
      </c>
      <c r="B697" s="7" t="s">
        <v>407</v>
      </c>
      <c r="C697" s="7" t="s">
        <v>806</v>
      </c>
      <c r="D697" s="7" t="s">
        <v>815</v>
      </c>
      <c r="E697" s="7">
        <v>7</v>
      </c>
      <c r="F697" s="7" t="s">
        <v>844</v>
      </c>
      <c r="G697" s="7" t="s">
        <v>825</v>
      </c>
      <c r="H697" s="7">
        <v>7195</v>
      </c>
      <c r="I697" s="7" t="s">
        <v>854</v>
      </c>
      <c r="J697" s="8" t="str" cm="1">
        <f t="array" ref="J697">_xlfn.IFS(H697&gt;8000,"PLATINUM",H697&gt;6000,"GOLD",H697&gt;4000,"SILEVER",H697&gt;2000,"NORMAL",H697&gt;500,"BASIC")</f>
        <v>GOLD</v>
      </c>
    </row>
    <row r="698" spans="1:10" ht="15.6" x14ac:dyDescent="0.3">
      <c r="A698" s="6">
        <v>45477</v>
      </c>
      <c r="B698" s="7" t="s">
        <v>408</v>
      </c>
      <c r="C698" s="7" t="s">
        <v>807</v>
      </c>
      <c r="D698" s="7" t="s">
        <v>820</v>
      </c>
      <c r="E698" s="7">
        <v>18</v>
      </c>
      <c r="F698" s="7" t="s">
        <v>846</v>
      </c>
      <c r="G698" s="7" t="s">
        <v>833</v>
      </c>
      <c r="H698" s="7">
        <v>3098</v>
      </c>
      <c r="I698" s="7" t="s">
        <v>854</v>
      </c>
      <c r="J698" s="8" t="str" cm="1">
        <f t="array" ref="J698">_xlfn.IFS(H698&gt;8000,"PLATINUM",H698&gt;6000,"GOLD",H698&gt;4000,"SILEVER",H698&gt;2000,"NORMAL",H698&gt;500,"BASIC")</f>
        <v>NORMAL</v>
      </c>
    </row>
    <row r="699" spans="1:10" ht="15.6" x14ac:dyDescent="0.3">
      <c r="A699" s="6">
        <v>45350</v>
      </c>
      <c r="B699" s="7" t="s">
        <v>409</v>
      </c>
      <c r="C699" s="7" t="s">
        <v>807</v>
      </c>
      <c r="D699" s="7" t="s">
        <v>813</v>
      </c>
      <c r="E699" s="7">
        <v>18</v>
      </c>
      <c r="F699" s="7" t="s">
        <v>845</v>
      </c>
      <c r="G699" s="7" t="s">
        <v>832</v>
      </c>
      <c r="H699" s="7">
        <v>5412</v>
      </c>
      <c r="I699" s="7" t="s">
        <v>853</v>
      </c>
      <c r="J699" s="8" t="str" cm="1">
        <f t="array" ref="J699">_xlfn.IFS(H699&gt;8000,"PLATINUM",H699&gt;6000,"GOLD",H699&gt;4000,"SILEVER",H699&gt;2000,"NORMAL",H699&gt;500,"BASIC")</f>
        <v>SILEVER</v>
      </c>
    </row>
    <row r="700" spans="1:10" ht="15.6" x14ac:dyDescent="0.3">
      <c r="A700" s="6">
        <v>45660</v>
      </c>
      <c r="B700" s="7" t="s">
        <v>410</v>
      </c>
      <c r="C700" s="7" t="s">
        <v>807</v>
      </c>
      <c r="D700" s="7" t="s">
        <v>813</v>
      </c>
      <c r="E700" s="7">
        <v>18</v>
      </c>
      <c r="F700" s="7" t="s">
        <v>845</v>
      </c>
      <c r="G700" s="7" t="s">
        <v>827</v>
      </c>
      <c r="H700" s="7">
        <v>5412</v>
      </c>
      <c r="I700" s="7" t="s">
        <v>853</v>
      </c>
      <c r="J700" s="8" t="str" cm="1">
        <f t="array" ref="J700">_xlfn.IFS(H700&gt;8000,"PLATINUM",H700&gt;6000,"GOLD",H700&gt;4000,"SILEVER",H700&gt;2000,"NORMAL",H700&gt;500,"BASIC")</f>
        <v>SILEVER</v>
      </c>
    </row>
    <row r="701" spans="1:10" ht="15.6" x14ac:dyDescent="0.3">
      <c r="A701" s="6">
        <v>44537</v>
      </c>
      <c r="B701" s="7" t="s">
        <v>411</v>
      </c>
      <c r="C701" s="7" t="s">
        <v>807</v>
      </c>
      <c r="D701" s="7" t="s">
        <v>814</v>
      </c>
      <c r="E701" s="7">
        <v>11</v>
      </c>
      <c r="F701" s="7" t="s">
        <v>844</v>
      </c>
      <c r="G701" s="7" t="s">
        <v>828</v>
      </c>
      <c r="H701" s="7">
        <v>1397</v>
      </c>
      <c r="I701" s="7" t="s">
        <v>853</v>
      </c>
      <c r="J701" s="8" t="str" cm="1">
        <f t="array" ref="J701">_xlfn.IFS(H701&gt;8000,"PLATINUM",H701&gt;6000,"GOLD",H701&gt;4000,"SILEVER",H701&gt;2000,"NORMAL",H701&gt;500,"BASIC")</f>
        <v>BASIC</v>
      </c>
    </row>
    <row r="702" spans="1:10" ht="15.6" x14ac:dyDescent="0.3">
      <c r="A702" s="6">
        <v>44544</v>
      </c>
      <c r="B702" s="7" t="s">
        <v>412</v>
      </c>
      <c r="C702" s="7" t="s">
        <v>807</v>
      </c>
      <c r="D702" s="7" t="s">
        <v>814</v>
      </c>
      <c r="E702" s="7">
        <v>14</v>
      </c>
      <c r="F702" s="7" t="s">
        <v>844</v>
      </c>
      <c r="G702" s="7" t="s">
        <v>825</v>
      </c>
      <c r="H702" s="7">
        <v>9279</v>
      </c>
      <c r="I702" s="7" t="s">
        <v>852</v>
      </c>
      <c r="J702" s="8" t="str" cm="1">
        <f t="array" ref="J702">_xlfn.IFS(H702&gt;8000,"PLATINUM",H702&gt;6000,"GOLD",H702&gt;4000,"SILEVER",H702&gt;2000,"NORMAL",H702&gt;500,"BASIC")</f>
        <v>PLATINUM</v>
      </c>
    </row>
    <row r="703" spans="1:10" ht="15.6" x14ac:dyDescent="0.3">
      <c r="A703" s="6">
        <v>44165</v>
      </c>
      <c r="B703" s="7" t="s">
        <v>413</v>
      </c>
      <c r="C703" s="7" t="s">
        <v>807</v>
      </c>
      <c r="D703" s="7" t="s">
        <v>814</v>
      </c>
      <c r="E703" s="7">
        <v>14</v>
      </c>
      <c r="F703" s="7" t="s">
        <v>845</v>
      </c>
      <c r="G703" s="7" t="s">
        <v>834</v>
      </c>
      <c r="H703" s="7">
        <v>9279</v>
      </c>
      <c r="I703" s="7" t="s">
        <v>852</v>
      </c>
      <c r="J703" s="8" t="str" cm="1">
        <f t="array" ref="J703">_xlfn.IFS(H703&gt;8000,"PLATINUM",H703&gt;6000,"GOLD",H703&gt;4000,"SILEVER",H703&gt;2000,"NORMAL",H703&gt;500,"BASIC")</f>
        <v>PLATINUM</v>
      </c>
    </row>
    <row r="704" spans="1:10" ht="15.6" x14ac:dyDescent="0.3">
      <c r="A704" s="6">
        <v>44544</v>
      </c>
      <c r="B704" s="7" t="s">
        <v>412</v>
      </c>
      <c r="C704" s="7" t="s">
        <v>806</v>
      </c>
      <c r="D704" s="7" t="s">
        <v>817</v>
      </c>
      <c r="E704" s="7">
        <v>19</v>
      </c>
      <c r="F704" s="7" t="s">
        <v>844</v>
      </c>
      <c r="G704" s="7" t="s">
        <v>825</v>
      </c>
      <c r="H704" s="7">
        <v>2596</v>
      </c>
      <c r="I704" s="7" t="s">
        <v>853</v>
      </c>
      <c r="J704" s="8" t="str" cm="1">
        <f t="array" ref="J704">_xlfn.IFS(H704&gt;8000,"PLATINUM",H704&gt;6000,"GOLD",H704&gt;4000,"SILEVER",H704&gt;2000,"NORMAL",H704&gt;500,"BASIC")</f>
        <v>NORMAL</v>
      </c>
    </row>
    <row r="705" spans="1:10" ht="15.6" x14ac:dyDescent="0.3">
      <c r="A705" s="6">
        <v>44165</v>
      </c>
      <c r="B705" s="7" t="s">
        <v>413</v>
      </c>
      <c r="C705" s="7" t="s">
        <v>806</v>
      </c>
      <c r="D705" s="7" t="s">
        <v>817</v>
      </c>
      <c r="E705" s="7">
        <v>19</v>
      </c>
      <c r="F705" s="7" t="s">
        <v>845</v>
      </c>
      <c r="G705" s="7" t="s">
        <v>834</v>
      </c>
      <c r="H705" s="7">
        <v>2596</v>
      </c>
      <c r="I705" s="7" t="s">
        <v>853</v>
      </c>
      <c r="J705" s="8" t="str" cm="1">
        <f t="array" ref="J705">_xlfn.IFS(H705&gt;8000,"PLATINUM",H705&gt;6000,"GOLD",H705&gt;4000,"SILEVER",H705&gt;2000,"NORMAL",H705&gt;500,"BASIC")</f>
        <v>NORMAL</v>
      </c>
    </row>
    <row r="706" spans="1:10" ht="15.6" x14ac:dyDescent="0.3">
      <c r="A706" s="6">
        <v>44559</v>
      </c>
      <c r="B706" s="7" t="s">
        <v>414</v>
      </c>
      <c r="C706" s="7" t="s">
        <v>807</v>
      </c>
      <c r="D706" s="7" t="s">
        <v>820</v>
      </c>
      <c r="E706" s="7">
        <v>19</v>
      </c>
      <c r="F706" s="7" t="s">
        <v>844</v>
      </c>
      <c r="G706" s="7" t="s">
        <v>825</v>
      </c>
      <c r="H706" s="7">
        <v>6732</v>
      </c>
      <c r="I706" s="7" t="s">
        <v>852</v>
      </c>
      <c r="J706" s="8" t="str" cm="1">
        <f t="array" ref="J706">_xlfn.IFS(H706&gt;8000,"PLATINUM",H706&gt;6000,"GOLD",H706&gt;4000,"SILEVER",H706&gt;2000,"NORMAL",H706&gt;500,"BASIC")</f>
        <v>GOLD</v>
      </c>
    </row>
    <row r="707" spans="1:10" ht="15.6" x14ac:dyDescent="0.3">
      <c r="A707" s="6">
        <v>44559</v>
      </c>
      <c r="B707" s="7" t="s">
        <v>414</v>
      </c>
      <c r="C707" s="7" t="s">
        <v>806</v>
      </c>
      <c r="D707" s="7" t="s">
        <v>811</v>
      </c>
      <c r="E707" s="7">
        <v>14</v>
      </c>
      <c r="F707" s="7" t="s">
        <v>844</v>
      </c>
      <c r="G707" s="7" t="s">
        <v>825</v>
      </c>
      <c r="H707" s="7">
        <v>4495</v>
      </c>
      <c r="I707" s="7" t="s">
        <v>852</v>
      </c>
      <c r="J707" s="8" t="str" cm="1">
        <f t="array" ref="J707">_xlfn.IFS(H707&gt;8000,"PLATINUM",H707&gt;6000,"GOLD",H707&gt;4000,"SILEVER",H707&gt;2000,"NORMAL",H707&gt;500,"BASIC")</f>
        <v>SILEVER</v>
      </c>
    </row>
    <row r="708" spans="1:10" ht="15.6" x14ac:dyDescent="0.3">
      <c r="A708" s="6">
        <v>45481</v>
      </c>
      <c r="B708" s="7" t="s">
        <v>415</v>
      </c>
      <c r="C708" s="7" t="s">
        <v>806</v>
      </c>
      <c r="D708" s="7" t="s">
        <v>817</v>
      </c>
      <c r="E708" s="7">
        <v>6</v>
      </c>
      <c r="F708" s="7" t="s">
        <v>844</v>
      </c>
      <c r="G708" s="7" t="s">
        <v>825</v>
      </c>
      <c r="H708" s="7">
        <v>9653</v>
      </c>
      <c r="I708" s="7" t="s">
        <v>850</v>
      </c>
      <c r="J708" s="8" t="str" cm="1">
        <f t="array" ref="J708">_xlfn.IFS(H708&gt;8000,"PLATINUM",H708&gt;6000,"GOLD",H708&gt;4000,"SILEVER",H708&gt;2000,"NORMAL",H708&gt;500,"BASIC")</f>
        <v>PLATINUM</v>
      </c>
    </row>
    <row r="709" spans="1:10" ht="15.6" x14ac:dyDescent="0.3">
      <c r="A709" s="6">
        <v>44237</v>
      </c>
      <c r="B709" s="7" t="s">
        <v>416</v>
      </c>
      <c r="C709" s="7" t="s">
        <v>807</v>
      </c>
      <c r="D709" s="7" t="s">
        <v>813</v>
      </c>
      <c r="E709" s="7">
        <v>10</v>
      </c>
      <c r="F709" s="7" t="s">
        <v>843</v>
      </c>
      <c r="G709" s="7" t="s">
        <v>840</v>
      </c>
      <c r="H709" s="7">
        <v>8945</v>
      </c>
      <c r="I709" s="7" t="s">
        <v>850</v>
      </c>
      <c r="J709" s="8" t="str" cm="1">
        <f t="array" ref="J709">_xlfn.IFS(H709&gt;8000,"PLATINUM",H709&gt;6000,"GOLD",H709&gt;4000,"SILEVER",H709&gt;2000,"NORMAL",H709&gt;500,"BASIC")</f>
        <v>PLATINUM</v>
      </c>
    </row>
    <row r="710" spans="1:10" ht="15.6" x14ac:dyDescent="0.3">
      <c r="A710" s="6">
        <v>44125</v>
      </c>
      <c r="B710" s="7" t="s">
        <v>417</v>
      </c>
      <c r="C710" s="7" t="s">
        <v>807</v>
      </c>
      <c r="D710" s="7" t="s">
        <v>820</v>
      </c>
      <c r="E710" s="7">
        <v>13</v>
      </c>
      <c r="F710" s="7" t="s">
        <v>847</v>
      </c>
      <c r="G710" s="7" t="s">
        <v>835</v>
      </c>
      <c r="H710" s="7">
        <v>4007</v>
      </c>
      <c r="I710" s="7" t="s">
        <v>854</v>
      </c>
      <c r="J710" s="8" t="str" cm="1">
        <f t="array" ref="J710">_xlfn.IFS(H710&gt;8000,"PLATINUM",H710&gt;6000,"GOLD",H710&gt;4000,"SILEVER",H710&gt;2000,"NORMAL",H710&gt;500,"BASIC")</f>
        <v>SILEVER</v>
      </c>
    </row>
    <row r="711" spans="1:10" ht="15.6" x14ac:dyDescent="0.3">
      <c r="A711" s="6">
        <v>45033</v>
      </c>
      <c r="B711" s="7" t="s">
        <v>418</v>
      </c>
      <c r="C711" s="7" t="s">
        <v>807</v>
      </c>
      <c r="D711" s="7" t="s">
        <v>820</v>
      </c>
      <c r="E711" s="7">
        <v>13</v>
      </c>
      <c r="F711" s="7" t="s">
        <v>846</v>
      </c>
      <c r="G711" s="7" t="s">
        <v>831</v>
      </c>
      <c r="H711" s="7">
        <v>4007</v>
      </c>
      <c r="I711" s="7" t="s">
        <v>854</v>
      </c>
      <c r="J711" s="8" t="str" cm="1">
        <f t="array" ref="J711">_xlfn.IFS(H711&gt;8000,"PLATINUM",H711&gt;6000,"GOLD",H711&gt;4000,"SILEVER",H711&gt;2000,"NORMAL",H711&gt;500,"BASIC")</f>
        <v>SILEVER</v>
      </c>
    </row>
    <row r="712" spans="1:10" ht="15.6" x14ac:dyDescent="0.3">
      <c r="A712" s="6">
        <v>44125</v>
      </c>
      <c r="B712" s="7" t="s">
        <v>419</v>
      </c>
      <c r="C712" s="7" t="s">
        <v>807</v>
      </c>
      <c r="D712" s="7" t="s">
        <v>820</v>
      </c>
      <c r="E712" s="7">
        <v>18</v>
      </c>
      <c r="F712" s="7" t="s">
        <v>842</v>
      </c>
      <c r="G712" s="7" t="s">
        <v>839</v>
      </c>
      <c r="H712" s="7">
        <v>810</v>
      </c>
      <c r="I712" s="7" t="s">
        <v>852</v>
      </c>
      <c r="J712" s="8" t="str" cm="1">
        <f t="array" ref="J712">_xlfn.IFS(H712&gt;8000,"PLATINUM",H712&gt;6000,"GOLD",H712&gt;4000,"SILEVER",H712&gt;2000,"NORMAL",H712&gt;500,"BASIC")</f>
        <v>BASIC</v>
      </c>
    </row>
    <row r="713" spans="1:10" ht="15.6" x14ac:dyDescent="0.3">
      <c r="A713" s="6">
        <v>45288</v>
      </c>
      <c r="B713" s="7" t="s">
        <v>420</v>
      </c>
      <c r="C713" s="7" t="s">
        <v>807</v>
      </c>
      <c r="D713" s="7" t="s">
        <v>820</v>
      </c>
      <c r="E713" s="7">
        <v>18</v>
      </c>
      <c r="F713" s="7" t="s">
        <v>844</v>
      </c>
      <c r="G713" s="7" t="s">
        <v>830</v>
      </c>
      <c r="H713" s="7">
        <v>9789</v>
      </c>
      <c r="I713" s="7" t="s">
        <v>851</v>
      </c>
      <c r="J713" s="8" t="str" cm="1">
        <f t="array" ref="J713">_xlfn.IFS(H713&gt;8000,"PLATINUM",H713&gt;6000,"GOLD",H713&gt;4000,"SILEVER",H713&gt;2000,"NORMAL",H713&gt;500,"BASIC")</f>
        <v>PLATINUM</v>
      </c>
    </row>
    <row r="714" spans="1:10" ht="15.6" x14ac:dyDescent="0.3">
      <c r="A714" s="6">
        <v>45288</v>
      </c>
      <c r="B714" s="7" t="s">
        <v>420</v>
      </c>
      <c r="C714" s="7" t="s">
        <v>805</v>
      </c>
      <c r="D714" s="7" t="s">
        <v>809</v>
      </c>
      <c r="E714" s="7">
        <v>8</v>
      </c>
      <c r="F714" s="7" t="s">
        <v>844</v>
      </c>
      <c r="G714" s="7" t="s">
        <v>830</v>
      </c>
      <c r="H714" s="7">
        <v>9229</v>
      </c>
      <c r="I714" s="7" t="s">
        <v>854</v>
      </c>
      <c r="J714" s="8" t="str" cm="1">
        <f t="array" ref="J714">_xlfn.IFS(H714&gt;8000,"PLATINUM",H714&gt;6000,"GOLD",H714&gt;4000,"SILEVER",H714&gt;2000,"NORMAL",H714&gt;500,"BASIC")</f>
        <v>PLATINUM</v>
      </c>
    </row>
    <row r="715" spans="1:10" ht="15.6" x14ac:dyDescent="0.3">
      <c r="A715" s="6">
        <v>44918</v>
      </c>
      <c r="B715" s="7" t="s">
        <v>421</v>
      </c>
      <c r="C715" s="7" t="s">
        <v>806</v>
      </c>
      <c r="D715" s="7" t="s">
        <v>815</v>
      </c>
      <c r="E715" s="7">
        <v>18</v>
      </c>
      <c r="F715" s="7" t="s">
        <v>844</v>
      </c>
      <c r="G715" s="7" t="s">
        <v>830</v>
      </c>
      <c r="H715" s="7">
        <v>8141</v>
      </c>
      <c r="I715" s="7" t="s">
        <v>851</v>
      </c>
      <c r="J715" s="8" t="str" cm="1">
        <f t="array" ref="J715">_xlfn.IFS(H715&gt;8000,"PLATINUM",H715&gt;6000,"GOLD",H715&gt;4000,"SILEVER",H715&gt;2000,"NORMAL",H715&gt;500,"BASIC")</f>
        <v>PLATINUM</v>
      </c>
    </row>
    <row r="716" spans="1:10" ht="15.6" x14ac:dyDescent="0.3">
      <c r="A716" s="6">
        <v>44783</v>
      </c>
      <c r="B716" s="7" t="s">
        <v>422</v>
      </c>
      <c r="C716" s="7" t="s">
        <v>806</v>
      </c>
      <c r="D716" s="7" t="s">
        <v>815</v>
      </c>
      <c r="E716" s="7">
        <v>18</v>
      </c>
      <c r="F716" s="7" t="s">
        <v>843</v>
      </c>
      <c r="G716" s="7" t="s">
        <v>840</v>
      </c>
      <c r="H716" s="7">
        <v>8141</v>
      </c>
      <c r="I716" s="7" t="s">
        <v>851</v>
      </c>
      <c r="J716" s="8" t="str" cm="1">
        <f t="array" ref="J716">_xlfn.IFS(H716&gt;8000,"PLATINUM",H716&gt;6000,"GOLD",H716&gt;4000,"SILEVER",H716&gt;2000,"NORMAL",H716&gt;500,"BASIC")</f>
        <v>PLATINUM</v>
      </c>
    </row>
    <row r="717" spans="1:10" ht="15.6" x14ac:dyDescent="0.3">
      <c r="A717" s="6">
        <v>44918</v>
      </c>
      <c r="B717" s="7" t="s">
        <v>421</v>
      </c>
      <c r="C717" s="7" t="s">
        <v>807</v>
      </c>
      <c r="D717" s="7" t="s">
        <v>816</v>
      </c>
      <c r="E717" s="7">
        <v>14</v>
      </c>
      <c r="F717" s="7" t="s">
        <v>844</v>
      </c>
      <c r="G717" s="7" t="s">
        <v>830</v>
      </c>
      <c r="H717" s="7">
        <v>1067</v>
      </c>
      <c r="I717" s="7" t="s">
        <v>852</v>
      </c>
      <c r="J717" s="8" t="str" cm="1">
        <f t="array" ref="J717">_xlfn.IFS(H717&gt;8000,"PLATINUM",H717&gt;6000,"GOLD",H717&gt;4000,"SILEVER",H717&gt;2000,"NORMAL",H717&gt;500,"BASIC")</f>
        <v>BASIC</v>
      </c>
    </row>
    <row r="718" spans="1:10" ht="15.6" x14ac:dyDescent="0.3">
      <c r="A718" s="6">
        <v>44783</v>
      </c>
      <c r="B718" s="7" t="s">
        <v>422</v>
      </c>
      <c r="C718" s="7" t="s">
        <v>807</v>
      </c>
      <c r="D718" s="7" t="s">
        <v>816</v>
      </c>
      <c r="E718" s="7">
        <v>14</v>
      </c>
      <c r="F718" s="7" t="s">
        <v>843</v>
      </c>
      <c r="G718" s="7" t="s">
        <v>840</v>
      </c>
      <c r="H718" s="7">
        <v>1067</v>
      </c>
      <c r="I718" s="7" t="s">
        <v>852</v>
      </c>
      <c r="J718" s="8" t="str" cm="1">
        <f t="array" ref="J718">_xlfn.IFS(H718&gt;8000,"PLATINUM",H718&gt;6000,"GOLD",H718&gt;4000,"SILEVER",H718&gt;2000,"NORMAL",H718&gt;500,"BASIC")</f>
        <v>BASIC</v>
      </c>
    </row>
    <row r="719" spans="1:10" ht="15.6" x14ac:dyDescent="0.3">
      <c r="A719" s="6">
        <v>45216</v>
      </c>
      <c r="B719" s="7" t="s">
        <v>423</v>
      </c>
      <c r="C719" s="7" t="s">
        <v>806</v>
      </c>
      <c r="D719" s="7" t="s">
        <v>818</v>
      </c>
      <c r="E719" s="7">
        <v>10</v>
      </c>
      <c r="F719" s="7" t="s">
        <v>845</v>
      </c>
      <c r="G719" s="7" t="s">
        <v>827</v>
      </c>
      <c r="H719" s="7">
        <v>3839</v>
      </c>
      <c r="I719" s="7" t="s">
        <v>850</v>
      </c>
      <c r="J719" s="8" t="str" cm="1">
        <f t="array" ref="J719">_xlfn.IFS(H719&gt;8000,"PLATINUM",H719&gt;6000,"GOLD",H719&gt;4000,"SILEVER",H719&gt;2000,"NORMAL",H719&gt;500,"BASIC")</f>
        <v>NORMAL</v>
      </c>
    </row>
    <row r="720" spans="1:10" ht="15.6" x14ac:dyDescent="0.3">
      <c r="A720" s="6">
        <v>44620</v>
      </c>
      <c r="B720" s="7" t="s">
        <v>424</v>
      </c>
      <c r="C720" s="7" t="s">
        <v>806</v>
      </c>
      <c r="D720" s="7" t="s">
        <v>818</v>
      </c>
      <c r="E720" s="7">
        <v>10</v>
      </c>
      <c r="F720" s="7" t="s">
        <v>842</v>
      </c>
      <c r="G720" s="7" t="s">
        <v>826</v>
      </c>
      <c r="H720" s="7">
        <v>3839</v>
      </c>
      <c r="I720" s="7" t="s">
        <v>850</v>
      </c>
      <c r="J720" s="8" t="str" cm="1">
        <f t="array" ref="J720">_xlfn.IFS(H720&gt;8000,"PLATINUM",H720&gt;6000,"GOLD",H720&gt;4000,"SILEVER",H720&gt;2000,"NORMAL",H720&gt;500,"BASIC")</f>
        <v>NORMAL</v>
      </c>
    </row>
    <row r="721" spans="1:10" ht="15.6" x14ac:dyDescent="0.3">
      <c r="A721" s="6">
        <v>45436</v>
      </c>
      <c r="B721" s="7" t="s">
        <v>425</v>
      </c>
      <c r="C721" s="7" t="s">
        <v>805</v>
      </c>
      <c r="D721" s="7" t="s">
        <v>809</v>
      </c>
      <c r="E721" s="7">
        <v>13</v>
      </c>
      <c r="F721" s="7" t="s">
        <v>846</v>
      </c>
      <c r="G721" s="7" t="s">
        <v>833</v>
      </c>
      <c r="H721" s="7">
        <v>2858</v>
      </c>
      <c r="I721" s="7" t="s">
        <v>854</v>
      </c>
      <c r="J721" s="8" t="str" cm="1">
        <f t="array" ref="J721">_xlfn.IFS(H721&gt;8000,"PLATINUM",H721&gt;6000,"GOLD",H721&gt;4000,"SILEVER",H721&gt;2000,"NORMAL",H721&gt;500,"BASIC")</f>
        <v>NORMAL</v>
      </c>
    </row>
    <row r="722" spans="1:10" ht="15.6" x14ac:dyDescent="0.3">
      <c r="A722" s="6">
        <v>44106</v>
      </c>
      <c r="B722" s="7" t="s">
        <v>426</v>
      </c>
      <c r="C722" s="7" t="s">
        <v>807</v>
      </c>
      <c r="D722" s="7" t="s">
        <v>820</v>
      </c>
      <c r="E722" s="7">
        <v>12</v>
      </c>
      <c r="F722" s="7" t="s">
        <v>844</v>
      </c>
      <c r="G722" s="7" t="s">
        <v>828</v>
      </c>
      <c r="H722" s="7">
        <v>2137</v>
      </c>
      <c r="I722" s="7" t="s">
        <v>851</v>
      </c>
      <c r="J722" s="8" t="str" cm="1">
        <f t="array" ref="J722">_xlfn.IFS(H722&gt;8000,"PLATINUM",H722&gt;6000,"GOLD",H722&gt;4000,"SILEVER",H722&gt;2000,"NORMAL",H722&gt;500,"BASIC")</f>
        <v>NORMAL</v>
      </c>
    </row>
    <row r="723" spans="1:10" ht="15.6" x14ac:dyDescent="0.3">
      <c r="A723" s="6">
        <v>44106</v>
      </c>
      <c r="B723" s="7" t="s">
        <v>426</v>
      </c>
      <c r="C723" s="7" t="s">
        <v>807</v>
      </c>
      <c r="D723" s="7" t="s">
        <v>814</v>
      </c>
      <c r="E723" s="7">
        <v>12</v>
      </c>
      <c r="F723" s="7" t="s">
        <v>844</v>
      </c>
      <c r="G723" s="7" t="s">
        <v>828</v>
      </c>
      <c r="H723" s="7">
        <v>2831</v>
      </c>
      <c r="I723" s="7" t="s">
        <v>851</v>
      </c>
      <c r="J723" s="8" t="str" cm="1">
        <f t="array" ref="J723">_xlfn.IFS(H723&gt;8000,"PLATINUM",H723&gt;6000,"GOLD",H723&gt;4000,"SILEVER",H723&gt;2000,"NORMAL",H723&gt;500,"BASIC")</f>
        <v>NORMAL</v>
      </c>
    </row>
    <row r="724" spans="1:10" ht="15.6" x14ac:dyDescent="0.3">
      <c r="A724" s="6">
        <v>45332</v>
      </c>
      <c r="B724" s="7" t="s">
        <v>427</v>
      </c>
      <c r="C724" s="7" t="s">
        <v>807</v>
      </c>
      <c r="D724" s="7" t="s">
        <v>816</v>
      </c>
      <c r="E724" s="7">
        <v>15</v>
      </c>
      <c r="F724" s="7" t="s">
        <v>847</v>
      </c>
      <c r="G724" s="7" t="s">
        <v>835</v>
      </c>
      <c r="H724" s="7">
        <v>3913</v>
      </c>
      <c r="I724" s="7" t="s">
        <v>850</v>
      </c>
      <c r="J724" s="8" t="str" cm="1">
        <f t="array" ref="J724">_xlfn.IFS(H724&gt;8000,"PLATINUM",H724&gt;6000,"GOLD",H724&gt;4000,"SILEVER",H724&gt;2000,"NORMAL",H724&gt;500,"BASIC")</f>
        <v>NORMAL</v>
      </c>
    </row>
    <row r="725" spans="1:10" ht="15.6" x14ac:dyDescent="0.3">
      <c r="A725" s="6">
        <v>44233</v>
      </c>
      <c r="B725" s="7" t="s">
        <v>428</v>
      </c>
      <c r="C725" s="7" t="s">
        <v>807</v>
      </c>
      <c r="D725" s="7" t="s">
        <v>816</v>
      </c>
      <c r="E725" s="7">
        <v>15</v>
      </c>
      <c r="F725" s="7" t="s">
        <v>845</v>
      </c>
      <c r="G725" s="7" t="s">
        <v>834</v>
      </c>
      <c r="H725" s="7">
        <v>3913</v>
      </c>
      <c r="I725" s="7" t="s">
        <v>850</v>
      </c>
      <c r="J725" s="8" t="str" cm="1">
        <f t="array" ref="J725">_xlfn.IFS(H725&gt;8000,"PLATINUM",H725&gt;6000,"GOLD",H725&gt;4000,"SILEVER",H725&gt;2000,"NORMAL",H725&gt;500,"BASIC")</f>
        <v>NORMAL</v>
      </c>
    </row>
    <row r="726" spans="1:10" ht="15.6" x14ac:dyDescent="0.3">
      <c r="A726" s="6">
        <v>44636</v>
      </c>
      <c r="B726" s="7" t="s">
        <v>429</v>
      </c>
      <c r="C726" s="7" t="s">
        <v>806</v>
      </c>
      <c r="D726" s="7" t="s">
        <v>817</v>
      </c>
      <c r="E726" s="7">
        <v>9</v>
      </c>
      <c r="F726" s="7" t="s">
        <v>842</v>
      </c>
      <c r="G726" s="7" t="s">
        <v>839</v>
      </c>
      <c r="H726" s="7">
        <v>4468</v>
      </c>
      <c r="I726" s="7" t="s">
        <v>854</v>
      </c>
      <c r="J726" s="8" t="str" cm="1">
        <f t="array" ref="J726">_xlfn.IFS(H726&gt;8000,"PLATINUM",H726&gt;6000,"GOLD",H726&gt;4000,"SILEVER",H726&gt;2000,"NORMAL",H726&gt;500,"BASIC")</f>
        <v>SILEVER</v>
      </c>
    </row>
    <row r="727" spans="1:10" ht="15.6" x14ac:dyDescent="0.3">
      <c r="A727" s="6">
        <v>43975</v>
      </c>
      <c r="B727" s="7" t="s">
        <v>430</v>
      </c>
      <c r="C727" s="7" t="s">
        <v>805</v>
      </c>
      <c r="D727" s="7" t="s">
        <v>812</v>
      </c>
      <c r="E727" s="7">
        <v>9</v>
      </c>
      <c r="F727" s="7" t="s">
        <v>847</v>
      </c>
      <c r="G727" s="7" t="s">
        <v>836</v>
      </c>
      <c r="H727" s="7">
        <v>1579</v>
      </c>
      <c r="I727" s="7" t="s">
        <v>853</v>
      </c>
      <c r="J727" s="8" t="str" cm="1">
        <f t="array" ref="J727">_xlfn.IFS(H727&gt;8000,"PLATINUM",H727&gt;6000,"GOLD",H727&gt;4000,"SILEVER",H727&gt;2000,"NORMAL",H727&gt;500,"BASIC")</f>
        <v>BASIC</v>
      </c>
    </row>
    <row r="728" spans="1:10" ht="15.6" x14ac:dyDescent="0.3">
      <c r="A728" s="6">
        <v>45704</v>
      </c>
      <c r="B728" s="7" t="s">
        <v>431</v>
      </c>
      <c r="C728" s="7" t="s">
        <v>805</v>
      </c>
      <c r="D728" s="7" t="s">
        <v>812</v>
      </c>
      <c r="E728" s="7">
        <v>9</v>
      </c>
      <c r="F728" s="7" t="s">
        <v>846</v>
      </c>
      <c r="G728" s="7" t="s">
        <v>831</v>
      </c>
      <c r="H728" s="7">
        <v>1579</v>
      </c>
      <c r="I728" s="7" t="s">
        <v>853</v>
      </c>
      <c r="J728" s="8" t="str" cm="1">
        <f t="array" ref="J728">_xlfn.IFS(H728&gt;8000,"PLATINUM",H728&gt;6000,"GOLD",H728&gt;4000,"SILEVER",H728&gt;2000,"NORMAL",H728&gt;500,"BASIC")</f>
        <v>BASIC</v>
      </c>
    </row>
    <row r="729" spans="1:10" ht="15.6" x14ac:dyDescent="0.3">
      <c r="A729" s="6">
        <v>44516</v>
      </c>
      <c r="B729" s="7" t="s">
        <v>432</v>
      </c>
      <c r="C729" s="7" t="s">
        <v>805</v>
      </c>
      <c r="D729" s="7" t="s">
        <v>812</v>
      </c>
      <c r="E729" s="7">
        <v>9</v>
      </c>
      <c r="F729" s="7" t="s">
        <v>847</v>
      </c>
      <c r="G729" s="7" t="s">
        <v>836</v>
      </c>
      <c r="H729" s="7">
        <v>1579</v>
      </c>
      <c r="I729" s="7" t="s">
        <v>853</v>
      </c>
      <c r="J729" s="8" t="str" cm="1">
        <f t="array" ref="J729">_xlfn.IFS(H729&gt;8000,"PLATINUM",H729&gt;6000,"GOLD",H729&gt;4000,"SILEVER",H729&gt;2000,"NORMAL",H729&gt;500,"BASIC")</f>
        <v>BASIC</v>
      </c>
    </row>
    <row r="730" spans="1:10" ht="15.6" x14ac:dyDescent="0.3">
      <c r="A730" s="6">
        <v>45543</v>
      </c>
      <c r="B730" s="7" t="s">
        <v>433</v>
      </c>
      <c r="C730" s="7" t="s">
        <v>805</v>
      </c>
      <c r="D730" s="7" t="s">
        <v>812</v>
      </c>
      <c r="E730" s="7">
        <v>9</v>
      </c>
      <c r="F730" s="7" t="s">
        <v>844</v>
      </c>
      <c r="G730" s="7" t="s">
        <v>830</v>
      </c>
      <c r="H730" s="7">
        <v>1579</v>
      </c>
      <c r="I730" s="7" t="s">
        <v>853</v>
      </c>
      <c r="J730" s="8" t="str" cm="1">
        <f t="array" ref="J730">_xlfn.IFS(H730&gt;8000,"PLATINUM",H730&gt;6000,"GOLD",H730&gt;4000,"SILEVER",H730&gt;2000,"NORMAL",H730&gt;500,"BASIC")</f>
        <v>BASIC</v>
      </c>
    </row>
    <row r="731" spans="1:10" ht="15.6" x14ac:dyDescent="0.3">
      <c r="A731" s="6">
        <v>43975</v>
      </c>
      <c r="B731" s="7" t="s">
        <v>430</v>
      </c>
      <c r="C731" s="7" t="s">
        <v>807</v>
      </c>
      <c r="D731" s="7" t="s">
        <v>814</v>
      </c>
      <c r="E731" s="7">
        <v>19</v>
      </c>
      <c r="F731" s="7" t="s">
        <v>847</v>
      </c>
      <c r="G731" s="7" t="s">
        <v>836</v>
      </c>
      <c r="H731" s="7">
        <v>3760</v>
      </c>
      <c r="I731" s="7" t="s">
        <v>852</v>
      </c>
      <c r="J731" s="8" t="str" cm="1">
        <f t="array" ref="J731">_xlfn.IFS(H731&gt;8000,"PLATINUM",H731&gt;6000,"GOLD",H731&gt;4000,"SILEVER",H731&gt;2000,"NORMAL",H731&gt;500,"BASIC")</f>
        <v>NORMAL</v>
      </c>
    </row>
    <row r="732" spans="1:10" ht="15.6" x14ac:dyDescent="0.3">
      <c r="A732" s="6">
        <v>45704</v>
      </c>
      <c r="B732" s="7" t="s">
        <v>431</v>
      </c>
      <c r="C732" s="7" t="s">
        <v>807</v>
      </c>
      <c r="D732" s="7" t="s">
        <v>814</v>
      </c>
      <c r="E732" s="7">
        <v>19</v>
      </c>
      <c r="F732" s="7" t="s">
        <v>846</v>
      </c>
      <c r="G732" s="7" t="s">
        <v>831</v>
      </c>
      <c r="H732" s="7">
        <v>3760</v>
      </c>
      <c r="I732" s="7" t="s">
        <v>852</v>
      </c>
      <c r="J732" s="8" t="str" cm="1">
        <f t="array" ref="J732">_xlfn.IFS(H732&gt;8000,"PLATINUM",H732&gt;6000,"GOLD",H732&gt;4000,"SILEVER",H732&gt;2000,"NORMAL",H732&gt;500,"BASIC")</f>
        <v>NORMAL</v>
      </c>
    </row>
    <row r="733" spans="1:10" ht="15.6" x14ac:dyDescent="0.3">
      <c r="A733" s="6">
        <v>44516</v>
      </c>
      <c r="B733" s="7" t="s">
        <v>432</v>
      </c>
      <c r="C733" s="7" t="s">
        <v>807</v>
      </c>
      <c r="D733" s="7" t="s">
        <v>814</v>
      </c>
      <c r="E733" s="7">
        <v>19</v>
      </c>
      <c r="F733" s="7" t="s">
        <v>847</v>
      </c>
      <c r="G733" s="7" t="s">
        <v>836</v>
      </c>
      <c r="H733" s="7">
        <v>3760</v>
      </c>
      <c r="I733" s="7" t="s">
        <v>852</v>
      </c>
      <c r="J733" s="8" t="str" cm="1">
        <f t="array" ref="J733">_xlfn.IFS(H733&gt;8000,"PLATINUM",H733&gt;6000,"GOLD",H733&gt;4000,"SILEVER",H733&gt;2000,"NORMAL",H733&gt;500,"BASIC")</f>
        <v>NORMAL</v>
      </c>
    </row>
    <row r="734" spans="1:10" ht="15.6" x14ac:dyDescent="0.3">
      <c r="A734" s="6">
        <v>45543</v>
      </c>
      <c r="B734" s="7" t="s">
        <v>433</v>
      </c>
      <c r="C734" s="7" t="s">
        <v>807</v>
      </c>
      <c r="D734" s="7" t="s">
        <v>814</v>
      </c>
      <c r="E734" s="7">
        <v>19</v>
      </c>
      <c r="F734" s="7" t="s">
        <v>844</v>
      </c>
      <c r="G734" s="7" t="s">
        <v>830</v>
      </c>
      <c r="H734" s="7">
        <v>3760</v>
      </c>
      <c r="I734" s="7" t="s">
        <v>852</v>
      </c>
      <c r="J734" s="8" t="str" cm="1">
        <f t="array" ref="J734">_xlfn.IFS(H734&gt;8000,"PLATINUM",H734&gt;6000,"GOLD",H734&gt;4000,"SILEVER",H734&gt;2000,"NORMAL",H734&gt;500,"BASIC")</f>
        <v>NORMAL</v>
      </c>
    </row>
    <row r="735" spans="1:10" ht="15.6" x14ac:dyDescent="0.3">
      <c r="A735" s="6">
        <v>44741</v>
      </c>
      <c r="B735" s="7" t="s">
        <v>434</v>
      </c>
      <c r="C735" s="7" t="s">
        <v>806</v>
      </c>
      <c r="D735" s="7" t="s">
        <v>811</v>
      </c>
      <c r="E735" s="7">
        <v>14</v>
      </c>
      <c r="F735" s="7" t="s">
        <v>843</v>
      </c>
      <c r="G735" s="7" t="s">
        <v>824</v>
      </c>
      <c r="H735" s="7">
        <v>8706</v>
      </c>
      <c r="I735" s="7" t="s">
        <v>853</v>
      </c>
      <c r="J735" s="8" t="str" cm="1">
        <f t="array" ref="J735">_xlfn.IFS(H735&gt;8000,"PLATINUM",H735&gt;6000,"GOLD",H735&gt;4000,"SILEVER",H735&gt;2000,"NORMAL",H735&gt;500,"BASIC")</f>
        <v>PLATINUM</v>
      </c>
    </row>
    <row r="736" spans="1:10" ht="15.6" x14ac:dyDescent="0.3">
      <c r="A736" s="6">
        <v>44741</v>
      </c>
      <c r="B736" s="7" t="s">
        <v>434</v>
      </c>
      <c r="C736" s="7" t="s">
        <v>805</v>
      </c>
      <c r="D736" s="7" t="s">
        <v>809</v>
      </c>
      <c r="E736" s="7">
        <v>14</v>
      </c>
      <c r="F736" s="7" t="s">
        <v>843</v>
      </c>
      <c r="G736" s="7" t="s">
        <v>824</v>
      </c>
      <c r="H736" s="7">
        <v>4708</v>
      </c>
      <c r="I736" s="7" t="s">
        <v>853</v>
      </c>
      <c r="J736" s="8" t="str" cm="1">
        <f t="array" ref="J736">_xlfn.IFS(H736&gt;8000,"PLATINUM",H736&gt;6000,"GOLD",H736&gt;4000,"SILEVER",H736&gt;2000,"NORMAL",H736&gt;500,"BASIC")</f>
        <v>SILEVER</v>
      </c>
    </row>
    <row r="737" spans="1:10" ht="15.6" x14ac:dyDescent="0.3">
      <c r="A737" s="6">
        <v>44741</v>
      </c>
      <c r="B737" s="7" t="s">
        <v>434</v>
      </c>
      <c r="C737" s="7" t="s">
        <v>807</v>
      </c>
      <c r="D737" s="7" t="s">
        <v>814</v>
      </c>
      <c r="E737" s="7">
        <v>17</v>
      </c>
      <c r="F737" s="7" t="s">
        <v>843</v>
      </c>
      <c r="G737" s="7" t="s">
        <v>824</v>
      </c>
      <c r="H737" s="7">
        <v>8089</v>
      </c>
      <c r="I737" s="7" t="s">
        <v>854</v>
      </c>
      <c r="J737" s="8" t="str" cm="1">
        <f t="array" ref="J737">_xlfn.IFS(H737&gt;8000,"PLATINUM",H737&gt;6000,"GOLD",H737&gt;4000,"SILEVER",H737&gt;2000,"NORMAL",H737&gt;500,"BASIC")</f>
        <v>PLATINUM</v>
      </c>
    </row>
    <row r="738" spans="1:10" ht="15.6" x14ac:dyDescent="0.3">
      <c r="A738" s="6">
        <v>44868</v>
      </c>
      <c r="B738" s="7" t="s">
        <v>435</v>
      </c>
      <c r="C738" s="7" t="s">
        <v>805</v>
      </c>
      <c r="D738" s="7" t="s">
        <v>810</v>
      </c>
      <c r="E738" s="7">
        <v>12</v>
      </c>
      <c r="F738" s="7" t="s">
        <v>846</v>
      </c>
      <c r="G738" s="7" t="s">
        <v>833</v>
      </c>
      <c r="H738" s="7">
        <v>5462</v>
      </c>
      <c r="I738" s="7" t="s">
        <v>851</v>
      </c>
      <c r="J738" s="8" t="str" cm="1">
        <f t="array" ref="J738">_xlfn.IFS(H738&gt;8000,"PLATINUM",H738&gt;6000,"GOLD",H738&gt;4000,"SILEVER",H738&gt;2000,"NORMAL",H738&gt;500,"BASIC")</f>
        <v>SILEVER</v>
      </c>
    </row>
    <row r="739" spans="1:10" ht="15.6" x14ac:dyDescent="0.3">
      <c r="A739" s="6">
        <v>45258</v>
      </c>
      <c r="B739" s="7" t="s">
        <v>436</v>
      </c>
      <c r="C739" s="7" t="s">
        <v>805</v>
      </c>
      <c r="D739" s="7" t="s">
        <v>809</v>
      </c>
      <c r="E739" s="7">
        <v>18</v>
      </c>
      <c r="F739" s="7" t="s">
        <v>842</v>
      </c>
      <c r="G739" s="7" t="s">
        <v>839</v>
      </c>
      <c r="H739" s="7">
        <v>6392</v>
      </c>
      <c r="I739" s="7" t="s">
        <v>853</v>
      </c>
      <c r="J739" s="8" t="str" cm="1">
        <f t="array" ref="J739">_xlfn.IFS(H739&gt;8000,"PLATINUM",H739&gt;6000,"GOLD",H739&gt;4000,"SILEVER",H739&gt;2000,"NORMAL",H739&gt;500,"BASIC")</f>
        <v>GOLD</v>
      </c>
    </row>
    <row r="740" spans="1:10" ht="15.6" x14ac:dyDescent="0.3">
      <c r="A740" s="6">
        <v>43946</v>
      </c>
      <c r="B740" s="7" t="s">
        <v>437</v>
      </c>
      <c r="C740" s="7" t="s">
        <v>805</v>
      </c>
      <c r="D740" s="7" t="s">
        <v>809</v>
      </c>
      <c r="E740" s="7">
        <v>3</v>
      </c>
      <c r="F740" s="7" t="s">
        <v>842</v>
      </c>
      <c r="G740" s="7" t="s">
        <v>826</v>
      </c>
      <c r="H740" s="7">
        <v>8706</v>
      </c>
      <c r="I740" s="7" t="s">
        <v>851</v>
      </c>
      <c r="J740" s="8" t="str" cm="1">
        <f t="array" ref="J740">_xlfn.IFS(H740&gt;8000,"PLATINUM",H740&gt;6000,"GOLD",H740&gt;4000,"SILEVER",H740&gt;2000,"NORMAL",H740&gt;500,"BASIC")</f>
        <v>PLATINUM</v>
      </c>
    </row>
    <row r="741" spans="1:10" ht="15.6" x14ac:dyDescent="0.3">
      <c r="A741" s="6">
        <v>44579</v>
      </c>
      <c r="B741" s="7" t="s">
        <v>438</v>
      </c>
      <c r="C741" s="7" t="s">
        <v>806</v>
      </c>
      <c r="D741" s="7" t="s">
        <v>811</v>
      </c>
      <c r="E741" s="7">
        <v>4</v>
      </c>
      <c r="F741" s="7" t="s">
        <v>842</v>
      </c>
      <c r="G741" s="7" t="s">
        <v>823</v>
      </c>
      <c r="H741" s="7">
        <v>2349</v>
      </c>
      <c r="I741" s="7" t="s">
        <v>850</v>
      </c>
      <c r="J741" s="8" t="str" cm="1">
        <f t="array" ref="J741">_xlfn.IFS(H741&gt;8000,"PLATINUM",H741&gt;6000,"GOLD",H741&gt;4000,"SILEVER",H741&gt;2000,"NORMAL",H741&gt;500,"BASIC")</f>
        <v>NORMAL</v>
      </c>
    </row>
    <row r="742" spans="1:10" ht="15.6" x14ac:dyDescent="0.3">
      <c r="A742" s="6">
        <v>44579</v>
      </c>
      <c r="B742" s="7" t="s">
        <v>438</v>
      </c>
      <c r="C742" s="7" t="s">
        <v>807</v>
      </c>
      <c r="D742" s="7" t="s">
        <v>814</v>
      </c>
      <c r="E742" s="7">
        <v>14</v>
      </c>
      <c r="F742" s="7" t="s">
        <v>842</v>
      </c>
      <c r="G742" s="7" t="s">
        <v>823</v>
      </c>
      <c r="H742" s="7">
        <v>8220</v>
      </c>
      <c r="I742" s="7" t="s">
        <v>850</v>
      </c>
      <c r="J742" s="8" t="str" cm="1">
        <f t="array" ref="J742">_xlfn.IFS(H742&gt;8000,"PLATINUM",H742&gt;6000,"GOLD",H742&gt;4000,"SILEVER",H742&gt;2000,"NORMAL",H742&gt;500,"BASIC")</f>
        <v>PLATINUM</v>
      </c>
    </row>
    <row r="743" spans="1:10" ht="15.6" x14ac:dyDescent="0.3">
      <c r="A743" s="6">
        <v>44579</v>
      </c>
      <c r="B743" s="7" t="s">
        <v>438</v>
      </c>
      <c r="C743" s="7" t="s">
        <v>807</v>
      </c>
      <c r="D743" s="7" t="s">
        <v>814</v>
      </c>
      <c r="E743" s="7">
        <v>7</v>
      </c>
      <c r="F743" s="7" t="s">
        <v>842</v>
      </c>
      <c r="G743" s="7" t="s">
        <v>823</v>
      </c>
      <c r="H743" s="7">
        <v>2379</v>
      </c>
      <c r="I743" s="7" t="s">
        <v>851</v>
      </c>
      <c r="J743" s="8" t="str" cm="1">
        <f t="array" ref="J743">_xlfn.IFS(H743&gt;8000,"PLATINUM",H743&gt;6000,"GOLD",H743&gt;4000,"SILEVER",H743&gt;2000,"NORMAL",H743&gt;500,"BASIC")</f>
        <v>NORMAL</v>
      </c>
    </row>
    <row r="744" spans="1:10" ht="15.6" x14ac:dyDescent="0.3">
      <c r="A744" s="6">
        <v>44579</v>
      </c>
      <c r="B744" s="7" t="s">
        <v>438</v>
      </c>
      <c r="C744" s="7" t="s">
        <v>806</v>
      </c>
      <c r="D744" s="7" t="s">
        <v>815</v>
      </c>
      <c r="E744" s="7">
        <v>4</v>
      </c>
      <c r="F744" s="7" t="s">
        <v>842</v>
      </c>
      <c r="G744" s="7" t="s">
        <v>823</v>
      </c>
      <c r="H744" s="7">
        <v>7377</v>
      </c>
      <c r="I744" s="7" t="s">
        <v>850</v>
      </c>
      <c r="J744" s="8" t="str" cm="1">
        <f t="array" ref="J744">_xlfn.IFS(H744&gt;8000,"PLATINUM",H744&gt;6000,"GOLD",H744&gt;4000,"SILEVER",H744&gt;2000,"NORMAL",H744&gt;500,"BASIC")</f>
        <v>GOLD</v>
      </c>
    </row>
    <row r="745" spans="1:10" ht="15.6" x14ac:dyDescent="0.3">
      <c r="A745" s="6">
        <v>44643</v>
      </c>
      <c r="B745" s="7" t="s">
        <v>439</v>
      </c>
      <c r="C745" s="7" t="s">
        <v>807</v>
      </c>
      <c r="D745" s="7" t="s">
        <v>813</v>
      </c>
      <c r="E745" s="7">
        <v>16</v>
      </c>
      <c r="F745" s="7" t="s">
        <v>847</v>
      </c>
      <c r="G745" s="7" t="s">
        <v>837</v>
      </c>
      <c r="H745" s="7">
        <v>717</v>
      </c>
      <c r="I745" s="7" t="s">
        <v>853</v>
      </c>
      <c r="J745" s="8" t="str" cm="1">
        <f t="array" ref="J745">_xlfn.IFS(H745&gt;8000,"PLATINUM",H745&gt;6000,"GOLD",H745&gt;4000,"SILEVER",H745&gt;2000,"NORMAL",H745&gt;500,"BASIC")</f>
        <v>BASIC</v>
      </c>
    </row>
    <row r="746" spans="1:10" ht="15.6" x14ac:dyDescent="0.3">
      <c r="A746" s="6">
        <v>44006</v>
      </c>
      <c r="B746" s="7" t="s">
        <v>440</v>
      </c>
      <c r="C746" s="7" t="s">
        <v>807</v>
      </c>
      <c r="D746" s="7" t="s">
        <v>813</v>
      </c>
      <c r="E746" s="7">
        <v>16</v>
      </c>
      <c r="F746" s="7" t="s">
        <v>842</v>
      </c>
      <c r="G746" s="7" t="s">
        <v>823</v>
      </c>
      <c r="H746" s="7">
        <v>717</v>
      </c>
      <c r="I746" s="7" t="s">
        <v>853</v>
      </c>
      <c r="J746" s="8" t="str" cm="1">
        <f t="array" ref="J746">_xlfn.IFS(H746&gt;8000,"PLATINUM",H746&gt;6000,"GOLD",H746&gt;4000,"SILEVER",H746&gt;2000,"NORMAL",H746&gt;500,"BASIC")</f>
        <v>BASIC</v>
      </c>
    </row>
    <row r="747" spans="1:10" ht="15.6" x14ac:dyDescent="0.3">
      <c r="A747" s="6">
        <v>44918</v>
      </c>
      <c r="B747" s="7" t="s">
        <v>441</v>
      </c>
      <c r="C747" s="7" t="s">
        <v>807</v>
      </c>
      <c r="D747" s="7" t="s">
        <v>813</v>
      </c>
      <c r="E747" s="7">
        <v>16</v>
      </c>
      <c r="F747" s="7" t="s">
        <v>844</v>
      </c>
      <c r="G747" s="7" t="s">
        <v>825</v>
      </c>
      <c r="H747" s="7">
        <v>717</v>
      </c>
      <c r="I747" s="7" t="s">
        <v>853</v>
      </c>
      <c r="J747" s="8" t="str" cm="1">
        <f t="array" ref="J747">_xlfn.IFS(H747&gt;8000,"PLATINUM",H747&gt;6000,"GOLD",H747&gt;4000,"SILEVER",H747&gt;2000,"NORMAL",H747&gt;500,"BASIC")</f>
        <v>BASIC</v>
      </c>
    </row>
    <row r="748" spans="1:10" ht="15.6" x14ac:dyDescent="0.3">
      <c r="A748" s="6">
        <v>45620</v>
      </c>
      <c r="B748" s="7" t="s">
        <v>442</v>
      </c>
      <c r="C748" s="7" t="s">
        <v>807</v>
      </c>
      <c r="D748" s="7" t="s">
        <v>813</v>
      </c>
      <c r="E748" s="7">
        <v>16</v>
      </c>
      <c r="F748" s="7" t="s">
        <v>844</v>
      </c>
      <c r="G748" s="7" t="s">
        <v>828</v>
      </c>
      <c r="H748" s="7">
        <v>717</v>
      </c>
      <c r="I748" s="7" t="s">
        <v>853</v>
      </c>
      <c r="J748" s="8" t="str" cm="1">
        <f t="array" ref="J748">_xlfn.IFS(H748&gt;8000,"PLATINUM",H748&gt;6000,"GOLD",H748&gt;4000,"SILEVER",H748&gt;2000,"NORMAL",H748&gt;500,"BASIC")</f>
        <v>BASIC</v>
      </c>
    </row>
    <row r="749" spans="1:10" ht="15.6" x14ac:dyDescent="0.3">
      <c r="A749" s="6">
        <v>44141</v>
      </c>
      <c r="B749" s="7" t="s">
        <v>443</v>
      </c>
      <c r="C749" s="7" t="s">
        <v>807</v>
      </c>
      <c r="D749" s="7" t="s">
        <v>813</v>
      </c>
      <c r="E749" s="7">
        <v>16</v>
      </c>
      <c r="F749" s="7" t="s">
        <v>842</v>
      </c>
      <c r="G749" s="7" t="s">
        <v>826</v>
      </c>
      <c r="H749" s="7">
        <v>717</v>
      </c>
      <c r="I749" s="7" t="s">
        <v>853</v>
      </c>
      <c r="J749" s="8" t="str" cm="1">
        <f t="array" ref="J749">_xlfn.IFS(H749&gt;8000,"PLATINUM",H749&gt;6000,"GOLD",H749&gt;4000,"SILEVER",H749&gt;2000,"NORMAL",H749&gt;500,"BASIC")</f>
        <v>BASIC</v>
      </c>
    </row>
    <row r="750" spans="1:10" ht="15.6" x14ac:dyDescent="0.3">
      <c r="A750" s="6">
        <v>45223</v>
      </c>
      <c r="B750" s="7" t="s">
        <v>444</v>
      </c>
      <c r="C750" s="7" t="s">
        <v>807</v>
      </c>
      <c r="D750" s="7" t="s">
        <v>813</v>
      </c>
      <c r="E750" s="7">
        <v>16</v>
      </c>
      <c r="F750" s="7" t="s">
        <v>844</v>
      </c>
      <c r="G750" s="7" t="s">
        <v>830</v>
      </c>
      <c r="H750" s="7">
        <v>717</v>
      </c>
      <c r="I750" s="7" t="s">
        <v>853</v>
      </c>
      <c r="J750" s="8" t="str" cm="1">
        <f t="array" ref="J750">_xlfn.IFS(H750&gt;8000,"PLATINUM",H750&gt;6000,"GOLD",H750&gt;4000,"SILEVER",H750&gt;2000,"NORMAL",H750&gt;500,"BASIC")</f>
        <v>BASIC</v>
      </c>
    </row>
    <row r="751" spans="1:10" ht="15.6" x14ac:dyDescent="0.3">
      <c r="A751" s="6">
        <v>44643</v>
      </c>
      <c r="B751" s="7" t="s">
        <v>439</v>
      </c>
      <c r="C751" s="7" t="s">
        <v>807</v>
      </c>
      <c r="D751" s="7" t="s">
        <v>816</v>
      </c>
      <c r="E751" s="7">
        <v>17</v>
      </c>
      <c r="F751" s="7" t="s">
        <v>847</v>
      </c>
      <c r="G751" s="7" t="s">
        <v>837</v>
      </c>
      <c r="H751" s="7">
        <v>508</v>
      </c>
      <c r="I751" s="7" t="s">
        <v>850</v>
      </c>
      <c r="J751" s="8" t="str" cm="1">
        <f t="array" ref="J751">_xlfn.IFS(H751&gt;8000,"PLATINUM",H751&gt;6000,"GOLD",H751&gt;4000,"SILEVER",H751&gt;2000,"NORMAL",H751&gt;500,"BASIC")</f>
        <v>BASIC</v>
      </c>
    </row>
    <row r="752" spans="1:10" ht="15.6" x14ac:dyDescent="0.3">
      <c r="A752" s="6">
        <v>44006</v>
      </c>
      <c r="B752" s="7" t="s">
        <v>440</v>
      </c>
      <c r="C752" s="7" t="s">
        <v>807</v>
      </c>
      <c r="D752" s="7" t="s">
        <v>816</v>
      </c>
      <c r="E752" s="7">
        <v>17</v>
      </c>
      <c r="F752" s="7" t="s">
        <v>842</v>
      </c>
      <c r="G752" s="7" t="s">
        <v>823</v>
      </c>
      <c r="H752" s="7">
        <v>508</v>
      </c>
      <c r="I752" s="7" t="s">
        <v>850</v>
      </c>
      <c r="J752" s="8" t="str" cm="1">
        <f t="array" ref="J752">_xlfn.IFS(H752&gt;8000,"PLATINUM",H752&gt;6000,"GOLD",H752&gt;4000,"SILEVER",H752&gt;2000,"NORMAL",H752&gt;500,"BASIC")</f>
        <v>BASIC</v>
      </c>
    </row>
    <row r="753" spans="1:10" ht="15.6" x14ac:dyDescent="0.3">
      <c r="A753" s="6">
        <v>44918</v>
      </c>
      <c r="B753" s="7" t="s">
        <v>441</v>
      </c>
      <c r="C753" s="7" t="s">
        <v>807</v>
      </c>
      <c r="D753" s="7" t="s">
        <v>816</v>
      </c>
      <c r="E753" s="7">
        <v>17</v>
      </c>
      <c r="F753" s="7" t="s">
        <v>844</v>
      </c>
      <c r="G753" s="7" t="s">
        <v>825</v>
      </c>
      <c r="H753" s="7">
        <v>508</v>
      </c>
      <c r="I753" s="7" t="s">
        <v>850</v>
      </c>
      <c r="J753" s="8" t="str" cm="1">
        <f t="array" ref="J753">_xlfn.IFS(H753&gt;8000,"PLATINUM",H753&gt;6000,"GOLD",H753&gt;4000,"SILEVER",H753&gt;2000,"NORMAL",H753&gt;500,"BASIC")</f>
        <v>BASIC</v>
      </c>
    </row>
    <row r="754" spans="1:10" ht="15.6" x14ac:dyDescent="0.3">
      <c r="A754" s="6">
        <v>45620</v>
      </c>
      <c r="B754" s="7" t="s">
        <v>442</v>
      </c>
      <c r="C754" s="7" t="s">
        <v>807</v>
      </c>
      <c r="D754" s="7" t="s">
        <v>816</v>
      </c>
      <c r="E754" s="7">
        <v>17</v>
      </c>
      <c r="F754" s="7" t="s">
        <v>844</v>
      </c>
      <c r="G754" s="7" t="s">
        <v>828</v>
      </c>
      <c r="H754" s="7">
        <v>508</v>
      </c>
      <c r="I754" s="7" t="s">
        <v>850</v>
      </c>
      <c r="J754" s="8" t="str" cm="1">
        <f t="array" ref="J754">_xlfn.IFS(H754&gt;8000,"PLATINUM",H754&gt;6000,"GOLD",H754&gt;4000,"SILEVER",H754&gt;2000,"NORMAL",H754&gt;500,"BASIC")</f>
        <v>BASIC</v>
      </c>
    </row>
    <row r="755" spans="1:10" ht="15.6" x14ac:dyDescent="0.3">
      <c r="A755" s="6">
        <v>44141</v>
      </c>
      <c r="B755" s="7" t="s">
        <v>443</v>
      </c>
      <c r="C755" s="7" t="s">
        <v>807</v>
      </c>
      <c r="D755" s="7" t="s">
        <v>816</v>
      </c>
      <c r="E755" s="7">
        <v>17</v>
      </c>
      <c r="F755" s="7" t="s">
        <v>842</v>
      </c>
      <c r="G755" s="7" t="s">
        <v>826</v>
      </c>
      <c r="H755" s="7">
        <v>508</v>
      </c>
      <c r="I755" s="7" t="s">
        <v>850</v>
      </c>
      <c r="J755" s="8" t="str" cm="1">
        <f t="array" ref="J755">_xlfn.IFS(H755&gt;8000,"PLATINUM",H755&gt;6000,"GOLD",H755&gt;4000,"SILEVER",H755&gt;2000,"NORMAL",H755&gt;500,"BASIC")</f>
        <v>BASIC</v>
      </c>
    </row>
    <row r="756" spans="1:10" ht="15.6" x14ac:dyDescent="0.3">
      <c r="A756" s="6">
        <v>45223</v>
      </c>
      <c r="B756" s="7" t="s">
        <v>444</v>
      </c>
      <c r="C756" s="7" t="s">
        <v>807</v>
      </c>
      <c r="D756" s="7" t="s">
        <v>816</v>
      </c>
      <c r="E756" s="7">
        <v>17</v>
      </c>
      <c r="F756" s="7" t="s">
        <v>844</v>
      </c>
      <c r="G756" s="7" t="s">
        <v>830</v>
      </c>
      <c r="H756" s="7">
        <v>508</v>
      </c>
      <c r="I756" s="7" t="s">
        <v>850</v>
      </c>
      <c r="J756" s="8" t="str" cm="1">
        <f t="array" ref="J756">_xlfn.IFS(H756&gt;8000,"PLATINUM",H756&gt;6000,"GOLD",H756&gt;4000,"SILEVER",H756&gt;2000,"NORMAL",H756&gt;500,"BASIC")</f>
        <v>BASIC</v>
      </c>
    </row>
    <row r="757" spans="1:10" ht="15.6" x14ac:dyDescent="0.3">
      <c r="A757" s="6">
        <v>45125</v>
      </c>
      <c r="B757" s="7" t="s">
        <v>445</v>
      </c>
      <c r="C757" s="7" t="s">
        <v>805</v>
      </c>
      <c r="D757" s="7" t="s">
        <v>810</v>
      </c>
      <c r="E757" s="7">
        <v>3</v>
      </c>
      <c r="F757" s="7" t="s">
        <v>843</v>
      </c>
      <c r="G757" s="7" t="s">
        <v>824</v>
      </c>
      <c r="H757" s="7">
        <v>9382</v>
      </c>
      <c r="I757" s="7" t="s">
        <v>851</v>
      </c>
      <c r="J757" s="8" t="str" cm="1">
        <f t="array" ref="J757">_xlfn.IFS(H757&gt;8000,"PLATINUM",H757&gt;6000,"GOLD",H757&gt;4000,"SILEVER",H757&gt;2000,"NORMAL",H757&gt;500,"BASIC")</f>
        <v>PLATINUM</v>
      </c>
    </row>
    <row r="758" spans="1:10" ht="15.6" x14ac:dyDescent="0.3">
      <c r="A758" s="6">
        <v>44697</v>
      </c>
      <c r="B758" s="7" t="s">
        <v>446</v>
      </c>
      <c r="C758" s="7" t="s">
        <v>805</v>
      </c>
      <c r="D758" s="7" t="s">
        <v>810</v>
      </c>
      <c r="E758" s="7">
        <v>3</v>
      </c>
      <c r="F758" s="7" t="s">
        <v>844</v>
      </c>
      <c r="G758" s="7" t="s">
        <v>830</v>
      </c>
      <c r="H758" s="7">
        <v>9382</v>
      </c>
      <c r="I758" s="7" t="s">
        <v>851</v>
      </c>
      <c r="J758" s="8" t="str" cm="1">
        <f t="array" ref="J758">_xlfn.IFS(H758&gt;8000,"PLATINUM",H758&gt;6000,"GOLD",H758&gt;4000,"SILEVER",H758&gt;2000,"NORMAL",H758&gt;500,"BASIC")</f>
        <v>PLATINUM</v>
      </c>
    </row>
    <row r="759" spans="1:10" ht="15.6" x14ac:dyDescent="0.3">
      <c r="A759" s="6">
        <v>45125</v>
      </c>
      <c r="B759" s="7" t="s">
        <v>445</v>
      </c>
      <c r="C759" s="7" t="s">
        <v>807</v>
      </c>
      <c r="D759" s="7" t="s">
        <v>813</v>
      </c>
      <c r="E759" s="7">
        <v>19</v>
      </c>
      <c r="F759" s="7" t="s">
        <v>843</v>
      </c>
      <c r="G759" s="7" t="s">
        <v>824</v>
      </c>
      <c r="H759" s="7">
        <v>4936</v>
      </c>
      <c r="I759" s="7" t="s">
        <v>854</v>
      </c>
      <c r="J759" s="8" t="str" cm="1">
        <f t="array" ref="J759">_xlfn.IFS(H759&gt;8000,"PLATINUM",H759&gt;6000,"GOLD",H759&gt;4000,"SILEVER",H759&gt;2000,"NORMAL",H759&gt;500,"BASIC")</f>
        <v>SILEVER</v>
      </c>
    </row>
    <row r="760" spans="1:10" ht="15.6" x14ac:dyDescent="0.3">
      <c r="A760" s="6">
        <v>44697</v>
      </c>
      <c r="B760" s="7" t="s">
        <v>446</v>
      </c>
      <c r="C760" s="7" t="s">
        <v>807</v>
      </c>
      <c r="D760" s="7" t="s">
        <v>813</v>
      </c>
      <c r="E760" s="7">
        <v>19</v>
      </c>
      <c r="F760" s="7" t="s">
        <v>844</v>
      </c>
      <c r="G760" s="7" t="s">
        <v>830</v>
      </c>
      <c r="H760" s="7">
        <v>4936</v>
      </c>
      <c r="I760" s="7" t="s">
        <v>854</v>
      </c>
      <c r="J760" s="8" t="str" cm="1">
        <f t="array" ref="J760">_xlfn.IFS(H760&gt;8000,"PLATINUM",H760&gt;6000,"GOLD",H760&gt;4000,"SILEVER",H760&gt;2000,"NORMAL",H760&gt;500,"BASIC")</f>
        <v>SILEVER</v>
      </c>
    </row>
    <row r="761" spans="1:10" ht="15.6" x14ac:dyDescent="0.3">
      <c r="A761" s="6">
        <v>45459</v>
      </c>
      <c r="B761" s="7" t="s">
        <v>447</v>
      </c>
      <c r="C761" s="7" t="s">
        <v>807</v>
      </c>
      <c r="D761" s="7" t="s">
        <v>816</v>
      </c>
      <c r="E761" s="7">
        <v>19</v>
      </c>
      <c r="F761" s="7" t="s">
        <v>845</v>
      </c>
      <c r="G761" s="7" t="s">
        <v>834</v>
      </c>
      <c r="H761" s="7">
        <v>2663</v>
      </c>
      <c r="I761" s="7" t="s">
        <v>854</v>
      </c>
      <c r="J761" s="8" t="str" cm="1">
        <f t="array" ref="J761">_xlfn.IFS(H761&gt;8000,"PLATINUM",H761&gt;6000,"GOLD",H761&gt;4000,"SILEVER",H761&gt;2000,"NORMAL",H761&gt;500,"BASIC")</f>
        <v>NORMAL</v>
      </c>
    </row>
    <row r="762" spans="1:10" ht="15.6" x14ac:dyDescent="0.3">
      <c r="A762" s="6">
        <v>44492</v>
      </c>
      <c r="B762" s="7" t="s">
        <v>448</v>
      </c>
      <c r="C762" s="7" t="s">
        <v>807</v>
      </c>
      <c r="D762" s="7" t="s">
        <v>816</v>
      </c>
      <c r="E762" s="7">
        <v>19</v>
      </c>
      <c r="F762" s="7" t="s">
        <v>847</v>
      </c>
      <c r="G762" s="7" t="s">
        <v>837</v>
      </c>
      <c r="H762" s="7">
        <v>2663</v>
      </c>
      <c r="I762" s="7" t="s">
        <v>854</v>
      </c>
      <c r="J762" s="8" t="str" cm="1">
        <f t="array" ref="J762">_xlfn.IFS(H762&gt;8000,"PLATINUM",H762&gt;6000,"GOLD",H762&gt;4000,"SILEVER",H762&gt;2000,"NORMAL",H762&gt;500,"BASIC")</f>
        <v>NORMAL</v>
      </c>
    </row>
    <row r="763" spans="1:10" ht="15.6" x14ac:dyDescent="0.3">
      <c r="A763" s="6">
        <v>44856</v>
      </c>
      <c r="B763" s="7" t="s">
        <v>449</v>
      </c>
      <c r="C763" s="7" t="s">
        <v>805</v>
      </c>
      <c r="D763" s="7" t="s">
        <v>810</v>
      </c>
      <c r="E763" s="7">
        <v>5</v>
      </c>
      <c r="F763" s="7" t="s">
        <v>846</v>
      </c>
      <c r="G763" s="7" t="s">
        <v>838</v>
      </c>
      <c r="H763" s="7">
        <v>5151</v>
      </c>
      <c r="I763" s="7" t="s">
        <v>852</v>
      </c>
      <c r="J763" s="8" t="str" cm="1">
        <f t="array" ref="J763">_xlfn.IFS(H763&gt;8000,"PLATINUM",H763&gt;6000,"GOLD",H763&gt;4000,"SILEVER",H763&gt;2000,"NORMAL",H763&gt;500,"BASIC")</f>
        <v>SILEVER</v>
      </c>
    </row>
    <row r="764" spans="1:10" ht="15.6" x14ac:dyDescent="0.3">
      <c r="A764" s="6">
        <v>45124</v>
      </c>
      <c r="B764" s="7" t="s">
        <v>450</v>
      </c>
      <c r="C764" s="7" t="s">
        <v>806</v>
      </c>
      <c r="D764" s="7" t="s">
        <v>811</v>
      </c>
      <c r="E764" s="7">
        <v>8</v>
      </c>
      <c r="F764" s="7" t="s">
        <v>844</v>
      </c>
      <c r="G764" s="7" t="s">
        <v>830</v>
      </c>
      <c r="H764" s="7">
        <v>2514</v>
      </c>
      <c r="I764" s="7" t="s">
        <v>850</v>
      </c>
      <c r="J764" s="8" t="str" cm="1">
        <f t="array" ref="J764">_xlfn.IFS(H764&gt;8000,"PLATINUM",H764&gt;6000,"GOLD",H764&gt;4000,"SILEVER",H764&gt;2000,"NORMAL",H764&gt;500,"BASIC")</f>
        <v>NORMAL</v>
      </c>
    </row>
    <row r="765" spans="1:10" ht="15.6" x14ac:dyDescent="0.3">
      <c r="A765" s="6">
        <v>45712</v>
      </c>
      <c r="B765" s="7" t="s">
        <v>451</v>
      </c>
      <c r="C765" s="7" t="s">
        <v>805</v>
      </c>
      <c r="D765" s="7" t="s">
        <v>812</v>
      </c>
      <c r="E765" s="7">
        <v>2</v>
      </c>
      <c r="F765" s="7" t="s">
        <v>844</v>
      </c>
      <c r="G765" s="7" t="s">
        <v>828</v>
      </c>
      <c r="H765" s="7">
        <v>6129</v>
      </c>
      <c r="I765" s="7" t="s">
        <v>852</v>
      </c>
      <c r="J765" s="8" t="str" cm="1">
        <f t="array" ref="J765">_xlfn.IFS(H765&gt;8000,"PLATINUM",H765&gt;6000,"GOLD",H765&gt;4000,"SILEVER",H765&gt;2000,"NORMAL",H765&gt;500,"BASIC")</f>
        <v>GOLD</v>
      </c>
    </row>
    <row r="766" spans="1:10" ht="15.6" x14ac:dyDescent="0.3">
      <c r="A766" s="6">
        <v>45712</v>
      </c>
      <c r="B766" s="7" t="s">
        <v>451</v>
      </c>
      <c r="C766" s="7" t="s">
        <v>807</v>
      </c>
      <c r="D766" s="7" t="s">
        <v>820</v>
      </c>
      <c r="E766" s="7">
        <v>3</v>
      </c>
      <c r="F766" s="7" t="s">
        <v>844</v>
      </c>
      <c r="G766" s="7" t="s">
        <v>828</v>
      </c>
      <c r="H766" s="7">
        <v>4395</v>
      </c>
      <c r="I766" s="7" t="s">
        <v>854</v>
      </c>
      <c r="J766" s="8" t="str" cm="1">
        <f t="array" ref="J766">_xlfn.IFS(H766&gt;8000,"PLATINUM",H766&gt;6000,"GOLD",H766&gt;4000,"SILEVER",H766&gt;2000,"NORMAL",H766&gt;500,"BASIC")</f>
        <v>SILEVER</v>
      </c>
    </row>
    <row r="767" spans="1:10" ht="15.6" x14ac:dyDescent="0.3">
      <c r="A767" s="6">
        <v>44262</v>
      </c>
      <c r="B767" s="7" t="s">
        <v>452</v>
      </c>
      <c r="C767" s="7" t="s">
        <v>807</v>
      </c>
      <c r="D767" s="7" t="s">
        <v>814</v>
      </c>
      <c r="E767" s="7">
        <v>8</v>
      </c>
      <c r="F767" s="7" t="s">
        <v>847</v>
      </c>
      <c r="G767" s="7" t="s">
        <v>836</v>
      </c>
      <c r="H767" s="7">
        <v>5393</v>
      </c>
      <c r="I767" s="7" t="s">
        <v>850</v>
      </c>
      <c r="J767" s="8" t="str" cm="1">
        <f t="array" ref="J767">_xlfn.IFS(H767&gt;8000,"PLATINUM",H767&gt;6000,"GOLD",H767&gt;4000,"SILEVER",H767&gt;2000,"NORMAL",H767&gt;500,"BASIC")</f>
        <v>SILEVER</v>
      </c>
    </row>
    <row r="768" spans="1:10" ht="15.6" x14ac:dyDescent="0.3">
      <c r="A768" s="6">
        <v>44199</v>
      </c>
      <c r="B768" s="7" t="s">
        <v>453</v>
      </c>
      <c r="C768" s="7" t="s">
        <v>805</v>
      </c>
      <c r="D768" s="7" t="s">
        <v>819</v>
      </c>
      <c r="E768" s="7">
        <v>8</v>
      </c>
      <c r="F768" s="7" t="s">
        <v>844</v>
      </c>
      <c r="G768" s="7" t="s">
        <v>825</v>
      </c>
      <c r="H768" s="7">
        <v>2280</v>
      </c>
      <c r="I768" s="7" t="s">
        <v>853</v>
      </c>
      <c r="J768" s="8" t="str" cm="1">
        <f t="array" ref="J768">_xlfn.IFS(H768&gt;8000,"PLATINUM",H768&gt;6000,"GOLD",H768&gt;4000,"SILEVER",H768&gt;2000,"NORMAL",H768&gt;500,"BASIC")</f>
        <v>NORMAL</v>
      </c>
    </row>
    <row r="769" spans="1:10" ht="15.6" x14ac:dyDescent="0.3">
      <c r="A769" s="6">
        <v>45049</v>
      </c>
      <c r="B769" s="7" t="s">
        <v>454</v>
      </c>
      <c r="C769" s="7" t="s">
        <v>806</v>
      </c>
      <c r="D769" s="7" t="s">
        <v>817</v>
      </c>
      <c r="E769" s="7">
        <v>9</v>
      </c>
      <c r="F769" s="7" t="s">
        <v>847</v>
      </c>
      <c r="G769" s="7" t="s">
        <v>836</v>
      </c>
      <c r="H769" s="7">
        <v>6596</v>
      </c>
      <c r="I769" s="7" t="s">
        <v>851</v>
      </c>
      <c r="J769" s="8" t="str" cm="1">
        <f t="array" ref="J769">_xlfn.IFS(H769&gt;8000,"PLATINUM",H769&gt;6000,"GOLD",H769&gt;4000,"SILEVER",H769&gt;2000,"NORMAL",H769&gt;500,"BASIC")</f>
        <v>GOLD</v>
      </c>
    </row>
    <row r="770" spans="1:10" ht="15.6" x14ac:dyDescent="0.3">
      <c r="A770" s="6">
        <v>45224</v>
      </c>
      <c r="B770" s="7" t="s">
        <v>455</v>
      </c>
      <c r="C770" s="7" t="s">
        <v>806</v>
      </c>
      <c r="D770" s="7" t="s">
        <v>817</v>
      </c>
      <c r="E770" s="7">
        <v>5</v>
      </c>
      <c r="F770" s="7" t="s">
        <v>845</v>
      </c>
      <c r="G770" s="7" t="s">
        <v>827</v>
      </c>
      <c r="H770" s="7">
        <v>4510</v>
      </c>
      <c r="I770" s="7" t="s">
        <v>852</v>
      </c>
      <c r="J770" s="8" t="str" cm="1">
        <f t="array" ref="J770">_xlfn.IFS(H770&gt;8000,"PLATINUM",H770&gt;6000,"GOLD",H770&gt;4000,"SILEVER",H770&gt;2000,"NORMAL",H770&gt;500,"BASIC")</f>
        <v>SILEVER</v>
      </c>
    </row>
    <row r="771" spans="1:10" ht="15.6" x14ac:dyDescent="0.3">
      <c r="A771" s="6">
        <v>44794</v>
      </c>
      <c r="B771" s="7" t="s">
        <v>456</v>
      </c>
      <c r="C771" s="7" t="s">
        <v>805</v>
      </c>
      <c r="D771" s="7" t="s">
        <v>819</v>
      </c>
      <c r="E771" s="7">
        <v>18</v>
      </c>
      <c r="F771" s="7" t="s">
        <v>844</v>
      </c>
      <c r="G771" s="7" t="s">
        <v>828</v>
      </c>
      <c r="H771" s="7">
        <v>6077</v>
      </c>
      <c r="I771" s="7" t="s">
        <v>854</v>
      </c>
      <c r="J771" s="8" t="str" cm="1">
        <f t="array" ref="J771">_xlfn.IFS(H771&gt;8000,"PLATINUM",H771&gt;6000,"GOLD",H771&gt;4000,"SILEVER",H771&gt;2000,"NORMAL",H771&gt;500,"BASIC")</f>
        <v>GOLD</v>
      </c>
    </row>
    <row r="772" spans="1:10" ht="15.6" x14ac:dyDescent="0.3">
      <c r="A772" s="6">
        <v>44667</v>
      </c>
      <c r="B772" s="7" t="s">
        <v>457</v>
      </c>
      <c r="C772" s="7" t="s">
        <v>805</v>
      </c>
      <c r="D772" s="7" t="s">
        <v>810</v>
      </c>
      <c r="E772" s="7">
        <v>17</v>
      </c>
      <c r="F772" s="7" t="s">
        <v>847</v>
      </c>
      <c r="G772" s="7" t="s">
        <v>835</v>
      </c>
      <c r="H772" s="7">
        <v>5379</v>
      </c>
      <c r="I772" s="7" t="s">
        <v>854</v>
      </c>
      <c r="J772" s="8" t="str" cm="1">
        <f t="array" ref="J772">_xlfn.IFS(H772&gt;8000,"PLATINUM",H772&gt;6000,"GOLD",H772&gt;4000,"SILEVER",H772&gt;2000,"NORMAL",H772&gt;500,"BASIC")</f>
        <v>SILEVER</v>
      </c>
    </row>
    <row r="773" spans="1:10" ht="15.6" x14ac:dyDescent="0.3">
      <c r="A773" s="6">
        <v>45018</v>
      </c>
      <c r="B773" s="7" t="s">
        <v>458</v>
      </c>
      <c r="C773" s="7" t="s">
        <v>806</v>
      </c>
      <c r="D773" s="7" t="s">
        <v>815</v>
      </c>
      <c r="E773" s="7">
        <v>16</v>
      </c>
      <c r="F773" s="7" t="s">
        <v>845</v>
      </c>
      <c r="G773" s="7" t="s">
        <v>832</v>
      </c>
      <c r="H773" s="7">
        <v>4629</v>
      </c>
      <c r="I773" s="7" t="s">
        <v>852</v>
      </c>
      <c r="J773" s="8" t="str" cm="1">
        <f t="array" ref="J773">_xlfn.IFS(H773&gt;8000,"PLATINUM",H773&gt;6000,"GOLD",H773&gt;4000,"SILEVER",H773&gt;2000,"NORMAL",H773&gt;500,"BASIC")</f>
        <v>SILEVER</v>
      </c>
    </row>
    <row r="774" spans="1:10" ht="15.6" x14ac:dyDescent="0.3">
      <c r="A774" s="6">
        <v>45586</v>
      </c>
      <c r="B774" s="7" t="s">
        <v>459</v>
      </c>
      <c r="C774" s="7" t="s">
        <v>805</v>
      </c>
      <c r="D774" s="7" t="s">
        <v>812</v>
      </c>
      <c r="E774" s="7">
        <v>20</v>
      </c>
      <c r="F774" s="7" t="s">
        <v>843</v>
      </c>
      <c r="G774" s="7" t="s">
        <v>824</v>
      </c>
      <c r="H774" s="7">
        <v>2710</v>
      </c>
      <c r="I774" s="7" t="s">
        <v>851</v>
      </c>
      <c r="J774" s="8" t="str" cm="1">
        <f t="array" ref="J774">_xlfn.IFS(H774&gt;8000,"PLATINUM",H774&gt;6000,"GOLD",H774&gt;4000,"SILEVER",H774&gt;2000,"NORMAL",H774&gt;500,"BASIC")</f>
        <v>NORMAL</v>
      </c>
    </row>
    <row r="775" spans="1:10" ht="15.6" x14ac:dyDescent="0.3">
      <c r="A775" s="6">
        <v>45586</v>
      </c>
      <c r="B775" s="7" t="s">
        <v>459</v>
      </c>
      <c r="C775" s="7" t="s">
        <v>806</v>
      </c>
      <c r="D775" s="7" t="s">
        <v>818</v>
      </c>
      <c r="E775" s="7">
        <v>14</v>
      </c>
      <c r="F775" s="7" t="s">
        <v>843</v>
      </c>
      <c r="G775" s="7" t="s">
        <v>824</v>
      </c>
      <c r="H775" s="7">
        <v>3224</v>
      </c>
      <c r="I775" s="7" t="s">
        <v>850</v>
      </c>
      <c r="J775" s="8" t="str" cm="1">
        <f t="array" ref="J775">_xlfn.IFS(H775&gt;8000,"PLATINUM",H775&gt;6000,"GOLD",H775&gt;4000,"SILEVER",H775&gt;2000,"NORMAL",H775&gt;500,"BASIC")</f>
        <v>NORMAL</v>
      </c>
    </row>
    <row r="776" spans="1:10" ht="15.6" x14ac:dyDescent="0.3">
      <c r="A776" s="6">
        <v>44386</v>
      </c>
      <c r="B776" s="7" t="s">
        <v>460</v>
      </c>
      <c r="C776" s="7" t="s">
        <v>806</v>
      </c>
      <c r="D776" s="7" t="s">
        <v>815</v>
      </c>
      <c r="E776" s="7">
        <v>15</v>
      </c>
      <c r="F776" s="7" t="s">
        <v>843</v>
      </c>
      <c r="G776" s="7" t="s">
        <v>829</v>
      </c>
      <c r="H776" s="7">
        <v>8042</v>
      </c>
      <c r="I776" s="7" t="s">
        <v>852</v>
      </c>
      <c r="J776" s="8" t="str" cm="1">
        <f t="array" ref="J776">_xlfn.IFS(H776&gt;8000,"PLATINUM",H776&gt;6000,"GOLD",H776&gt;4000,"SILEVER",H776&gt;2000,"NORMAL",H776&gt;500,"BASIC")</f>
        <v>PLATINUM</v>
      </c>
    </row>
    <row r="777" spans="1:10" ht="15.6" x14ac:dyDescent="0.3">
      <c r="A777" s="6">
        <v>44659</v>
      </c>
      <c r="B777" s="7" t="s">
        <v>461</v>
      </c>
      <c r="C777" s="7" t="s">
        <v>806</v>
      </c>
      <c r="D777" s="7" t="s">
        <v>815</v>
      </c>
      <c r="E777" s="7">
        <v>15</v>
      </c>
      <c r="F777" s="7" t="s">
        <v>845</v>
      </c>
      <c r="G777" s="7" t="s">
        <v>827</v>
      </c>
      <c r="H777" s="7">
        <v>8042</v>
      </c>
      <c r="I777" s="7" t="s">
        <v>852</v>
      </c>
      <c r="J777" s="8" t="str" cm="1">
        <f t="array" ref="J777">_xlfn.IFS(H777&gt;8000,"PLATINUM",H777&gt;6000,"GOLD",H777&gt;4000,"SILEVER",H777&gt;2000,"NORMAL",H777&gt;500,"BASIC")</f>
        <v>PLATINUM</v>
      </c>
    </row>
    <row r="778" spans="1:10" ht="15.6" x14ac:dyDescent="0.3">
      <c r="A778" s="6">
        <v>44681</v>
      </c>
      <c r="B778" s="7" t="s">
        <v>462</v>
      </c>
      <c r="C778" s="7" t="s">
        <v>806</v>
      </c>
      <c r="D778" s="7" t="s">
        <v>818</v>
      </c>
      <c r="E778" s="7">
        <v>10</v>
      </c>
      <c r="F778" s="7" t="s">
        <v>846</v>
      </c>
      <c r="G778" s="7" t="s">
        <v>833</v>
      </c>
      <c r="H778" s="7">
        <v>3957</v>
      </c>
      <c r="I778" s="7" t="s">
        <v>852</v>
      </c>
      <c r="J778" s="8" t="str" cm="1">
        <f t="array" ref="J778">_xlfn.IFS(H778&gt;8000,"PLATINUM",H778&gt;6000,"GOLD",H778&gt;4000,"SILEVER",H778&gt;2000,"NORMAL",H778&gt;500,"BASIC")</f>
        <v>NORMAL</v>
      </c>
    </row>
    <row r="779" spans="1:10" ht="15.6" x14ac:dyDescent="0.3">
      <c r="A779" s="6">
        <v>44946</v>
      </c>
      <c r="B779" s="7" t="s">
        <v>463</v>
      </c>
      <c r="C779" s="7" t="s">
        <v>806</v>
      </c>
      <c r="D779" s="7" t="s">
        <v>815</v>
      </c>
      <c r="E779" s="7">
        <v>16</v>
      </c>
      <c r="F779" s="7" t="s">
        <v>843</v>
      </c>
      <c r="G779" s="7" t="s">
        <v>824</v>
      </c>
      <c r="H779" s="7">
        <v>8769</v>
      </c>
      <c r="I779" s="7" t="s">
        <v>851</v>
      </c>
      <c r="J779" s="8" t="str" cm="1">
        <f t="array" ref="J779">_xlfn.IFS(H779&gt;8000,"PLATINUM",H779&gt;6000,"GOLD",H779&gt;4000,"SILEVER",H779&gt;2000,"NORMAL",H779&gt;500,"BASIC")</f>
        <v>PLATINUM</v>
      </c>
    </row>
    <row r="780" spans="1:10" ht="15.6" x14ac:dyDescent="0.3">
      <c r="A780" s="6">
        <v>45613</v>
      </c>
      <c r="B780" s="7" t="s">
        <v>464</v>
      </c>
      <c r="C780" s="7" t="s">
        <v>806</v>
      </c>
      <c r="D780" s="7" t="s">
        <v>811</v>
      </c>
      <c r="E780" s="7">
        <v>16</v>
      </c>
      <c r="F780" s="7" t="s">
        <v>843</v>
      </c>
      <c r="G780" s="7" t="s">
        <v>824</v>
      </c>
      <c r="H780" s="7">
        <v>2957</v>
      </c>
      <c r="I780" s="7" t="s">
        <v>851</v>
      </c>
      <c r="J780" s="8" t="str" cm="1">
        <f t="array" ref="J780">_xlfn.IFS(H780&gt;8000,"PLATINUM",H780&gt;6000,"GOLD",H780&gt;4000,"SILEVER",H780&gt;2000,"NORMAL",H780&gt;500,"BASIC")</f>
        <v>NORMAL</v>
      </c>
    </row>
    <row r="781" spans="1:10" ht="15.6" x14ac:dyDescent="0.3">
      <c r="A781" s="6">
        <v>44674</v>
      </c>
      <c r="B781" s="7" t="s">
        <v>465</v>
      </c>
      <c r="C781" s="7" t="s">
        <v>806</v>
      </c>
      <c r="D781" s="7" t="s">
        <v>817</v>
      </c>
      <c r="E781" s="7">
        <v>6</v>
      </c>
      <c r="F781" s="7" t="s">
        <v>846</v>
      </c>
      <c r="G781" s="7" t="s">
        <v>831</v>
      </c>
      <c r="H781" s="7">
        <v>5344</v>
      </c>
      <c r="I781" s="7" t="s">
        <v>851</v>
      </c>
      <c r="J781" s="8" t="str" cm="1">
        <f t="array" ref="J781">_xlfn.IFS(H781&gt;8000,"PLATINUM",H781&gt;6000,"GOLD",H781&gt;4000,"SILEVER",H781&gt;2000,"NORMAL",H781&gt;500,"BASIC")</f>
        <v>SILEVER</v>
      </c>
    </row>
    <row r="782" spans="1:10" ht="15.6" x14ac:dyDescent="0.3">
      <c r="A782" s="6">
        <v>45706</v>
      </c>
      <c r="B782" s="7" t="s">
        <v>466</v>
      </c>
      <c r="C782" s="7" t="s">
        <v>806</v>
      </c>
      <c r="D782" s="7" t="s">
        <v>817</v>
      </c>
      <c r="E782" s="7">
        <v>6</v>
      </c>
      <c r="F782" s="7" t="s">
        <v>844</v>
      </c>
      <c r="G782" s="7" t="s">
        <v>830</v>
      </c>
      <c r="H782" s="7">
        <v>5344</v>
      </c>
      <c r="I782" s="7" t="s">
        <v>851</v>
      </c>
      <c r="J782" s="8" t="str" cm="1">
        <f t="array" ref="J782">_xlfn.IFS(H782&gt;8000,"PLATINUM",H782&gt;6000,"GOLD",H782&gt;4000,"SILEVER",H782&gt;2000,"NORMAL",H782&gt;500,"BASIC")</f>
        <v>SILEVER</v>
      </c>
    </row>
    <row r="783" spans="1:10" ht="15.6" x14ac:dyDescent="0.3">
      <c r="A783" s="6">
        <v>44343</v>
      </c>
      <c r="B783" s="7" t="s">
        <v>467</v>
      </c>
      <c r="C783" s="7" t="s">
        <v>805</v>
      </c>
      <c r="D783" s="7" t="s">
        <v>812</v>
      </c>
      <c r="E783" s="7">
        <v>19</v>
      </c>
      <c r="F783" s="7" t="s">
        <v>847</v>
      </c>
      <c r="G783" s="7" t="s">
        <v>837</v>
      </c>
      <c r="H783" s="7">
        <v>6061</v>
      </c>
      <c r="I783" s="7" t="s">
        <v>852</v>
      </c>
      <c r="J783" s="8" t="str" cm="1">
        <f t="array" ref="J783">_xlfn.IFS(H783&gt;8000,"PLATINUM",H783&gt;6000,"GOLD",H783&gt;4000,"SILEVER",H783&gt;2000,"NORMAL",H783&gt;500,"BASIC")</f>
        <v>GOLD</v>
      </c>
    </row>
    <row r="784" spans="1:10" ht="15.6" x14ac:dyDescent="0.3">
      <c r="A784" s="6">
        <v>44578</v>
      </c>
      <c r="B784" s="7" t="s">
        <v>468</v>
      </c>
      <c r="C784" s="7" t="s">
        <v>805</v>
      </c>
      <c r="D784" s="7" t="s">
        <v>812</v>
      </c>
      <c r="E784" s="7">
        <v>19</v>
      </c>
      <c r="F784" s="7" t="s">
        <v>845</v>
      </c>
      <c r="G784" s="7" t="s">
        <v>832</v>
      </c>
      <c r="H784" s="7">
        <v>6061</v>
      </c>
      <c r="I784" s="7" t="s">
        <v>852</v>
      </c>
      <c r="J784" s="8" t="str" cm="1">
        <f t="array" ref="J784">_xlfn.IFS(H784&gt;8000,"PLATINUM",H784&gt;6000,"GOLD",H784&gt;4000,"SILEVER",H784&gt;2000,"NORMAL",H784&gt;500,"BASIC")</f>
        <v>GOLD</v>
      </c>
    </row>
    <row r="785" spans="1:10" ht="15.6" x14ac:dyDescent="0.3">
      <c r="A785" s="6">
        <v>45672</v>
      </c>
      <c r="B785" s="7" t="s">
        <v>469</v>
      </c>
      <c r="C785" s="7" t="s">
        <v>807</v>
      </c>
      <c r="D785" s="7" t="s">
        <v>813</v>
      </c>
      <c r="E785" s="7">
        <v>7</v>
      </c>
      <c r="F785" s="7" t="s">
        <v>844</v>
      </c>
      <c r="G785" s="7" t="s">
        <v>828</v>
      </c>
      <c r="H785" s="7">
        <v>5376</v>
      </c>
      <c r="I785" s="7" t="s">
        <v>853</v>
      </c>
      <c r="J785" s="8" t="str" cm="1">
        <f t="array" ref="J785">_xlfn.IFS(H785&gt;8000,"PLATINUM",H785&gt;6000,"GOLD",H785&gt;4000,"SILEVER",H785&gt;2000,"NORMAL",H785&gt;500,"BASIC")</f>
        <v>SILEVER</v>
      </c>
    </row>
    <row r="786" spans="1:10" ht="15.6" x14ac:dyDescent="0.3">
      <c r="A786" s="6">
        <v>44241</v>
      </c>
      <c r="B786" s="7" t="s">
        <v>470</v>
      </c>
      <c r="C786" s="7" t="s">
        <v>805</v>
      </c>
      <c r="D786" s="7" t="s">
        <v>810</v>
      </c>
      <c r="E786" s="7">
        <v>8</v>
      </c>
      <c r="F786" s="7" t="s">
        <v>842</v>
      </c>
      <c r="G786" s="7" t="s">
        <v>823</v>
      </c>
      <c r="H786" s="7">
        <v>2792</v>
      </c>
      <c r="I786" s="7" t="s">
        <v>854</v>
      </c>
      <c r="J786" s="8" t="str" cm="1">
        <f t="array" ref="J786">_xlfn.IFS(H786&gt;8000,"PLATINUM",H786&gt;6000,"GOLD",H786&gt;4000,"SILEVER",H786&gt;2000,"NORMAL",H786&gt;500,"BASIC")</f>
        <v>NORMAL</v>
      </c>
    </row>
    <row r="787" spans="1:10" ht="15.6" x14ac:dyDescent="0.3">
      <c r="A787" s="6">
        <v>45535</v>
      </c>
      <c r="B787" s="7" t="s">
        <v>471</v>
      </c>
      <c r="C787" s="7" t="s">
        <v>806</v>
      </c>
      <c r="D787" s="7" t="s">
        <v>818</v>
      </c>
      <c r="E787" s="7">
        <v>5</v>
      </c>
      <c r="F787" s="7" t="s">
        <v>847</v>
      </c>
      <c r="G787" s="7" t="s">
        <v>835</v>
      </c>
      <c r="H787" s="7">
        <v>2944</v>
      </c>
      <c r="I787" s="7" t="s">
        <v>853</v>
      </c>
      <c r="J787" s="8" t="str" cm="1">
        <f t="array" ref="J787">_xlfn.IFS(H787&gt;8000,"PLATINUM",H787&gt;6000,"GOLD",H787&gt;4000,"SILEVER",H787&gt;2000,"NORMAL",H787&gt;500,"BASIC")</f>
        <v>NORMAL</v>
      </c>
    </row>
    <row r="788" spans="1:10" ht="15.6" x14ac:dyDescent="0.3">
      <c r="A788" s="6">
        <v>44921</v>
      </c>
      <c r="B788" s="7" t="s">
        <v>472</v>
      </c>
      <c r="C788" s="7" t="s">
        <v>806</v>
      </c>
      <c r="D788" s="7" t="s">
        <v>818</v>
      </c>
      <c r="E788" s="7">
        <v>5</v>
      </c>
      <c r="F788" s="7" t="s">
        <v>846</v>
      </c>
      <c r="G788" s="7" t="s">
        <v>831</v>
      </c>
      <c r="H788" s="7">
        <v>2944</v>
      </c>
      <c r="I788" s="7" t="s">
        <v>853</v>
      </c>
      <c r="J788" s="8" t="str" cm="1">
        <f t="array" ref="J788">_xlfn.IFS(H788&gt;8000,"PLATINUM",H788&gt;6000,"GOLD",H788&gt;4000,"SILEVER",H788&gt;2000,"NORMAL",H788&gt;500,"BASIC")</f>
        <v>NORMAL</v>
      </c>
    </row>
    <row r="789" spans="1:10" ht="15.6" x14ac:dyDescent="0.3">
      <c r="A789" s="6">
        <v>45372</v>
      </c>
      <c r="B789" s="7" t="s">
        <v>473</v>
      </c>
      <c r="C789" s="7" t="s">
        <v>806</v>
      </c>
      <c r="D789" s="7" t="s">
        <v>815</v>
      </c>
      <c r="E789" s="7">
        <v>13</v>
      </c>
      <c r="F789" s="7" t="s">
        <v>843</v>
      </c>
      <c r="G789" s="7" t="s">
        <v>829</v>
      </c>
      <c r="H789" s="7">
        <v>4220</v>
      </c>
      <c r="I789" s="7" t="s">
        <v>852</v>
      </c>
      <c r="J789" s="8" t="str" cm="1">
        <f t="array" ref="J789">_xlfn.IFS(H789&gt;8000,"PLATINUM",H789&gt;6000,"GOLD",H789&gt;4000,"SILEVER",H789&gt;2000,"NORMAL",H789&gt;500,"BASIC")</f>
        <v>SILEVER</v>
      </c>
    </row>
    <row r="790" spans="1:10" ht="15.6" x14ac:dyDescent="0.3">
      <c r="A790" s="6">
        <v>44180</v>
      </c>
      <c r="B790" s="7" t="s">
        <v>474</v>
      </c>
      <c r="C790" s="7" t="s">
        <v>806</v>
      </c>
      <c r="D790" s="7" t="s">
        <v>815</v>
      </c>
      <c r="E790" s="7">
        <v>13</v>
      </c>
      <c r="F790" s="7" t="s">
        <v>843</v>
      </c>
      <c r="G790" s="7" t="s">
        <v>840</v>
      </c>
      <c r="H790" s="7">
        <v>4220</v>
      </c>
      <c r="I790" s="7" t="s">
        <v>852</v>
      </c>
      <c r="J790" s="8" t="str" cm="1">
        <f t="array" ref="J790">_xlfn.IFS(H790&gt;8000,"PLATINUM",H790&gt;6000,"GOLD",H790&gt;4000,"SILEVER",H790&gt;2000,"NORMAL",H790&gt;500,"BASIC")</f>
        <v>SILEVER</v>
      </c>
    </row>
    <row r="791" spans="1:10" ht="15.6" x14ac:dyDescent="0.3">
      <c r="A791" s="6">
        <v>45006</v>
      </c>
      <c r="B791" s="7" t="s">
        <v>475</v>
      </c>
      <c r="C791" s="7" t="s">
        <v>806</v>
      </c>
      <c r="D791" s="7" t="s">
        <v>818</v>
      </c>
      <c r="E791" s="7">
        <v>4</v>
      </c>
      <c r="F791" s="7" t="s">
        <v>846</v>
      </c>
      <c r="G791" s="7" t="s">
        <v>833</v>
      </c>
      <c r="H791" s="7">
        <v>8526</v>
      </c>
      <c r="I791" s="7" t="s">
        <v>851</v>
      </c>
      <c r="J791" s="8" t="str" cm="1">
        <f t="array" ref="J791">_xlfn.IFS(H791&gt;8000,"PLATINUM",H791&gt;6000,"GOLD",H791&gt;4000,"SILEVER",H791&gt;2000,"NORMAL",H791&gt;500,"BASIC")</f>
        <v>PLATINUM</v>
      </c>
    </row>
    <row r="792" spans="1:10" ht="15.6" x14ac:dyDescent="0.3">
      <c r="A792" s="6">
        <v>45085</v>
      </c>
      <c r="B792" s="7" t="s">
        <v>476</v>
      </c>
      <c r="C792" s="7" t="s">
        <v>807</v>
      </c>
      <c r="D792" s="7" t="s">
        <v>820</v>
      </c>
      <c r="E792" s="7">
        <v>19</v>
      </c>
      <c r="F792" s="7" t="s">
        <v>845</v>
      </c>
      <c r="G792" s="7" t="s">
        <v>834</v>
      </c>
      <c r="H792" s="7">
        <v>8218</v>
      </c>
      <c r="I792" s="7" t="s">
        <v>853</v>
      </c>
      <c r="J792" s="8" t="str" cm="1">
        <f t="array" ref="J792">_xlfn.IFS(H792&gt;8000,"PLATINUM",H792&gt;6000,"GOLD",H792&gt;4000,"SILEVER",H792&gt;2000,"NORMAL",H792&gt;500,"BASIC")</f>
        <v>PLATINUM</v>
      </c>
    </row>
    <row r="793" spans="1:10" ht="15.6" x14ac:dyDescent="0.3">
      <c r="A793" s="6">
        <v>44759</v>
      </c>
      <c r="B793" s="7" t="s">
        <v>477</v>
      </c>
      <c r="C793" s="7" t="s">
        <v>805</v>
      </c>
      <c r="D793" s="7" t="s">
        <v>819</v>
      </c>
      <c r="E793" s="7">
        <v>4</v>
      </c>
      <c r="F793" s="7" t="s">
        <v>844</v>
      </c>
      <c r="G793" s="7" t="s">
        <v>825</v>
      </c>
      <c r="H793" s="7">
        <v>599</v>
      </c>
      <c r="I793" s="7" t="s">
        <v>853</v>
      </c>
      <c r="J793" s="8" t="str" cm="1">
        <f t="array" ref="J793">_xlfn.IFS(H793&gt;8000,"PLATINUM",H793&gt;6000,"GOLD",H793&gt;4000,"SILEVER",H793&gt;2000,"NORMAL",H793&gt;500,"BASIC")</f>
        <v>BASIC</v>
      </c>
    </row>
    <row r="794" spans="1:10" ht="15.6" x14ac:dyDescent="0.3">
      <c r="A794" s="6">
        <v>45631</v>
      </c>
      <c r="B794" s="7" t="s">
        <v>478</v>
      </c>
      <c r="C794" s="7" t="s">
        <v>805</v>
      </c>
      <c r="D794" s="7" t="s">
        <v>819</v>
      </c>
      <c r="E794" s="7">
        <v>4</v>
      </c>
      <c r="F794" s="7" t="s">
        <v>844</v>
      </c>
      <c r="G794" s="7" t="s">
        <v>830</v>
      </c>
      <c r="H794" s="7">
        <v>599</v>
      </c>
      <c r="I794" s="7" t="s">
        <v>853</v>
      </c>
      <c r="J794" s="8" t="str" cm="1">
        <f t="array" ref="J794">_xlfn.IFS(H794&gt;8000,"PLATINUM",H794&gt;6000,"GOLD",H794&gt;4000,"SILEVER",H794&gt;2000,"NORMAL",H794&gt;500,"BASIC")</f>
        <v>BASIC</v>
      </c>
    </row>
    <row r="795" spans="1:10" ht="15.6" x14ac:dyDescent="0.3">
      <c r="A795" s="6">
        <v>44759</v>
      </c>
      <c r="B795" s="7" t="s">
        <v>477</v>
      </c>
      <c r="C795" s="7" t="s">
        <v>807</v>
      </c>
      <c r="D795" s="7" t="s">
        <v>820</v>
      </c>
      <c r="E795" s="7">
        <v>10</v>
      </c>
      <c r="F795" s="7" t="s">
        <v>844</v>
      </c>
      <c r="G795" s="7" t="s">
        <v>825</v>
      </c>
      <c r="H795" s="7">
        <v>2727</v>
      </c>
      <c r="I795" s="7" t="s">
        <v>853</v>
      </c>
      <c r="J795" s="8" t="str" cm="1">
        <f t="array" ref="J795">_xlfn.IFS(H795&gt;8000,"PLATINUM",H795&gt;6000,"GOLD",H795&gt;4000,"SILEVER",H795&gt;2000,"NORMAL",H795&gt;500,"BASIC")</f>
        <v>NORMAL</v>
      </c>
    </row>
    <row r="796" spans="1:10" ht="15.6" x14ac:dyDescent="0.3">
      <c r="A796" s="6">
        <v>45631</v>
      </c>
      <c r="B796" s="7" t="s">
        <v>478</v>
      </c>
      <c r="C796" s="7" t="s">
        <v>807</v>
      </c>
      <c r="D796" s="7" t="s">
        <v>820</v>
      </c>
      <c r="E796" s="7">
        <v>10</v>
      </c>
      <c r="F796" s="7" t="s">
        <v>844</v>
      </c>
      <c r="G796" s="7" t="s">
        <v>830</v>
      </c>
      <c r="H796" s="7">
        <v>2727</v>
      </c>
      <c r="I796" s="7" t="s">
        <v>853</v>
      </c>
      <c r="J796" s="8" t="str" cm="1">
        <f t="array" ref="J796">_xlfn.IFS(H796&gt;8000,"PLATINUM",H796&gt;6000,"GOLD",H796&gt;4000,"SILEVER",H796&gt;2000,"NORMAL",H796&gt;500,"BASIC")</f>
        <v>NORMAL</v>
      </c>
    </row>
    <row r="797" spans="1:10" ht="15.6" x14ac:dyDescent="0.3">
      <c r="A797" s="6">
        <v>45232</v>
      </c>
      <c r="B797" s="7" t="s">
        <v>479</v>
      </c>
      <c r="C797" s="7" t="s">
        <v>806</v>
      </c>
      <c r="D797" s="7" t="s">
        <v>811</v>
      </c>
      <c r="E797" s="7">
        <v>11</v>
      </c>
      <c r="F797" s="7" t="s">
        <v>845</v>
      </c>
      <c r="G797" s="7" t="s">
        <v>834</v>
      </c>
      <c r="H797" s="7">
        <v>2589</v>
      </c>
      <c r="I797" s="7" t="s">
        <v>852</v>
      </c>
      <c r="J797" s="8" t="str" cm="1">
        <f t="array" ref="J797">_xlfn.IFS(H797&gt;8000,"PLATINUM",H797&gt;6000,"GOLD",H797&gt;4000,"SILEVER",H797&gt;2000,"NORMAL",H797&gt;500,"BASIC")</f>
        <v>NORMAL</v>
      </c>
    </row>
    <row r="798" spans="1:10" ht="15.6" x14ac:dyDescent="0.3">
      <c r="A798" s="6">
        <v>45570</v>
      </c>
      <c r="B798" s="7" t="s">
        <v>480</v>
      </c>
      <c r="C798" s="7" t="s">
        <v>806</v>
      </c>
      <c r="D798" s="7" t="s">
        <v>811</v>
      </c>
      <c r="E798" s="7">
        <v>11</v>
      </c>
      <c r="F798" s="7" t="s">
        <v>847</v>
      </c>
      <c r="G798" s="7" t="s">
        <v>837</v>
      </c>
      <c r="H798" s="7">
        <v>2589</v>
      </c>
      <c r="I798" s="7" t="s">
        <v>852</v>
      </c>
      <c r="J798" s="8" t="str" cm="1">
        <f t="array" ref="J798">_xlfn.IFS(H798&gt;8000,"PLATINUM",H798&gt;6000,"GOLD",H798&gt;4000,"SILEVER",H798&gt;2000,"NORMAL",H798&gt;500,"BASIC")</f>
        <v>NORMAL</v>
      </c>
    </row>
    <row r="799" spans="1:10" ht="15.6" x14ac:dyDescent="0.3">
      <c r="A799" s="6">
        <v>44878</v>
      </c>
      <c r="B799" s="7" t="s">
        <v>481</v>
      </c>
      <c r="C799" s="7" t="s">
        <v>805</v>
      </c>
      <c r="D799" s="7" t="s">
        <v>809</v>
      </c>
      <c r="E799" s="7">
        <v>9</v>
      </c>
      <c r="F799" s="7" t="s">
        <v>846</v>
      </c>
      <c r="G799" s="7" t="s">
        <v>833</v>
      </c>
      <c r="H799" s="7">
        <v>3776</v>
      </c>
      <c r="I799" s="7" t="s">
        <v>852</v>
      </c>
      <c r="J799" s="8" t="str" cm="1">
        <f t="array" ref="J799">_xlfn.IFS(H799&gt;8000,"PLATINUM",H799&gt;6000,"GOLD",H799&gt;4000,"SILEVER",H799&gt;2000,"NORMAL",H799&gt;500,"BASIC")</f>
        <v>NORMAL</v>
      </c>
    </row>
    <row r="800" spans="1:10" ht="15.6" x14ac:dyDescent="0.3">
      <c r="A800" s="6">
        <v>44923</v>
      </c>
      <c r="B800" s="7" t="s">
        <v>482</v>
      </c>
      <c r="C800" s="7" t="s">
        <v>805</v>
      </c>
      <c r="D800" s="7" t="s">
        <v>809</v>
      </c>
      <c r="E800" s="7">
        <v>9</v>
      </c>
      <c r="F800" s="7" t="s">
        <v>843</v>
      </c>
      <c r="G800" s="7" t="s">
        <v>840</v>
      </c>
      <c r="H800" s="7">
        <v>3776</v>
      </c>
      <c r="I800" s="7" t="s">
        <v>852</v>
      </c>
      <c r="J800" s="8" t="str" cm="1">
        <f t="array" ref="J800">_xlfn.IFS(H800&gt;8000,"PLATINUM",H800&gt;6000,"GOLD",H800&gt;4000,"SILEVER",H800&gt;2000,"NORMAL",H800&gt;500,"BASIC")</f>
        <v>NORMAL</v>
      </c>
    </row>
    <row r="801" spans="1:10" ht="15.6" x14ac:dyDescent="0.3">
      <c r="A801" s="6">
        <v>45714</v>
      </c>
      <c r="B801" s="7" t="s">
        <v>483</v>
      </c>
      <c r="C801" s="7" t="s">
        <v>807</v>
      </c>
      <c r="D801" s="7" t="s">
        <v>820</v>
      </c>
      <c r="E801" s="7">
        <v>12</v>
      </c>
      <c r="F801" s="7" t="s">
        <v>847</v>
      </c>
      <c r="G801" s="7" t="s">
        <v>837</v>
      </c>
      <c r="H801" s="7">
        <v>5402</v>
      </c>
      <c r="I801" s="7" t="s">
        <v>852</v>
      </c>
      <c r="J801" s="8" t="str" cm="1">
        <f t="array" ref="J801">_xlfn.IFS(H801&gt;8000,"PLATINUM",H801&gt;6000,"GOLD",H801&gt;4000,"SILEVER",H801&gt;2000,"NORMAL",H801&gt;500,"BASIC")</f>
        <v>SILEVER</v>
      </c>
    </row>
    <row r="802" spans="1:10" ht="15.6" x14ac:dyDescent="0.3">
      <c r="A802" s="6">
        <v>44877</v>
      </c>
      <c r="B802" s="7" t="s">
        <v>484</v>
      </c>
      <c r="C802" s="7" t="s">
        <v>806</v>
      </c>
      <c r="D802" s="7" t="s">
        <v>811</v>
      </c>
      <c r="E802" s="7">
        <v>16</v>
      </c>
      <c r="F802" s="7" t="s">
        <v>843</v>
      </c>
      <c r="G802" s="7" t="s">
        <v>840</v>
      </c>
      <c r="H802" s="7">
        <v>5165</v>
      </c>
      <c r="I802" s="7" t="s">
        <v>852</v>
      </c>
      <c r="J802" s="8" t="str" cm="1">
        <f t="array" ref="J802">_xlfn.IFS(H802&gt;8000,"PLATINUM",H802&gt;6000,"GOLD",H802&gt;4000,"SILEVER",H802&gt;2000,"NORMAL",H802&gt;500,"BASIC")</f>
        <v>SILEVER</v>
      </c>
    </row>
    <row r="803" spans="1:10" ht="15.6" x14ac:dyDescent="0.3">
      <c r="A803" s="6">
        <v>44877</v>
      </c>
      <c r="B803" s="7" t="s">
        <v>484</v>
      </c>
      <c r="C803" s="7" t="s">
        <v>807</v>
      </c>
      <c r="D803" s="7" t="s">
        <v>820</v>
      </c>
      <c r="E803" s="7">
        <v>4</v>
      </c>
      <c r="F803" s="7" t="s">
        <v>843</v>
      </c>
      <c r="G803" s="7" t="s">
        <v>840</v>
      </c>
      <c r="H803" s="7">
        <v>4863</v>
      </c>
      <c r="I803" s="7" t="s">
        <v>852</v>
      </c>
      <c r="J803" s="8" t="str" cm="1">
        <f t="array" ref="J803">_xlfn.IFS(H803&gt;8000,"PLATINUM",H803&gt;6000,"GOLD",H803&gt;4000,"SILEVER",H803&gt;2000,"NORMAL",H803&gt;500,"BASIC")</f>
        <v>SILEVER</v>
      </c>
    </row>
    <row r="804" spans="1:10" ht="15.6" x14ac:dyDescent="0.3">
      <c r="A804" s="6">
        <v>44354</v>
      </c>
      <c r="B804" s="7" t="s">
        <v>485</v>
      </c>
      <c r="C804" s="7" t="s">
        <v>806</v>
      </c>
      <c r="D804" s="7" t="s">
        <v>811</v>
      </c>
      <c r="E804" s="7">
        <v>15</v>
      </c>
      <c r="F804" s="7" t="s">
        <v>842</v>
      </c>
      <c r="G804" s="7" t="s">
        <v>826</v>
      </c>
      <c r="H804" s="7">
        <v>1626</v>
      </c>
      <c r="I804" s="7" t="s">
        <v>852</v>
      </c>
      <c r="J804" s="8" t="str" cm="1">
        <f t="array" ref="J804">_xlfn.IFS(H804&gt;8000,"PLATINUM",H804&gt;6000,"GOLD",H804&gt;4000,"SILEVER",H804&gt;2000,"NORMAL",H804&gt;500,"BASIC")</f>
        <v>BASIC</v>
      </c>
    </row>
    <row r="805" spans="1:10" ht="15.6" x14ac:dyDescent="0.3">
      <c r="A805" s="6">
        <v>44100</v>
      </c>
      <c r="B805" s="7" t="s">
        <v>486</v>
      </c>
      <c r="C805" s="7" t="s">
        <v>807</v>
      </c>
      <c r="D805" s="7" t="s">
        <v>813</v>
      </c>
      <c r="E805" s="7">
        <v>7</v>
      </c>
      <c r="F805" s="7" t="s">
        <v>842</v>
      </c>
      <c r="G805" s="7" t="s">
        <v>823</v>
      </c>
      <c r="H805" s="7">
        <v>8851</v>
      </c>
      <c r="I805" s="7" t="s">
        <v>852</v>
      </c>
      <c r="J805" s="8" t="str" cm="1">
        <f t="array" ref="J805">_xlfn.IFS(H805&gt;8000,"PLATINUM",H805&gt;6000,"GOLD",H805&gt;4000,"SILEVER",H805&gt;2000,"NORMAL",H805&gt;500,"BASIC")</f>
        <v>PLATINUM</v>
      </c>
    </row>
    <row r="806" spans="1:10" ht="15.6" x14ac:dyDescent="0.3">
      <c r="A806" s="6">
        <v>45411</v>
      </c>
      <c r="B806" s="7" t="s">
        <v>487</v>
      </c>
      <c r="C806" s="7" t="s">
        <v>807</v>
      </c>
      <c r="D806" s="7" t="s">
        <v>813</v>
      </c>
      <c r="E806" s="7">
        <v>9</v>
      </c>
      <c r="F806" s="7" t="s">
        <v>844</v>
      </c>
      <c r="G806" s="7" t="s">
        <v>830</v>
      </c>
      <c r="H806" s="7">
        <v>9680</v>
      </c>
      <c r="I806" s="7" t="s">
        <v>854</v>
      </c>
      <c r="J806" s="8" t="str" cm="1">
        <f t="array" ref="J806">_xlfn.IFS(H806&gt;8000,"PLATINUM",H806&gt;6000,"GOLD",H806&gt;4000,"SILEVER",H806&gt;2000,"NORMAL",H806&gt;500,"BASIC")</f>
        <v>PLATINUM</v>
      </c>
    </row>
    <row r="807" spans="1:10" ht="15.6" x14ac:dyDescent="0.3">
      <c r="A807" s="6">
        <v>45411</v>
      </c>
      <c r="B807" s="7" t="s">
        <v>487</v>
      </c>
      <c r="C807" s="7" t="s">
        <v>806</v>
      </c>
      <c r="D807" s="7" t="s">
        <v>811</v>
      </c>
      <c r="E807" s="7">
        <v>8</v>
      </c>
      <c r="F807" s="7" t="s">
        <v>844</v>
      </c>
      <c r="G807" s="7" t="s">
        <v>830</v>
      </c>
      <c r="H807" s="7">
        <v>8468</v>
      </c>
      <c r="I807" s="7" t="s">
        <v>850</v>
      </c>
      <c r="J807" s="8" t="str" cm="1">
        <f t="array" ref="J807">_xlfn.IFS(H807&gt;8000,"PLATINUM",H807&gt;6000,"GOLD",H807&gt;4000,"SILEVER",H807&gt;2000,"NORMAL",H807&gt;500,"BASIC")</f>
        <v>PLATINUM</v>
      </c>
    </row>
    <row r="808" spans="1:10" ht="15.6" x14ac:dyDescent="0.3">
      <c r="A808" s="6">
        <v>45411</v>
      </c>
      <c r="B808" s="7" t="s">
        <v>487</v>
      </c>
      <c r="C808" s="7" t="s">
        <v>807</v>
      </c>
      <c r="D808" s="7" t="s">
        <v>814</v>
      </c>
      <c r="E808" s="7">
        <v>14</v>
      </c>
      <c r="F808" s="7" t="s">
        <v>844</v>
      </c>
      <c r="G808" s="7" t="s">
        <v>830</v>
      </c>
      <c r="H808" s="7">
        <v>4441</v>
      </c>
      <c r="I808" s="7" t="s">
        <v>851</v>
      </c>
      <c r="J808" s="8" t="str" cm="1">
        <f t="array" ref="J808">_xlfn.IFS(H808&gt;8000,"PLATINUM",H808&gt;6000,"GOLD",H808&gt;4000,"SILEVER",H808&gt;2000,"NORMAL",H808&gt;500,"BASIC")</f>
        <v>SILEVER</v>
      </c>
    </row>
    <row r="809" spans="1:10" ht="15.6" x14ac:dyDescent="0.3">
      <c r="A809" s="6">
        <v>45392</v>
      </c>
      <c r="B809" s="7" t="s">
        <v>488</v>
      </c>
      <c r="C809" s="7" t="s">
        <v>807</v>
      </c>
      <c r="D809" s="7" t="s">
        <v>816</v>
      </c>
      <c r="E809" s="7">
        <v>8</v>
      </c>
      <c r="F809" s="7" t="s">
        <v>844</v>
      </c>
      <c r="G809" s="7" t="s">
        <v>828</v>
      </c>
      <c r="H809" s="7">
        <v>6622</v>
      </c>
      <c r="I809" s="7" t="s">
        <v>854</v>
      </c>
      <c r="J809" s="8" t="str" cm="1">
        <f t="array" ref="J809">_xlfn.IFS(H809&gt;8000,"PLATINUM",H809&gt;6000,"GOLD",H809&gt;4000,"SILEVER",H809&gt;2000,"NORMAL",H809&gt;500,"BASIC")</f>
        <v>GOLD</v>
      </c>
    </row>
    <row r="810" spans="1:10" ht="15.6" x14ac:dyDescent="0.3">
      <c r="A810" s="6">
        <v>45281</v>
      </c>
      <c r="B810" s="7" t="s">
        <v>489</v>
      </c>
      <c r="C810" s="7" t="s">
        <v>807</v>
      </c>
      <c r="D810" s="7" t="s">
        <v>813</v>
      </c>
      <c r="E810" s="7">
        <v>17</v>
      </c>
      <c r="F810" s="7" t="s">
        <v>845</v>
      </c>
      <c r="G810" s="7" t="s">
        <v>832</v>
      </c>
      <c r="H810" s="7">
        <v>3260</v>
      </c>
      <c r="I810" s="7" t="s">
        <v>850</v>
      </c>
      <c r="J810" s="8" t="str" cm="1">
        <f t="array" ref="J810">_xlfn.IFS(H810&gt;8000,"PLATINUM",H810&gt;6000,"GOLD",H810&gt;4000,"SILEVER",H810&gt;2000,"NORMAL",H810&gt;500,"BASIC")</f>
        <v>NORMAL</v>
      </c>
    </row>
    <row r="811" spans="1:10" ht="15.6" x14ac:dyDescent="0.3">
      <c r="A811" s="6">
        <v>45414</v>
      </c>
      <c r="B811" s="7" t="s">
        <v>490</v>
      </c>
      <c r="C811" s="7" t="s">
        <v>807</v>
      </c>
      <c r="D811" s="7" t="s">
        <v>813</v>
      </c>
      <c r="E811" s="7">
        <v>8</v>
      </c>
      <c r="F811" s="7" t="s">
        <v>846</v>
      </c>
      <c r="G811" s="7" t="s">
        <v>833</v>
      </c>
      <c r="H811" s="7">
        <v>8709</v>
      </c>
      <c r="I811" s="7" t="s">
        <v>851</v>
      </c>
      <c r="J811" s="8" t="str" cm="1">
        <f t="array" ref="J811">_xlfn.IFS(H811&gt;8000,"PLATINUM",H811&gt;6000,"GOLD",H811&gt;4000,"SILEVER",H811&gt;2000,"NORMAL",H811&gt;500,"BASIC")</f>
        <v>PLATINUM</v>
      </c>
    </row>
    <row r="812" spans="1:10" ht="15.6" x14ac:dyDescent="0.3">
      <c r="A812" s="6">
        <v>45617</v>
      </c>
      <c r="B812" s="7" t="s">
        <v>491</v>
      </c>
      <c r="C812" s="7" t="s">
        <v>807</v>
      </c>
      <c r="D812" s="7" t="s">
        <v>813</v>
      </c>
      <c r="E812" s="7">
        <v>8</v>
      </c>
      <c r="F812" s="7" t="s">
        <v>845</v>
      </c>
      <c r="G812" s="7" t="s">
        <v>834</v>
      </c>
      <c r="H812" s="7">
        <v>8709</v>
      </c>
      <c r="I812" s="7" t="s">
        <v>851</v>
      </c>
      <c r="J812" s="8" t="str" cm="1">
        <f t="array" ref="J812">_xlfn.IFS(H812&gt;8000,"PLATINUM",H812&gt;6000,"GOLD",H812&gt;4000,"SILEVER",H812&gt;2000,"NORMAL",H812&gt;500,"BASIC")</f>
        <v>PLATINUM</v>
      </c>
    </row>
    <row r="813" spans="1:10" ht="15.6" x14ac:dyDescent="0.3">
      <c r="A813" s="6">
        <v>44637</v>
      </c>
      <c r="B813" s="7" t="s">
        <v>492</v>
      </c>
      <c r="C813" s="7" t="s">
        <v>806</v>
      </c>
      <c r="D813" s="7" t="s">
        <v>818</v>
      </c>
      <c r="E813" s="7">
        <v>1</v>
      </c>
      <c r="F813" s="7" t="s">
        <v>847</v>
      </c>
      <c r="G813" s="7" t="s">
        <v>836</v>
      </c>
      <c r="H813" s="7">
        <v>5250</v>
      </c>
      <c r="I813" s="7" t="s">
        <v>854</v>
      </c>
      <c r="J813" s="8" t="str" cm="1">
        <f t="array" ref="J813">_xlfn.IFS(H813&gt;8000,"PLATINUM",H813&gt;6000,"GOLD",H813&gt;4000,"SILEVER",H813&gt;2000,"NORMAL",H813&gt;500,"BASIC")</f>
        <v>SILEVER</v>
      </c>
    </row>
    <row r="814" spans="1:10" ht="15.6" x14ac:dyDescent="0.3">
      <c r="A814" s="6">
        <v>45060</v>
      </c>
      <c r="B814" s="7" t="s">
        <v>493</v>
      </c>
      <c r="C814" s="7" t="s">
        <v>806</v>
      </c>
      <c r="D814" s="7" t="s">
        <v>818</v>
      </c>
      <c r="E814" s="7">
        <v>1</v>
      </c>
      <c r="F814" s="7" t="s">
        <v>846</v>
      </c>
      <c r="G814" s="7" t="s">
        <v>838</v>
      </c>
      <c r="H814" s="7">
        <v>5250</v>
      </c>
      <c r="I814" s="7" t="s">
        <v>854</v>
      </c>
      <c r="J814" s="8" t="str" cm="1">
        <f t="array" ref="J814">_xlfn.IFS(H814&gt;8000,"PLATINUM",H814&gt;6000,"GOLD",H814&gt;4000,"SILEVER",H814&gt;2000,"NORMAL",H814&gt;500,"BASIC")</f>
        <v>SILEVER</v>
      </c>
    </row>
    <row r="815" spans="1:10" ht="15.6" x14ac:dyDescent="0.3">
      <c r="A815" s="6">
        <v>45572</v>
      </c>
      <c r="B815" s="7" t="s">
        <v>494</v>
      </c>
      <c r="C815" s="7" t="s">
        <v>806</v>
      </c>
      <c r="D815" s="7" t="s">
        <v>817</v>
      </c>
      <c r="E815" s="7">
        <v>20</v>
      </c>
      <c r="F815" s="7" t="s">
        <v>845</v>
      </c>
      <c r="G815" s="7" t="s">
        <v>827</v>
      </c>
      <c r="H815" s="7">
        <v>4116</v>
      </c>
      <c r="I815" s="7" t="s">
        <v>850</v>
      </c>
      <c r="J815" s="8" t="str" cm="1">
        <f t="array" ref="J815">_xlfn.IFS(H815&gt;8000,"PLATINUM",H815&gt;6000,"GOLD",H815&gt;4000,"SILEVER",H815&gt;2000,"NORMAL",H815&gt;500,"BASIC")</f>
        <v>SILEVER</v>
      </c>
    </row>
    <row r="816" spans="1:10" ht="15.6" x14ac:dyDescent="0.3">
      <c r="A816" s="6">
        <v>44082</v>
      </c>
      <c r="B816" s="7" t="s">
        <v>495</v>
      </c>
      <c r="C816" s="7" t="s">
        <v>806</v>
      </c>
      <c r="D816" s="7" t="s">
        <v>817</v>
      </c>
      <c r="E816" s="7">
        <v>20</v>
      </c>
      <c r="F816" s="7" t="s">
        <v>843</v>
      </c>
      <c r="G816" s="7" t="s">
        <v>829</v>
      </c>
      <c r="H816" s="7">
        <v>4116</v>
      </c>
      <c r="I816" s="7" t="s">
        <v>850</v>
      </c>
      <c r="J816" s="8" t="str" cm="1">
        <f t="array" ref="J816">_xlfn.IFS(H816&gt;8000,"PLATINUM",H816&gt;6000,"GOLD",H816&gt;4000,"SILEVER",H816&gt;2000,"NORMAL",H816&gt;500,"BASIC")</f>
        <v>SILEVER</v>
      </c>
    </row>
    <row r="817" spans="1:10" ht="15.6" x14ac:dyDescent="0.3">
      <c r="A817" s="6">
        <v>44427</v>
      </c>
      <c r="B817" s="7" t="s">
        <v>496</v>
      </c>
      <c r="C817" s="7" t="s">
        <v>806</v>
      </c>
      <c r="D817" s="7" t="s">
        <v>817</v>
      </c>
      <c r="E817" s="7">
        <v>15</v>
      </c>
      <c r="F817" s="7" t="s">
        <v>845</v>
      </c>
      <c r="G817" s="7" t="s">
        <v>827</v>
      </c>
      <c r="H817" s="7">
        <v>1109</v>
      </c>
      <c r="I817" s="7" t="s">
        <v>850</v>
      </c>
      <c r="J817" s="8" t="str" cm="1">
        <f t="array" ref="J817">_xlfn.IFS(H817&gt;8000,"PLATINUM",H817&gt;6000,"GOLD",H817&gt;4000,"SILEVER",H817&gt;2000,"NORMAL",H817&gt;500,"BASIC")</f>
        <v>BASIC</v>
      </c>
    </row>
    <row r="818" spans="1:10" ht="15.6" x14ac:dyDescent="0.3">
      <c r="A818" s="6">
        <v>44846</v>
      </c>
      <c r="B818" s="7" t="s">
        <v>203</v>
      </c>
      <c r="C818" s="7" t="s">
        <v>806</v>
      </c>
      <c r="D818" s="7" t="s">
        <v>811</v>
      </c>
      <c r="E818" s="7">
        <v>7</v>
      </c>
      <c r="F818" s="7" t="s">
        <v>844</v>
      </c>
      <c r="G818" s="7" t="s">
        <v>830</v>
      </c>
      <c r="H818" s="7">
        <v>3573</v>
      </c>
      <c r="I818" s="7" t="s">
        <v>852</v>
      </c>
      <c r="J818" s="8" t="str" cm="1">
        <f t="array" ref="J818">_xlfn.IFS(H818&gt;8000,"PLATINUM",H818&gt;6000,"GOLD",H818&gt;4000,"SILEVER",H818&gt;2000,"NORMAL",H818&gt;500,"BASIC")</f>
        <v>NORMAL</v>
      </c>
    </row>
    <row r="819" spans="1:10" ht="15.6" x14ac:dyDescent="0.3">
      <c r="A819" s="6">
        <v>43974</v>
      </c>
      <c r="B819" s="7" t="s">
        <v>497</v>
      </c>
      <c r="C819" s="7" t="s">
        <v>806</v>
      </c>
      <c r="D819" s="7" t="s">
        <v>811</v>
      </c>
      <c r="E819" s="7">
        <v>7</v>
      </c>
      <c r="F819" s="7" t="s">
        <v>845</v>
      </c>
      <c r="G819" s="7" t="s">
        <v>832</v>
      </c>
      <c r="H819" s="7">
        <v>3573</v>
      </c>
      <c r="I819" s="7" t="s">
        <v>852</v>
      </c>
      <c r="J819" s="8" t="str" cm="1">
        <f t="array" ref="J819">_xlfn.IFS(H819&gt;8000,"PLATINUM",H819&gt;6000,"GOLD",H819&gt;4000,"SILEVER",H819&gt;2000,"NORMAL",H819&gt;500,"BASIC")</f>
        <v>NORMAL</v>
      </c>
    </row>
    <row r="820" spans="1:10" ht="15.6" x14ac:dyDescent="0.3">
      <c r="A820" s="6">
        <v>43939</v>
      </c>
      <c r="B820" s="7" t="s">
        <v>498</v>
      </c>
      <c r="C820" s="7" t="s">
        <v>806</v>
      </c>
      <c r="D820" s="7" t="s">
        <v>811</v>
      </c>
      <c r="E820" s="7">
        <v>7</v>
      </c>
      <c r="F820" s="7" t="s">
        <v>842</v>
      </c>
      <c r="G820" s="7" t="s">
        <v>839</v>
      </c>
      <c r="H820" s="7">
        <v>3573</v>
      </c>
      <c r="I820" s="7" t="s">
        <v>852</v>
      </c>
      <c r="J820" s="8" t="str" cm="1">
        <f t="array" ref="J820">_xlfn.IFS(H820&gt;8000,"PLATINUM",H820&gt;6000,"GOLD",H820&gt;4000,"SILEVER",H820&gt;2000,"NORMAL",H820&gt;500,"BASIC")</f>
        <v>NORMAL</v>
      </c>
    </row>
    <row r="821" spans="1:10" ht="15.6" x14ac:dyDescent="0.3">
      <c r="A821" s="6">
        <v>44846</v>
      </c>
      <c r="B821" s="7" t="s">
        <v>203</v>
      </c>
      <c r="C821" s="7" t="s">
        <v>805</v>
      </c>
      <c r="D821" s="7" t="s">
        <v>819</v>
      </c>
      <c r="E821" s="7">
        <v>10</v>
      </c>
      <c r="F821" s="7" t="s">
        <v>844</v>
      </c>
      <c r="G821" s="7" t="s">
        <v>830</v>
      </c>
      <c r="H821" s="7">
        <v>8055</v>
      </c>
      <c r="I821" s="7" t="s">
        <v>852</v>
      </c>
      <c r="J821" s="8" t="str" cm="1">
        <f t="array" ref="J821">_xlfn.IFS(H821&gt;8000,"PLATINUM",H821&gt;6000,"GOLD",H821&gt;4000,"SILEVER",H821&gt;2000,"NORMAL",H821&gt;500,"BASIC")</f>
        <v>PLATINUM</v>
      </c>
    </row>
    <row r="822" spans="1:10" ht="15.6" x14ac:dyDescent="0.3">
      <c r="A822" s="6">
        <v>43974</v>
      </c>
      <c r="B822" s="7" t="s">
        <v>497</v>
      </c>
      <c r="C822" s="7" t="s">
        <v>805</v>
      </c>
      <c r="D822" s="7" t="s">
        <v>819</v>
      </c>
      <c r="E822" s="7">
        <v>10</v>
      </c>
      <c r="F822" s="7" t="s">
        <v>845</v>
      </c>
      <c r="G822" s="7" t="s">
        <v>832</v>
      </c>
      <c r="H822" s="7">
        <v>8055</v>
      </c>
      <c r="I822" s="7" t="s">
        <v>852</v>
      </c>
      <c r="J822" s="8" t="str" cm="1">
        <f t="array" ref="J822">_xlfn.IFS(H822&gt;8000,"PLATINUM",H822&gt;6000,"GOLD",H822&gt;4000,"SILEVER",H822&gt;2000,"NORMAL",H822&gt;500,"BASIC")</f>
        <v>PLATINUM</v>
      </c>
    </row>
    <row r="823" spans="1:10" ht="15.6" x14ac:dyDescent="0.3">
      <c r="A823" s="6">
        <v>43939</v>
      </c>
      <c r="B823" s="7" t="s">
        <v>498</v>
      </c>
      <c r="C823" s="7" t="s">
        <v>805</v>
      </c>
      <c r="D823" s="7" t="s">
        <v>819</v>
      </c>
      <c r="E823" s="7">
        <v>10</v>
      </c>
      <c r="F823" s="7" t="s">
        <v>842</v>
      </c>
      <c r="G823" s="7" t="s">
        <v>839</v>
      </c>
      <c r="H823" s="7">
        <v>8055</v>
      </c>
      <c r="I823" s="7" t="s">
        <v>852</v>
      </c>
      <c r="J823" s="8" t="str" cm="1">
        <f t="array" ref="J823">_xlfn.IFS(H823&gt;8000,"PLATINUM",H823&gt;6000,"GOLD",H823&gt;4000,"SILEVER",H823&gt;2000,"NORMAL",H823&gt;500,"BASIC")</f>
        <v>PLATINUM</v>
      </c>
    </row>
    <row r="824" spans="1:10" ht="15.6" x14ac:dyDescent="0.3">
      <c r="A824" s="6">
        <v>44716</v>
      </c>
      <c r="B824" s="7" t="s">
        <v>499</v>
      </c>
      <c r="C824" s="7" t="s">
        <v>805</v>
      </c>
      <c r="D824" s="7" t="s">
        <v>812</v>
      </c>
      <c r="E824" s="7">
        <v>2</v>
      </c>
      <c r="F824" s="7" t="s">
        <v>845</v>
      </c>
      <c r="G824" s="7" t="s">
        <v>834</v>
      </c>
      <c r="H824" s="7">
        <v>6829</v>
      </c>
      <c r="I824" s="7" t="s">
        <v>852</v>
      </c>
      <c r="J824" s="8" t="str" cm="1">
        <f t="array" ref="J824">_xlfn.IFS(H824&gt;8000,"PLATINUM",H824&gt;6000,"GOLD",H824&gt;4000,"SILEVER",H824&gt;2000,"NORMAL",H824&gt;500,"BASIC")</f>
        <v>GOLD</v>
      </c>
    </row>
    <row r="825" spans="1:10" ht="15.6" x14ac:dyDescent="0.3">
      <c r="A825" s="6">
        <v>44716</v>
      </c>
      <c r="B825" s="7" t="s">
        <v>499</v>
      </c>
      <c r="C825" s="7" t="s">
        <v>806</v>
      </c>
      <c r="D825" s="7" t="s">
        <v>817</v>
      </c>
      <c r="E825" s="7">
        <v>12</v>
      </c>
      <c r="F825" s="7" t="s">
        <v>845</v>
      </c>
      <c r="G825" s="7" t="s">
        <v>834</v>
      </c>
      <c r="H825" s="7">
        <v>6390</v>
      </c>
      <c r="I825" s="7" t="s">
        <v>854</v>
      </c>
      <c r="J825" s="8" t="str" cm="1">
        <f t="array" ref="J825">_xlfn.IFS(H825&gt;8000,"PLATINUM",H825&gt;6000,"GOLD",H825&gt;4000,"SILEVER",H825&gt;2000,"NORMAL",H825&gt;500,"BASIC")</f>
        <v>GOLD</v>
      </c>
    </row>
    <row r="826" spans="1:10" ht="15.6" x14ac:dyDescent="0.3">
      <c r="A826" s="6">
        <v>44881</v>
      </c>
      <c r="B826" s="7" t="s">
        <v>500</v>
      </c>
      <c r="C826" s="7" t="s">
        <v>806</v>
      </c>
      <c r="D826" s="7" t="s">
        <v>811</v>
      </c>
      <c r="E826" s="7">
        <v>17</v>
      </c>
      <c r="F826" s="7" t="s">
        <v>845</v>
      </c>
      <c r="G826" s="7" t="s">
        <v>834</v>
      </c>
      <c r="H826" s="7">
        <v>5831</v>
      </c>
      <c r="I826" s="7" t="s">
        <v>851</v>
      </c>
      <c r="J826" s="8" t="str" cm="1">
        <f t="array" ref="J826">_xlfn.IFS(H826&gt;8000,"PLATINUM",H826&gt;6000,"GOLD",H826&gt;4000,"SILEVER",H826&gt;2000,"NORMAL",H826&gt;500,"BASIC")</f>
        <v>SILEVER</v>
      </c>
    </row>
    <row r="827" spans="1:10" ht="15.6" x14ac:dyDescent="0.3">
      <c r="A827" s="6">
        <v>45491</v>
      </c>
      <c r="B827" s="7" t="s">
        <v>501</v>
      </c>
      <c r="C827" s="7" t="s">
        <v>806</v>
      </c>
      <c r="D827" s="7" t="s">
        <v>811</v>
      </c>
      <c r="E827" s="7">
        <v>17</v>
      </c>
      <c r="F827" s="7" t="s">
        <v>845</v>
      </c>
      <c r="G827" s="7" t="s">
        <v>832</v>
      </c>
      <c r="H827" s="7">
        <v>5831</v>
      </c>
      <c r="I827" s="7" t="s">
        <v>851</v>
      </c>
      <c r="J827" s="8" t="str" cm="1">
        <f t="array" ref="J827">_xlfn.IFS(H827&gt;8000,"PLATINUM",H827&gt;6000,"GOLD",H827&gt;4000,"SILEVER",H827&gt;2000,"NORMAL",H827&gt;500,"BASIC")</f>
        <v>SILEVER</v>
      </c>
    </row>
    <row r="828" spans="1:10" ht="15.6" x14ac:dyDescent="0.3">
      <c r="A828" s="6">
        <v>45123</v>
      </c>
      <c r="B828" s="7" t="s">
        <v>502</v>
      </c>
      <c r="C828" s="7" t="s">
        <v>806</v>
      </c>
      <c r="D828" s="7" t="s">
        <v>811</v>
      </c>
      <c r="E828" s="7">
        <v>17</v>
      </c>
      <c r="F828" s="7" t="s">
        <v>842</v>
      </c>
      <c r="G828" s="7" t="s">
        <v>823</v>
      </c>
      <c r="H828" s="7">
        <v>5831</v>
      </c>
      <c r="I828" s="7" t="s">
        <v>851</v>
      </c>
      <c r="J828" s="8" t="str" cm="1">
        <f t="array" ref="J828">_xlfn.IFS(H828&gt;8000,"PLATINUM",H828&gt;6000,"GOLD",H828&gt;4000,"SILEVER",H828&gt;2000,"NORMAL",H828&gt;500,"BASIC")</f>
        <v>SILEVER</v>
      </c>
    </row>
    <row r="829" spans="1:10" ht="15.6" x14ac:dyDescent="0.3">
      <c r="A829" s="6">
        <v>44053</v>
      </c>
      <c r="B829" s="7" t="s">
        <v>503</v>
      </c>
      <c r="C829" s="7" t="s">
        <v>807</v>
      </c>
      <c r="D829" s="7" t="s">
        <v>816</v>
      </c>
      <c r="E829" s="7">
        <v>8</v>
      </c>
      <c r="F829" s="7" t="s">
        <v>843</v>
      </c>
      <c r="G829" s="7" t="s">
        <v>840</v>
      </c>
      <c r="H829" s="7">
        <v>7952</v>
      </c>
      <c r="I829" s="7" t="s">
        <v>851</v>
      </c>
      <c r="J829" s="8" t="str" cm="1">
        <f t="array" ref="J829">_xlfn.IFS(H829&gt;8000,"PLATINUM",H829&gt;6000,"GOLD",H829&gt;4000,"SILEVER",H829&gt;2000,"NORMAL",H829&gt;500,"BASIC")</f>
        <v>GOLD</v>
      </c>
    </row>
    <row r="830" spans="1:10" ht="15.6" x14ac:dyDescent="0.3">
      <c r="A830" s="6">
        <v>45465</v>
      </c>
      <c r="B830" s="7" t="s">
        <v>504</v>
      </c>
      <c r="C830" s="7" t="s">
        <v>807</v>
      </c>
      <c r="D830" s="7" t="s">
        <v>820</v>
      </c>
      <c r="E830" s="7">
        <v>5</v>
      </c>
      <c r="F830" s="7" t="s">
        <v>845</v>
      </c>
      <c r="G830" s="7" t="s">
        <v>827</v>
      </c>
      <c r="H830" s="7">
        <v>3659</v>
      </c>
      <c r="I830" s="7" t="s">
        <v>850</v>
      </c>
      <c r="J830" s="8" t="str" cm="1">
        <f t="array" ref="J830">_xlfn.IFS(H830&gt;8000,"PLATINUM",H830&gt;6000,"GOLD",H830&gt;4000,"SILEVER",H830&gt;2000,"NORMAL",H830&gt;500,"BASIC")</f>
        <v>NORMAL</v>
      </c>
    </row>
    <row r="831" spans="1:10" ht="15.6" x14ac:dyDescent="0.3">
      <c r="A831" s="6">
        <v>44025</v>
      </c>
      <c r="B831" s="7" t="s">
        <v>505</v>
      </c>
      <c r="C831" s="7" t="s">
        <v>806</v>
      </c>
      <c r="D831" s="7" t="s">
        <v>811</v>
      </c>
      <c r="E831" s="7">
        <v>4</v>
      </c>
      <c r="F831" s="7" t="s">
        <v>843</v>
      </c>
      <c r="G831" s="7" t="s">
        <v>829</v>
      </c>
      <c r="H831" s="7">
        <v>4183</v>
      </c>
      <c r="I831" s="7" t="s">
        <v>851</v>
      </c>
      <c r="J831" s="8" t="str" cm="1">
        <f t="array" ref="J831">_xlfn.IFS(H831&gt;8000,"PLATINUM",H831&gt;6000,"GOLD",H831&gt;4000,"SILEVER",H831&gt;2000,"NORMAL",H831&gt;500,"BASIC")</f>
        <v>SILEVER</v>
      </c>
    </row>
    <row r="832" spans="1:10" ht="15.6" x14ac:dyDescent="0.3">
      <c r="A832" s="6">
        <v>45398</v>
      </c>
      <c r="B832" s="7" t="s">
        <v>506</v>
      </c>
      <c r="C832" s="7" t="s">
        <v>805</v>
      </c>
      <c r="D832" s="7" t="s">
        <v>819</v>
      </c>
      <c r="E832" s="7">
        <v>11</v>
      </c>
      <c r="F832" s="7" t="s">
        <v>846</v>
      </c>
      <c r="G832" s="7" t="s">
        <v>838</v>
      </c>
      <c r="H832" s="7">
        <v>7478</v>
      </c>
      <c r="I832" s="7" t="s">
        <v>852</v>
      </c>
      <c r="J832" s="8" t="str" cm="1">
        <f t="array" ref="J832">_xlfn.IFS(H832&gt;8000,"PLATINUM",H832&gt;6000,"GOLD",H832&gt;4000,"SILEVER",H832&gt;2000,"NORMAL",H832&gt;500,"BASIC")</f>
        <v>GOLD</v>
      </c>
    </row>
    <row r="833" spans="1:10" ht="15.6" x14ac:dyDescent="0.3">
      <c r="A833" s="6">
        <v>44268</v>
      </c>
      <c r="B833" s="7" t="s">
        <v>507</v>
      </c>
      <c r="C833" s="7" t="s">
        <v>805</v>
      </c>
      <c r="D833" s="7" t="s">
        <v>819</v>
      </c>
      <c r="E833" s="7">
        <v>9</v>
      </c>
      <c r="F833" s="7" t="s">
        <v>842</v>
      </c>
      <c r="G833" s="7" t="s">
        <v>839</v>
      </c>
      <c r="H833" s="7">
        <v>702</v>
      </c>
      <c r="I833" s="7" t="s">
        <v>854</v>
      </c>
      <c r="J833" s="8" t="str" cm="1">
        <f t="array" ref="J833">_xlfn.IFS(H833&gt;8000,"PLATINUM",H833&gt;6000,"GOLD",H833&gt;4000,"SILEVER",H833&gt;2000,"NORMAL",H833&gt;500,"BASIC")</f>
        <v>BASIC</v>
      </c>
    </row>
    <row r="834" spans="1:10" ht="15.6" x14ac:dyDescent="0.3">
      <c r="A834" s="6">
        <v>45017</v>
      </c>
      <c r="B834" s="7" t="s">
        <v>508</v>
      </c>
      <c r="C834" s="7" t="s">
        <v>807</v>
      </c>
      <c r="D834" s="7" t="s">
        <v>814</v>
      </c>
      <c r="E834" s="7">
        <v>15</v>
      </c>
      <c r="F834" s="7" t="s">
        <v>845</v>
      </c>
      <c r="G834" s="7" t="s">
        <v>834</v>
      </c>
      <c r="H834" s="7">
        <v>4037</v>
      </c>
      <c r="I834" s="7" t="s">
        <v>852</v>
      </c>
      <c r="J834" s="8" t="str" cm="1">
        <f t="array" ref="J834">_xlfn.IFS(H834&gt;8000,"PLATINUM",H834&gt;6000,"GOLD",H834&gt;4000,"SILEVER",H834&gt;2000,"NORMAL",H834&gt;500,"BASIC")</f>
        <v>SILEVER</v>
      </c>
    </row>
    <row r="835" spans="1:10" ht="15.6" x14ac:dyDescent="0.3">
      <c r="A835" s="6">
        <v>44145</v>
      </c>
      <c r="B835" s="7" t="s">
        <v>509</v>
      </c>
      <c r="C835" s="7" t="s">
        <v>807</v>
      </c>
      <c r="D835" s="7" t="s">
        <v>814</v>
      </c>
      <c r="E835" s="7">
        <v>2</v>
      </c>
      <c r="F835" s="7" t="s">
        <v>843</v>
      </c>
      <c r="G835" s="7" t="s">
        <v>824</v>
      </c>
      <c r="H835" s="7">
        <v>5014</v>
      </c>
      <c r="I835" s="7" t="s">
        <v>854</v>
      </c>
      <c r="J835" s="8" t="str" cm="1">
        <f t="array" ref="J835">_xlfn.IFS(H835&gt;8000,"PLATINUM",H835&gt;6000,"GOLD",H835&gt;4000,"SILEVER",H835&gt;2000,"NORMAL",H835&gt;500,"BASIC")</f>
        <v>SILEVER</v>
      </c>
    </row>
    <row r="836" spans="1:10" ht="15.6" x14ac:dyDescent="0.3">
      <c r="A836" s="6">
        <v>45085</v>
      </c>
      <c r="B836" s="7" t="s">
        <v>510</v>
      </c>
      <c r="C836" s="7" t="s">
        <v>805</v>
      </c>
      <c r="D836" s="7" t="s">
        <v>812</v>
      </c>
      <c r="E836" s="7">
        <v>15</v>
      </c>
      <c r="F836" s="7" t="s">
        <v>844</v>
      </c>
      <c r="G836" s="7" t="s">
        <v>830</v>
      </c>
      <c r="H836" s="7">
        <v>9879</v>
      </c>
      <c r="I836" s="7" t="s">
        <v>851</v>
      </c>
      <c r="J836" s="8" t="str" cm="1">
        <f t="array" ref="J836">_xlfn.IFS(H836&gt;8000,"PLATINUM",H836&gt;6000,"GOLD",H836&gt;4000,"SILEVER",H836&gt;2000,"NORMAL",H836&gt;500,"BASIC")</f>
        <v>PLATINUM</v>
      </c>
    </row>
    <row r="837" spans="1:10" ht="15.6" x14ac:dyDescent="0.3">
      <c r="A837" s="6">
        <v>44425</v>
      </c>
      <c r="B837" s="7" t="s">
        <v>511</v>
      </c>
      <c r="C837" s="7" t="s">
        <v>805</v>
      </c>
      <c r="D837" s="7" t="s">
        <v>819</v>
      </c>
      <c r="E837" s="7">
        <v>1</v>
      </c>
      <c r="F837" s="7" t="s">
        <v>842</v>
      </c>
      <c r="G837" s="7" t="s">
        <v>839</v>
      </c>
      <c r="H837" s="7">
        <v>8762</v>
      </c>
      <c r="I837" s="7" t="s">
        <v>851</v>
      </c>
      <c r="J837" s="8" t="str" cm="1">
        <f t="array" ref="J837">_xlfn.IFS(H837&gt;8000,"PLATINUM",H837&gt;6000,"GOLD",H837&gt;4000,"SILEVER",H837&gt;2000,"NORMAL",H837&gt;500,"BASIC")</f>
        <v>PLATINUM</v>
      </c>
    </row>
    <row r="838" spans="1:10" ht="15.6" x14ac:dyDescent="0.3">
      <c r="A838" s="6">
        <v>43975</v>
      </c>
      <c r="B838" s="7" t="s">
        <v>512</v>
      </c>
      <c r="C838" s="7" t="s">
        <v>806</v>
      </c>
      <c r="D838" s="7" t="s">
        <v>811</v>
      </c>
      <c r="E838" s="7">
        <v>1</v>
      </c>
      <c r="F838" s="7" t="s">
        <v>844</v>
      </c>
      <c r="G838" s="7" t="s">
        <v>828</v>
      </c>
      <c r="H838" s="7">
        <v>8490</v>
      </c>
      <c r="I838" s="7" t="s">
        <v>852</v>
      </c>
      <c r="J838" s="8" t="str" cm="1">
        <f t="array" ref="J838">_xlfn.IFS(H838&gt;8000,"PLATINUM",H838&gt;6000,"GOLD",H838&gt;4000,"SILEVER",H838&gt;2000,"NORMAL",H838&gt;500,"BASIC")</f>
        <v>PLATINUM</v>
      </c>
    </row>
    <row r="839" spans="1:10" ht="15.6" x14ac:dyDescent="0.3">
      <c r="A839" s="6">
        <v>44420</v>
      </c>
      <c r="B839" s="7" t="s">
        <v>513</v>
      </c>
      <c r="C839" s="7" t="s">
        <v>807</v>
      </c>
      <c r="D839" s="7" t="s">
        <v>816</v>
      </c>
      <c r="E839" s="7">
        <v>10</v>
      </c>
      <c r="F839" s="7" t="s">
        <v>844</v>
      </c>
      <c r="G839" s="7" t="s">
        <v>825</v>
      </c>
      <c r="H839" s="7">
        <v>6951</v>
      </c>
      <c r="I839" s="7" t="s">
        <v>850</v>
      </c>
      <c r="J839" s="8" t="str" cm="1">
        <f t="array" ref="J839">_xlfn.IFS(H839&gt;8000,"PLATINUM",H839&gt;6000,"GOLD",H839&gt;4000,"SILEVER",H839&gt;2000,"NORMAL",H839&gt;500,"BASIC")</f>
        <v>GOLD</v>
      </c>
    </row>
    <row r="840" spans="1:10" ht="15.6" x14ac:dyDescent="0.3">
      <c r="A840" s="6">
        <v>44807</v>
      </c>
      <c r="B840" s="7" t="s">
        <v>514</v>
      </c>
      <c r="C840" s="7" t="s">
        <v>805</v>
      </c>
      <c r="D840" s="7" t="s">
        <v>819</v>
      </c>
      <c r="E840" s="7">
        <v>3</v>
      </c>
      <c r="F840" s="7" t="s">
        <v>847</v>
      </c>
      <c r="G840" s="7" t="s">
        <v>837</v>
      </c>
      <c r="H840" s="7">
        <v>1078</v>
      </c>
      <c r="I840" s="7" t="s">
        <v>853</v>
      </c>
      <c r="J840" s="8" t="str" cm="1">
        <f t="array" ref="J840">_xlfn.IFS(H840&gt;8000,"PLATINUM",H840&gt;6000,"GOLD",H840&gt;4000,"SILEVER",H840&gt;2000,"NORMAL",H840&gt;500,"BASIC")</f>
        <v>BASIC</v>
      </c>
    </row>
    <row r="841" spans="1:10" ht="15.6" x14ac:dyDescent="0.3">
      <c r="A841" s="6">
        <v>44105</v>
      </c>
      <c r="B841" s="7" t="s">
        <v>515</v>
      </c>
      <c r="C841" s="7" t="s">
        <v>805</v>
      </c>
      <c r="D841" s="7" t="s">
        <v>819</v>
      </c>
      <c r="E841" s="7">
        <v>3</v>
      </c>
      <c r="F841" s="7" t="s">
        <v>843</v>
      </c>
      <c r="G841" s="7" t="s">
        <v>824</v>
      </c>
      <c r="H841" s="7">
        <v>1078</v>
      </c>
      <c r="I841" s="7" t="s">
        <v>853</v>
      </c>
      <c r="J841" s="8" t="str" cm="1">
        <f t="array" ref="J841">_xlfn.IFS(H841&gt;8000,"PLATINUM",H841&gt;6000,"GOLD",H841&gt;4000,"SILEVER",H841&gt;2000,"NORMAL",H841&gt;500,"BASIC")</f>
        <v>BASIC</v>
      </c>
    </row>
    <row r="842" spans="1:10" ht="15.6" x14ac:dyDescent="0.3">
      <c r="A842" s="6">
        <v>44708</v>
      </c>
      <c r="B842" s="7" t="s">
        <v>516</v>
      </c>
      <c r="C842" s="7" t="s">
        <v>806</v>
      </c>
      <c r="D842" s="7" t="s">
        <v>818</v>
      </c>
      <c r="E842" s="7">
        <v>19</v>
      </c>
      <c r="F842" s="7" t="s">
        <v>842</v>
      </c>
      <c r="G842" s="7" t="s">
        <v>839</v>
      </c>
      <c r="H842" s="7">
        <v>8560</v>
      </c>
      <c r="I842" s="7" t="s">
        <v>852</v>
      </c>
      <c r="J842" s="8" t="str" cm="1">
        <f t="array" ref="J842">_xlfn.IFS(H842&gt;8000,"PLATINUM",H842&gt;6000,"GOLD",H842&gt;4000,"SILEVER",H842&gt;2000,"NORMAL",H842&gt;500,"BASIC")</f>
        <v>PLATINUM</v>
      </c>
    </row>
    <row r="843" spans="1:10" ht="15.6" x14ac:dyDescent="0.3">
      <c r="A843" s="6">
        <v>44708</v>
      </c>
      <c r="B843" s="7" t="s">
        <v>516</v>
      </c>
      <c r="C843" s="7" t="s">
        <v>805</v>
      </c>
      <c r="D843" s="7" t="s">
        <v>809</v>
      </c>
      <c r="E843" s="7">
        <v>20</v>
      </c>
      <c r="F843" s="7" t="s">
        <v>842</v>
      </c>
      <c r="G843" s="7" t="s">
        <v>839</v>
      </c>
      <c r="H843" s="7">
        <v>1031</v>
      </c>
      <c r="I843" s="7" t="s">
        <v>850</v>
      </c>
      <c r="J843" s="8" t="str" cm="1">
        <f t="array" ref="J843">_xlfn.IFS(H843&gt;8000,"PLATINUM",H843&gt;6000,"GOLD",H843&gt;4000,"SILEVER",H843&gt;2000,"NORMAL",H843&gt;500,"BASIC")</f>
        <v>BASIC</v>
      </c>
    </row>
    <row r="844" spans="1:10" ht="15.6" x14ac:dyDescent="0.3">
      <c r="A844" s="6">
        <v>45361</v>
      </c>
      <c r="B844" s="7" t="s">
        <v>517</v>
      </c>
      <c r="C844" s="7" t="s">
        <v>806</v>
      </c>
      <c r="D844" s="7" t="s">
        <v>815</v>
      </c>
      <c r="E844" s="7">
        <v>19</v>
      </c>
      <c r="F844" s="7" t="s">
        <v>842</v>
      </c>
      <c r="G844" s="7" t="s">
        <v>826</v>
      </c>
      <c r="H844" s="7">
        <v>6402</v>
      </c>
      <c r="I844" s="7" t="s">
        <v>851</v>
      </c>
      <c r="J844" s="8" t="str" cm="1">
        <f t="array" ref="J844">_xlfn.IFS(H844&gt;8000,"PLATINUM",H844&gt;6000,"GOLD",H844&gt;4000,"SILEVER",H844&gt;2000,"NORMAL",H844&gt;500,"BASIC")</f>
        <v>GOLD</v>
      </c>
    </row>
    <row r="845" spans="1:10" ht="15.6" x14ac:dyDescent="0.3">
      <c r="A845" s="6">
        <v>45204</v>
      </c>
      <c r="B845" s="7" t="s">
        <v>518</v>
      </c>
      <c r="C845" s="7" t="s">
        <v>806</v>
      </c>
      <c r="D845" s="7" t="s">
        <v>815</v>
      </c>
      <c r="E845" s="7">
        <v>19</v>
      </c>
      <c r="F845" s="7" t="s">
        <v>842</v>
      </c>
      <c r="G845" s="7" t="s">
        <v>826</v>
      </c>
      <c r="H845" s="7">
        <v>6402</v>
      </c>
      <c r="I845" s="7" t="s">
        <v>851</v>
      </c>
      <c r="J845" s="8" t="str" cm="1">
        <f t="array" ref="J845">_xlfn.IFS(H845&gt;8000,"PLATINUM",H845&gt;6000,"GOLD",H845&gt;4000,"SILEVER",H845&gt;2000,"NORMAL",H845&gt;500,"BASIC")</f>
        <v>GOLD</v>
      </c>
    </row>
    <row r="846" spans="1:10" ht="15.6" x14ac:dyDescent="0.3">
      <c r="A846" s="6">
        <v>45361</v>
      </c>
      <c r="B846" s="7" t="s">
        <v>517</v>
      </c>
      <c r="C846" s="7" t="s">
        <v>805</v>
      </c>
      <c r="D846" s="7" t="s">
        <v>810</v>
      </c>
      <c r="E846" s="7">
        <v>19</v>
      </c>
      <c r="F846" s="7" t="s">
        <v>842</v>
      </c>
      <c r="G846" s="7" t="s">
        <v>826</v>
      </c>
      <c r="H846" s="7">
        <v>5916</v>
      </c>
      <c r="I846" s="7" t="s">
        <v>851</v>
      </c>
      <c r="J846" s="8" t="str" cm="1">
        <f t="array" ref="J846">_xlfn.IFS(H846&gt;8000,"PLATINUM",H846&gt;6000,"GOLD",H846&gt;4000,"SILEVER",H846&gt;2000,"NORMAL",H846&gt;500,"BASIC")</f>
        <v>SILEVER</v>
      </c>
    </row>
    <row r="847" spans="1:10" ht="15.6" x14ac:dyDescent="0.3">
      <c r="A847" s="6">
        <v>45204</v>
      </c>
      <c r="B847" s="7" t="s">
        <v>518</v>
      </c>
      <c r="C847" s="7" t="s">
        <v>805</v>
      </c>
      <c r="D847" s="7" t="s">
        <v>810</v>
      </c>
      <c r="E847" s="7">
        <v>19</v>
      </c>
      <c r="F847" s="7" t="s">
        <v>842</v>
      </c>
      <c r="G847" s="7" t="s">
        <v>826</v>
      </c>
      <c r="H847" s="7">
        <v>5916</v>
      </c>
      <c r="I847" s="7" t="s">
        <v>851</v>
      </c>
      <c r="J847" s="8" t="str" cm="1">
        <f t="array" ref="J847">_xlfn.IFS(H847&gt;8000,"PLATINUM",H847&gt;6000,"GOLD",H847&gt;4000,"SILEVER",H847&gt;2000,"NORMAL",H847&gt;500,"BASIC")</f>
        <v>SILEVER</v>
      </c>
    </row>
    <row r="848" spans="1:10" ht="15.6" x14ac:dyDescent="0.3">
      <c r="A848" s="6">
        <v>44801</v>
      </c>
      <c r="B848" s="7" t="s">
        <v>519</v>
      </c>
      <c r="C848" s="7" t="s">
        <v>807</v>
      </c>
      <c r="D848" s="7" t="s">
        <v>814</v>
      </c>
      <c r="E848" s="7">
        <v>15</v>
      </c>
      <c r="F848" s="7" t="s">
        <v>845</v>
      </c>
      <c r="G848" s="7" t="s">
        <v>834</v>
      </c>
      <c r="H848" s="7">
        <v>4015</v>
      </c>
      <c r="I848" s="7" t="s">
        <v>851</v>
      </c>
      <c r="J848" s="8" t="str" cm="1">
        <f t="array" ref="J848">_xlfn.IFS(H848&gt;8000,"PLATINUM",H848&gt;6000,"GOLD",H848&gt;4000,"SILEVER",H848&gt;2000,"NORMAL",H848&gt;500,"BASIC")</f>
        <v>SILEVER</v>
      </c>
    </row>
    <row r="849" spans="1:10" ht="15.6" x14ac:dyDescent="0.3">
      <c r="A849" s="6">
        <v>44082</v>
      </c>
      <c r="B849" s="7" t="s">
        <v>520</v>
      </c>
      <c r="C849" s="7" t="s">
        <v>807</v>
      </c>
      <c r="D849" s="7" t="s">
        <v>814</v>
      </c>
      <c r="E849" s="7">
        <v>15</v>
      </c>
      <c r="F849" s="7" t="s">
        <v>844</v>
      </c>
      <c r="G849" s="7" t="s">
        <v>828</v>
      </c>
      <c r="H849" s="7">
        <v>4015</v>
      </c>
      <c r="I849" s="7" t="s">
        <v>851</v>
      </c>
      <c r="J849" s="8" t="str" cm="1">
        <f t="array" ref="J849">_xlfn.IFS(H849&gt;8000,"PLATINUM",H849&gt;6000,"GOLD",H849&gt;4000,"SILEVER",H849&gt;2000,"NORMAL",H849&gt;500,"BASIC")</f>
        <v>SILEVER</v>
      </c>
    </row>
    <row r="850" spans="1:10" ht="15.6" x14ac:dyDescent="0.3">
      <c r="A850" s="6">
        <v>44313</v>
      </c>
      <c r="B850" s="7" t="s">
        <v>521</v>
      </c>
      <c r="C850" s="7" t="s">
        <v>805</v>
      </c>
      <c r="D850" s="7" t="s">
        <v>809</v>
      </c>
      <c r="E850" s="7">
        <v>11</v>
      </c>
      <c r="F850" s="7" t="s">
        <v>845</v>
      </c>
      <c r="G850" s="7" t="s">
        <v>827</v>
      </c>
      <c r="H850" s="7">
        <v>9335</v>
      </c>
      <c r="I850" s="7" t="s">
        <v>854</v>
      </c>
      <c r="J850" s="8" t="str" cm="1">
        <f t="array" ref="J850">_xlfn.IFS(H850&gt;8000,"PLATINUM",H850&gt;6000,"GOLD",H850&gt;4000,"SILEVER",H850&gt;2000,"NORMAL",H850&gt;500,"BASIC")</f>
        <v>PLATINUM</v>
      </c>
    </row>
    <row r="851" spans="1:10" ht="15.6" x14ac:dyDescent="0.3">
      <c r="A851" s="6">
        <v>44429</v>
      </c>
      <c r="B851" s="7" t="s">
        <v>522</v>
      </c>
      <c r="C851" s="7" t="s">
        <v>806</v>
      </c>
      <c r="D851" s="7" t="s">
        <v>818</v>
      </c>
      <c r="E851" s="7">
        <v>11</v>
      </c>
      <c r="F851" s="7" t="s">
        <v>847</v>
      </c>
      <c r="G851" s="7" t="s">
        <v>837</v>
      </c>
      <c r="H851" s="7">
        <v>4706</v>
      </c>
      <c r="I851" s="7" t="s">
        <v>854</v>
      </c>
      <c r="J851" s="8" t="str" cm="1">
        <f t="array" ref="J851">_xlfn.IFS(H851&gt;8000,"PLATINUM",H851&gt;6000,"GOLD",H851&gt;4000,"SILEVER",H851&gt;2000,"NORMAL",H851&gt;500,"BASIC")</f>
        <v>SILEVER</v>
      </c>
    </row>
    <row r="852" spans="1:10" ht="15.6" x14ac:dyDescent="0.3">
      <c r="A852" s="6">
        <v>44332</v>
      </c>
      <c r="B852" s="7" t="s">
        <v>523</v>
      </c>
      <c r="C852" s="7" t="s">
        <v>806</v>
      </c>
      <c r="D852" s="7" t="s">
        <v>818</v>
      </c>
      <c r="E852" s="7">
        <v>11</v>
      </c>
      <c r="F852" s="7" t="s">
        <v>847</v>
      </c>
      <c r="G852" s="7" t="s">
        <v>835</v>
      </c>
      <c r="H852" s="7">
        <v>4706</v>
      </c>
      <c r="I852" s="7" t="s">
        <v>854</v>
      </c>
      <c r="J852" s="8" t="str" cm="1">
        <f t="array" ref="J852">_xlfn.IFS(H852&gt;8000,"PLATINUM",H852&gt;6000,"GOLD",H852&gt;4000,"SILEVER",H852&gt;2000,"NORMAL",H852&gt;500,"BASIC")</f>
        <v>SILEVER</v>
      </c>
    </row>
    <row r="853" spans="1:10" ht="15.6" x14ac:dyDescent="0.3">
      <c r="A853" s="6">
        <v>44429</v>
      </c>
      <c r="B853" s="7" t="s">
        <v>522</v>
      </c>
      <c r="C853" s="7" t="s">
        <v>806</v>
      </c>
      <c r="D853" s="7" t="s">
        <v>815</v>
      </c>
      <c r="E853" s="7">
        <v>6</v>
      </c>
      <c r="F853" s="7" t="s">
        <v>847</v>
      </c>
      <c r="G853" s="7" t="s">
        <v>837</v>
      </c>
      <c r="H853" s="7">
        <v>6584</v>
      </c>
      <c r="I853" s="7" t="s">
        <v>850</v>
      </c>
      <c r="J853" s="8" t="str" cm="1">
        <f t="array" ref="J853">_xlfn.IFS(H853&gt;8000,"PLATINUM",H853&gt;6000,"GOLD",H853&gt;4000,"SILEVER",H853&gt;2000,"NORMAL",H853&gt;500,"BASIC")</f>
        <v>GOLD</v>
      </c>
    </row>
    <row r="854" spans="1:10" ht="15.6" x14ac:dyDescent="0.3">
      <c r="A854" s="6">
        <v>44332</v>
      </c>
      <c r="B854" s="7" t="s">
        <v>523</v>
      </c>
      <c r="C854" s="7" t="s">
        <v>806</v>
      </c>
      <c r="D854" s="7" t="s">
        <v>815</v>
      </c>
      <c r="E854" s="7">
        <v>6</v>
      </c>
      <c r="F854" s="7" t="s">
        <v>847</v>
      </c>
      <c r="G854" s="7" t="s">
        <v>835</v>
      </c>
      <c r="H854" s="7">
        <v>6584</v>
      </c>
      <c r="I854" s="7" t="s">
        <v>850</v>
      </c>
      <c r="J854" s="8" t="str" cm="1">
        <f t="array" ref="J854">_xlfn.IFS(H854&gt;8000,"PLATINUM",H854&gt;6000,"GOLD",H854&gt;4000,"SILEVER",H854&gt;2000,"NORMAL",H854&gt;500,"BASIC")</f>
        <v>GOLD</v>
      </c>
    </row>
    <row r="855" spans="1:10" ht="15.6" x14ac:dyDescent="0.3">
      <c r="A855" s="6">
        <v>44576</v>
      </c>
      <c r="B855" s="7" t="s">
        <v>524</v>
      </c>
      <c r="C855" s="7" t="s">
        <v>807</v>
      </c>
      <c r="D855" s="7" t="s">
        <v>816</v>
      </c>
      <c r="E855" s="7">
        <v>1</v>
      </c>
      <c r="F855" s="7" t="s">
        <v>846</v>
      </c>
      <c r="G855" s="7" t="s">
        <v>831</v>
      </c>
      <c r="H855" s="7">
        <v>6389</v>
      </c>
      <c r="I855" s="7" t="s">
        <v>852</v>
      </c>
      <c r="J855" s="8" t="str" cm="1">
        <f t="array" ref="J855">_xlfn.IFS(H855&gt;8000,"PLATINUM",H855&gt;6000,"GOLD",H855&gt;4000,"SILEVER",H855&gt;2000,"NORMAL",H855&gt;500,"BASIC")</f>
        <v>GOLD</v>
      </c>
    </row>
    <row r="856" spans="1:10" ht="15.6" x14ac:dyDescent="0.3">
      <c r="A856" s="6">
        <v>45006</v>
      </c>
      <c r="B856" s="7" t="s">
        <v>525</v>
      </c>
      <c r="C856" s="7" t="s">
        <v>805</v>
      </c>
      <c r="D856" s="7" t="s">
        <v>810</v>
      </c>
      <c r="E856" s="7">
        <v>12</v>
      </c>
      <c r="F856" s="7" t="s">
        <v>845</v>
      </c>
      <c r="G856" s="7" t="s">
        <v>832</v>
      </c>
      <c r="H856" s="7">
        <v>9869</v>
      </c>
      <c r="I856" s="7" t="s">
        <v>851</v>
      </c>
      <c r="J856" s="8" t="str" cm="1">
        <f t="array" ref="J856">_xlfn.IFS(H856&gt;8000,"PLATINUM",H856&gt;6000,"GOLD",H856&gt;4000,"SILEVER",H856&gt;2000,"NORMAL",H856&gt;500,"BASIC")</f>
        <v>PLATINUM</v>
      </c>
    </row>
    <row r="857" spans="1:10" ht="15.6" x14ac:dyDescent="0.3">
      <c r="A857" s="6">
        <v>45288</v>
      </c>
      <c r="B857" s="7" t="s">
        <v>526</v>
      </c>
      <c r="C857" s="7" t="s">
        <v>805</v>
      </c>
      <c r="D857" s="7" t="s">
        <v>810</v>
      </c>
      <c r="E857" s="7">
        <v>12</v>
      </c>
      <c r="F857" s="7" t="s">
        <v>844</v>
      </c>
      <c r="G857" s="7" t="s">
        <v>825</v>
      </c>
      <c r="H857" s="7">
        <v>9869</v>
      </c>
      <c r="I857" s="7" t="s">
        <v>851</v>
      </c>
      <c r="J857" s="8" t="str" cm="1">
        <f t="array" ref="J857">_xlfn.IFS(H857&gt;8000,"PLATINUM",H857&gt;6000,"GOLD",H857&gt;4000,"SILEVER",H857&gt;2000,"NORMAL",H857&gt;500,"BASIC")</f>
        <v>PLATINUM</v>
      </c>
    </row>
    <row r="858" spans="1:10" ht="15.6" x14ac:dyDescent="0.3">
      <c r="A858" s="6">
        <v>44607</v>
      </c>
      <c r="B858" s="7" t="s">
        <v>527</v>
      </c>
      <c r="C858" s="7" t="s">
        <v>806</v>
      </c>
      <c r="D858" s="7" t="s">
        <v>815</v>
      </c>
      <c r="E858" s="7">
        <v>4</v>
      </c>
      <c r="F858" s="7" t="s">
        <v>844</v>
      </c>
      <c r="G858" s="7" t="s">
        <v>825</v>
      </c>
      <c r="H858" s="7">
        <v>655</v>
      </c>
      <c r="I858" s="7" t="s">
        <v>851</v>
      </c>
      <c r="J858" s="8" t="str" cm="1">
        <f t="array" ref="J858">_xlfn.IFS(H858&gt;8000,"PLATINUM",H858&gt;6000,"GOLD",H858&gt;4000,"SILEVER",H858&gt;2000,"NORMAL",H858&gt;500,"BASIC")</f>
        <v>BASIC</v>
      </c>
    </row>
    <row r="859" spans="1:10" ht="15.6" x14ac:dyDescent="0.3">
      <c r="A859" s="6">
        <v>45260</v>
      </c>
      <c r="B859" s="7" t="s">
        <v>528</v>
      </c>
      <c r="C859" s="7" t="s">
        <v>806</v>
      </c>
      <c r="D859" s="7" t="s">
        <v>815</v>
      </c>
      <c r="E859" s="7">
        <v>4</v>
      </c>
      <c r="F859" s="7" t="s">
        <v>842</v>
      </c>
      <c r="G859" s="7" t="s">
        <v>826</v>
      </c>
      <c r="H859" s="7">
        <v>655</v>
      </c>
      <c r="I859" s="7" t="s">
        <v>851</v>
      </c>
      <c r="J859" s="8" t="str" cm="1">
        <f t="array" ref="J859">_xlfn.IFS(H859&gt;8000,"PLATINUM",H859&gt;6000,"GOLD",H859&gt;4000,"SILEVER",H859&gt;2000,"NORMAL",H859&gt;500,"BASIC")</f>
        <v>BASIC</v>
      </c>
    </row>
    <row r="860" spans="1:10" ht="15.6" x14ac:dyDescent="0.3">
      <c r="A860" s="6">
        <v>44938</v>
      </c>
      <c r="B860" s="7" t="s">
        <v>529</v>
      </c>
      <c r="C860" s="7" t="s">
        <v>805</v>
      </c>
      <c r="D860" s="7" t="s">
        <v>819</v>
      </c>
      <c r="E860" s="7">
        <v>10</v>
      </c>
      <c r="F860" s="7" t="s">
        <v>844</v>
      </c>
      <c r="G860" s="7" t="s">
        <v>825</v>
      </c>
      <c r="H860" s="7">
        <v>798</v>
      </c>
      <c r="I860" s="7" t="s">
        <v>851</v>
      </c>
      <c r="J860" s="8" t="str" cm="1">
        <f t="array" ref="J860">_xlfn.IFS(H860&gt;8000,"PLATINUM",H860&gt;6000,"GOLD",H860&gt;4000,"SILEVER",H860&gt;2000,"NORMAL",H860&gt;500,"BASIC")</f>
        <v>BASIC</v>
      </c>
    </row>
    <row r="861" spans="1:10" ht="15.6" x14ac:dyDescent="0.3">
      <c r="A861" s="6">
        <v>45065</v>
      </c>
      <c r="B861" s="7" t="s">
        <v>530</v>
      </c>
      <c r="C861" s="7" t="s">
        <v>805</v>
      </c>
      <c r="D861" s="7" t="s">
        <v>819</v>
      </c>
      <c r="E861" s="7">
        <v>10</v>
      </c>
      <c r="F861" s="7" t="s">
        <v>847</v>
      </c>
      <c r="G861" s="7" t="s">
        <v>837</v>
      </c>
      <c r="H861" s="7">
        <v>798</v>
      </c>
      <c r="I861" s="7" t="s">
        <v>851</v>
      </c>
      <c r="J861" s="8" t="str" cm="1">
        <f t="array" ref="J861">_xlfn.IFS(H861&gt;8000,"PLATINUM",H861&gt;6000,"GOLD",H861&gt;4000,"SILEVER",H861&gt;2000,"NORMAL",H861&gt;500,"BASIC")</f>
        <v>BASIC</v>
      </c>
    </row>
    <row r="862" spans="1:10" ht="15.6" x14ac:dyDescent="0.3">
      <c r="A862" s="6">
        <v>44938</v>
      </c>
      <c r="B862" s="7" t="s">
        <v>529</v>
      </c>
      <c r="C862" s="7" t="s">
        <v>805</v>
      </c>
      <c r="D862" s="7" t="s">
        <v>810</v>
      </c>
      <c r="E862" s="7">
        <v>13</v>
      </c>
      <c r="F862" s="7" t="s">
        <v>844</v>
      </c>
      <c r="G862" s="7" t="s">
        <v>825</v>
      </c>
      <c r="H862" s="7">
        <v>7967</v>
      </c>
      <c r="I862" s="7" t="s">
        <v>852</v>
      </c>
      <c r="J862" s="8" t="str" cm="1">
        <f t="array" ref="J862">_xlfn.IFS(H862&gt;8000,"PLATINUM",H862&gt;6000,"GOLD",H862&gt;4000,"SILEVER",H862&gt;2000,"NORMAL",H862&gt;500,"BASIC")</f>
        <v>GOLD</v>
      </c>
    </row>
    <row r="863" spans="1:10" ht="15.6" x14ac:dyDescent="0.3">
      <c r="A863" s="6">
        <v>45065</v>
      </c>
      <c r="B863" s="7" t="s">
        <v>530</v>
      </c>
      <c r="C863" s="7" t="s">
        <v>805</v>
      </c>
      <c r="D863" s="7" t="s">
        <v>810</v>
      </c>
      <c r="E863" s="7">
        <v>13</v>
      </c>
      <c r="F863" s="7" t="s">
        <v>847</v>
      </c>
      <c r="G863" s="7" t="s">
        <v>837</v>
      </c>
      <c r="H863" s="7">
        <v>7967</v>
      </c>
      <c r="I863" s="7" t="s">
        <v>852</v>
      </c>
      <c r="J863" s="8" t="str" cm="1">
        <f t="array" ref="J863">_xlfn.IFS(H863&gt;8000,"PLATINUM",H863&gt;6000,"GOLD",H863&gt;4000,"SILEVER",H863&gt;2000,"NORMAL",H863&gt;500,"BASIC")</f>
        <v>GOLD</v>
      </c>
    </row>
    <row r="864" spans="1:10" ht="15.6" x14ac:dyDescent="0.3">
      <c r="A864" s="6">
        <v>45341</v>
      </c>
      <c r="B864" s="7" t="s">
        <v>531</v>
      </c>
      <c r="C864" s="7" t="s">
        <v>807</v>
      </c>
      <c r="D864" s="7" t="s">
        <v>813</v>
      </c>
      <c r="E864" s="7">
        <v>5</v>
      </c>
      <c r="F864" s="7" t="s">
        <v>842</v>
      </c>
      <c r="G864" s="7" t="s">
        <v>823</v>
      </c>
      <c r="H864" s="7">
        <v>3756</v>
      </c>
      <c r="I864" s="7" t="s">
        <v>850</v>
      </c>
      <c r="J864" s="8" t="str" cm="1">
        <f t="array" ref="J864">_xlfn.IFS(H864&gt;8000,"PLATINUM",H864&gt;6000,"GOLD",H864&gt;4000,"SILEVER",H864&gt;2000,"NORMAL",H864&gt;500,"BASIC")</f>
        <v>NORMAL</v>
      </c>
    </row>
    <row r="865" spans="1:10" ht="15.6" x14ac:dyDescent="0.3">
      <c r="A865" s="6">
        <v>44531</v>
      </c>
      <c r="B865" s="7" t="s">
        <v>532</v>
      </c>
      <c r="C865" s="7" t="s">
        <v>806</v>
      </c>
      <c r="D865" s="7" t="s">
        <v>815</v>
      </c>
      <c r="E865" s="7">
        <v>1</v>
      </c>
      <c r="F865" s="7" t="s">
        <v>846</v>
      </c>
      <c r="G865" s="7" t="s">
        <v>833</v>
      </c>
      <c r="H865" s="7">
        <v>5196</v>
      </c>
      <c r="I865" s="7" t="s">
        <v>850</v>
      </c>
      <c r="J865" s="8" t="str" cm="1">
        <f t="array" ref="J865">_xlfn.IFS(H865&gt;8000,"PLATINUM",H865&gt;6000,"GOLD",H865&gt;4000,"SILEVER",H865&gt;2000,"NORMAL",H865&gt;500,"BASIC")</f>
        <v>SILEVER</v>
      </c>
    </row>
    <row r="866" spans="1:10" ht="15.6" x14ac:dyDescent="0.3">
      <c r="A866" s="6">
        <v>44531</v>
      </c>
      <c r="B866" s="7" t="s">
        <v>532</v>
      </c>
      <c r="C866" s="7" t="s">
        <v>807</v>
      </c>
      <c r="D866" s="7" t="s">
        <v>820</v>
      </c>
      <c r="E866" s="7">
        <v>19</v>
      </c>
      <c r="F866" s="7" t="s">
        <v>846</v>
      </c>
      <c r="G866" s="7" t="s">
        <v>833</v>
      </c>
      <c r="H866" s="7">
        <v>6586</v>
      </c>
      <c r="I866" s="7" t="s">
        <v>851</v>
      </c>
      <c r="J866" s="8" t="str" cm="1">
        <f t="array" ref="J866">_xlfn.IFS(H866&gt;8000,"PLATINUM",H866&gt;6000,"GOLD",H866&gt;4000,"SILEVER",H866&gt;2000,"NORMAL",H866&gt;500,"BASIC")</f>
        <v>GOLD</v>
      </c>
    </row>
    <row r="867" spans="1:10" ht="15.6" x14ac:dyDescent="0.3">
      <c r="A867" s="6">
        <v>45645</v>
      </c>
      <c r="B867" s="7" t="s">
        <v>533</v>
      </c>
      <c r="C867" s="7" t="s">
        <v>806</v>
      </c>
      <c r="D867" s="7" t="s">
        <v>815</v>
      </c>
      <c r="E867" s="7">
        <v>19</v>
      </c>
      <c r="F867" s="7" t="s">
        <v>844</v>
      </c>
      <c r="G867" s="7" t="s">
        <v>825</v>
      </c>
      <c r="H867" s="7">
        <v>6673</v>
      </c>
      <c r="I867" s="7" t="s">
        <v>852</v>
      </c>
      <c r="J867" s="8" t="str" cm="1">
        <f t="array" ref="J867">_xlfn.IFS(H867&gt;8000,"PLATINUM",H867&gt;6000,"GOLD",H867&gt;4000,"SILEVER",H867&gt;2000,"NORMAL",H867&gt;500,"BASIC")</f>
        <v>GOLD</v>
      </c>
    </row>
    <row r="868" spans="1:10" ht="15.6" x14ac:dyDescent="0.3">
      <c r="A868" s="6">
        <v>44944</v>
      </c>
      <c r="B868" s="7" t="s">
        <v>534</v>
      </c>
      <c r="C868" s="7" t="s">
        <v>807</v>
      </c>
      <c r="D868" s="7" t="s">
        <v>813</v>
      </c>
      <c r="E868" s="7">
        <v>14</v>
      </c>
      <c r="F868" s="7" t="s">
        <v>847</v>
      </c>
      <c r="G868" s="7" t="s">
        <v>835</v>
      </c>
      <c r="H868" s="7">
        <v>714</v>
      </c>
      <c r="I868" s="7" t="s">
        <v>850</v>
      </c>
      <c r="J868" s="8" t="str" cm="1">
        <f t="array" ref="J868">_xlfn.IFS(H868&gt;8000,"PLATINUM",H868&gt;6000,"GOLD",H868&gt;4000,"SILEVER",H868&gt;2000,"NORMAL",H868&gt;500,"BASIC")</f>
        <v>BASIC</v>
      </c>
    </row>
    <row r="869" spans="1:10" ht="15.6" x14ac:dyDescent="0.3">
      <c r="A869" s="6">
        <v>44188</v>
      </c>
      <c r="B869" s="7" t="s">
        <v>535</v>
      </c>
      <c r="C869" s="7" t="s">
        <v>807</v>
      </c>
      <c r="D869" s="7" t="s">
        <v>813</v>
      </c>
      <c r="E869" s="7">
        <v>14</v>
      </c>
      <c r="F869" s="7" t="s">
        <v>846</v>
      </c>
      <c r="G869" s="7" t="s">
        <v>833</v>
      </c>
      <c r="H869" s="7">
        <v>714</v>
      </c>
      <c r="I869" s="7" t="s">
        <v>850</v>
      </c>
      <c r="J869" s="8" t="str" cm="1">
        <f t="array" ref="J869">_xlfn.IFS(H869&gt;8000,"PLATINUM",H869&gt;6000,"GOLD",H869&gt;4000,"SILEVER",H869&gt;2000,"NORMAL",H869&gt;500,"BASIC")</f>
        <v>BASIC</v>
      </c>
    </row>
    <row r="870" spans="1:10" ht="15.6" x14ac:dyDescent="0.3">
      <c r="A870" s="6">
        <v>44255</v>
      </c>
      <c r="B870" s="7" t="s">
        <v>536</v>
      </c>
      <c r="C870" s="7" t="s">
        <v>806</v>
      </c>
      <c r="D870" s="7" t="s">
        <v>811</v>
      </c>
      <c r="E870" s="7">
        <v>6</v>
      </c>
      <c r="F870" s="7" t="s">
        <v>846</v>
      </c>
      <c r="G870" s="7" t="s">
        <v>833</v>
      </c>
      <c r="H870" s="7">
        <v>1083</v>
      </c>
      <c r="I870" s="7" t="s">
        <v>854</v>
      </c>
      <c r="J870" s="8" t="str" cm="1">
        <f t="array" ref="J870">_xlfn.IFS(H870&gt;8000,"PLATINUM",H870&gt;6000,"GOLD",H870&gt;4000,"SILEVER",H870&gt;2000,"NORMAL",H870&gt;500,"BASIC")</f>
        <v>BASIC</v>
      </c>
    </row>
    <row r="871" spans="1:10" ht="15.6" x14ac:dyDescent="0.3">
      <c r="A871" s="6">
        <v>45050</v>
      </c>
      <c r="B871" s="7" t="s">
        <v>537</v>
      </c>
      <c r="C871" s="7" t="s">
        <v>807</v>
      </c>
      <c r="D871" s="7" t="s">
        <v>820</v>
      </c>
      <c r="E871" s="7">
        <v>10</v>
      </c>
      <c r="F871" s="7" t="s">
        <v>847</v>
      </c>
      <c r="G871" s="7" t="s">
        <v>837</v>
      </c>
      <c r="H871" s="7">
        <v>2401</v>
      </c>
      <c r="I871" s="7" t="s">
        <v>850</v>
      </c>
      <c r="J871" s="8" t="str" cm="1">
        <f t="array" ref="J871">_xlfn.IFS(H871&gt;8000,"PLATINUM",H871&gt;6000,"GOLD",H871&gt;4000,"SILEVER",H871&gt;2000,"NORMAL",H871&gt;500,"BASIC")</f>
        <v>NORMAL</v>
      </c>
    </row>
    <row r="872" spans="1:10" ht="15.6" x14ac:dyDescent="0.3">
      <c r="A872" s="6">
        <v>43943</v>
      </c>
      <c r="B872" s="7" t="s">
        <v>538</v>
      </c>
      <c r="C872" s="7" t="s">
        <v>807</v>
      </c>
      <c r="D872" s="7" t="s">
        <v>820</v>
      </c>
      <c r="E872" s="7">
        <v>10</v>
      </c>
      <c r="F872" s="7" t="s">
        <v>845</v>
      </c>
      <c r="G872" s="7" t="s">
        <v>827</v>
      </c>
      <c r="H872" s="7">
        <v>2401</v>
      </c>
      <c r="I872" s="7" t="s">
        <v>850</v>
      </c>
      <c r="J872" s="8" t="str" cm="1">
        <f t="array" ref="J872">_xlfn.IFS(H872&gt;8000,"PLATINUM",H872&gt;6000,"GOLD",H872&gt;4000,"SILEVER",H872&gt;2000,"NORMAL",H872&gt;500,"BASIC")</f>
        <v>NORMAL</v>
      </c>
    </row>
    <row r="873" spans="1:10" ht="15.6" x14ac:dyDescent="0.3">
      <c r="A873" s="6">
        <v>44421</v>
      </c>
      <c r="B873" s="7" t="s">
        <v>539</v>
      </c>
      <c r="C873" s="7" t="s">
        <v>807</v>
      </c>
      <c r="D873" s="7" t="s">
        <v>820</v>
      </c>
      <c r="E873" s="7">
        <v>10</v>
      </c>
      <c r="F873" s="7" t="s">
        <v>844</v>
      </c>
      <c r="G873" s="7" t="s">
        <v>830</v>
      </c>
      <c r="H873" s="7">
        <v>2401</v>
      </c>
      <c r="I873" s="7" t="s">
        <v>850</v>
      </c>
      <c r="J873" s="8" t="str" cm="1">
        <f t="array" ref="J873">_xlfn.IFS(H873&gt;8000,"PLATINUM",H873&gt;6000,"GOLD",H873&gt;4000,"SILEVER",H873&gt;2000,"NORMAL",H873&gt;500,"BASIC")</f>
        <v>NORMAL</v>
      </c>
    </row>
    <row r="874" spans="1:10" ht="15.6" x14ac:dyDescent="0.3">
      <c r="A874" s="6">
        <v>45050</v>
      </c>
      <c r="B874" s="7" t="s">
        <v>537</v>
      </c>
      <c r="C874" s="7" t="s">
        <v>805</v>
      </c>
      <c r="D874" s="7" t="s">
        <v>819</v>
      </c>
      <c r="E874" s="7">
        <v>11</v>
      </c>
      <c r="F874" s="7" t="s">
        <v>847</v>
      </c>
      <c r="G874" s="7" t="s">
        <v>837</v>
      </c>
      <c r="H874" s="7">
        <v>1045</v>
      </c>
      <c r="I874" s="7" t="s">
        <v>851</v>
      </c>
      <c r="J874" s="8" t="str" cm="1">
        <f t="array" ref="J874">_xlfn.IFS(H874&gt;8000,"PLATINUM",H874&gt;6000,"GOLD",H874&gt;4000,"SILEVER",H874&gt;2000,"NORMAL",H874&gt;500,"BASIC")</f>
        <v>BASIC</v>
      </c>
    </row>
    <row r="875" spans="1:10" ht="15.6" x14ac:dyDescent="0.3">
      <c r="A875" s="6">
        <v>43943</v>
      </c>
      <c r="B875" s="7" t="s">
        <v>538</v>
      </c>
      <c r="C875" s="7" t="s">
        <v>805</v>
      </c>
      <c r="D875" s="7" t="s">
        <v>819</v>
      </c>
      <c r="E875" s="7">
        <v>11</v>
      </c>
      <c r="F875" s="7" t="s">
        <v>845</v>
      </c>
      <c r="G875" s="7" t="s">
        <v>827</v>
      </c>
      <c r="H875" s="7">
        <v>1045</v>
      </c>
      <c r="I875" s="7" t="s">
        <v>851</v>
      </c>
      <c r="J875" s="8" t="str" cm="1">
        <f t="array" ref="J875">_xlfn.IFS(H875&gt;8000,"PLATINUM",H875&gt;6000,"GOLD",H875&gt;4000,"SILEVER",H875&gt;2000,"NORMAL",H875&gt;500,"BASIC")</f>
        <v>BASIC</v>
      </c>
    </row>
    <row r="876" spans="1:10" ht="15.6" x14ac:dyDescent="0.3">
      <c r="A876" s="6">
        <v>44421</v>
      </c>
      <c r="B876" s="7" t="s">
        <v>539</v>
      </c>
      <c r="C876" s="7" t="s">
        <v>805</v>
      </c>
      <c r="D876" s="7" t="s">
        <v>819</v>
      </c>
      <c r="E876" s="7">
        <v>11</v>
      </c>
      <c r="F876" s="7" t="s">
        <v>844</v>
      </c>
      <c r="G876" s="7" t="s">
        <v>830</v>
      </c>
      <c r="H876" s="7">
        <v>1045</v>
      </c>
      <c r="I876" s="7" t="s">
        <v>851</v>
      </c>
      <c r="J876" s="8" t="str" cm="1">
        <f t="array" ref="J876">_xlfn.IFS(H876&gt;8000,"PLATINUM",H876&gt;6000,"GOLD",H876&gt;4000,"SILEVER",H876&gt;2000,"NORMAL",H876&gt;500,"BASIC")</f>
        <v>BASIC</v>
      </c>
    </row>
    <row r="877" spans="1:10" ht="15.6" x14ac:dyDescent="0.3">
      <c r="A877" s="6">
        <v>45127</v>
      </c>
      <c r="B877" s="7" t="s">
        <v>540</v>
      </c>
      <c r="C877" s="7" t="s">
        <v>806</v>
      </c>
      <c r="D877" s="7" t="s">
        <v>815</v>
      </c>
      <c r="E877" s="7">
        <v>1</v>
      </c>
      <c r="F877" s="7" t="s">
        <v>846</v>
      </c>
      <c r="G877" s="7" t="s">
        <v>831</v>
      </c>
      <c r="H877" s="7">
        <v>7806</v>
      </c>
      <c r="I877" s="7" t="s">
        <v>853</v>
      </c>
      <c r="J877" s="8" t="str" cm="1">
        <f t="array" ref="J877">_xlfn.IFS(H877&gt;8000,"PLATINUM",H877&gt;6000,"GOLD",H877&gt;4000,"SILEVER",H877&gt;2000,"NORMAL",H877&gt;500,"BASIC")</f>
        <v>GOLD</v>
      </c>
    </row>
    <row r="878" spans="1:10" ht="15.6" x14ac:dyDescent="0.3">
      <c r="A878" s="6">
        <v>44801</v>
      </c>
      <c r="B878" s="7" t="s">
        <v>541</v>
      </c>
      <c r="C878" s="7" t="s">
        <v>807</v>
      </c>
      <c r="D878" s="7" t="s">
        <v>816</v>
      </c>
      <c r="E878" s="7">
        <v>19</v>
      </c>
      <c r="F878" s="7" t="s">
        <v>842</v>
      </c>
      <c r="G878" s="7" t="s">
        <v>823</v>
      </c>
      <c r="H878" s="7">
        <v>5263</v>
      </c>
      <c r="I878" s="7" t="s">
        <v>853</v>
      </c>
      <c r="J878" s="8" t="str" cm="1">
        <f t="array" ref="J878">_xlfn.IFS(H878&gt;8000,"PLATINUM",H878&gt;6000,"GOLD",H878&gt;4000,"SILEVER",H878&gt;2000,"NORMAL",H878&gt;500,"BASIC")</f>
        <v>SILEVER</v>
      </c>
    </row>
    <row r="879" spans="1:10" ht="15.6" x14ac:dyDescent="0.3">
      <c r="A879" s="6">
        <v>44999</v>
      </c>
      <c r="B879" s="7" t="s">
        <v>542</v>
      </c>
      <c r="C879" s="7" t="s">
        <v>806</v>
      </c>
      <c r="D879" s="7" t="s">
        <v>811</v>
      </c>
      <c r="E879" s="7">
        <v>6</v>
      </c>
      <c r="F879" s="7" t="s">
        <v>846</v>
      </c>
      <c r="G879" s="7" t="s">
        <v>831</v>
      </c>
      <c r="H879" s="7">
        <v>6147</v>
      </c>
      <c r="I879" s="7" t="s">
        <v>851</v>
      </c>
      <c r="J879" s="8" t="str" cm="1">
        <f t="array" ref="J879">_xlfn.IFS(H879&gt;8000,"PLATINUM",H879&gt;6000,"GOLD",H879&gt;4000,"SILEVER",H879&gt;2000,"NORMAL",H879&gt;500,"BASIC")</f>
        <v>GOLD</v>
      </c>
    </row>
    <row r="880" spans="1:10" ht="15.6" x14ac:dyDescent="0.3">
      <c r="A880" s="6">
        <v>45237</v>
      </c>
      <c r="B880" s="7" t="s">
        <v>543</v>
      </c>
      <c r="C880" s="7" t="s">
        <v>805</v>
      </c>
      <c r="D880" s="7" t="s">
        <v>819</v>
      </c>
      <c r="E880" s="7">
        <v>15</v>
      </c>
      <c r="F880" s="7" t="s">
        <v>842</v>
      </c>
      <c r="G880" s="7" t="s">
        <v>826</v>
      </c>
      <c r="H880" s="7">
        <v>7484</v>
      </c>
      <c r="I880" s="7" t="s">
        <v>850</v>
      </c>
      <c r="J880" s="8" t="str" cm="1">
        <f t="array" ref="J880">_xlfn.IFS(H880&gt;8000,"PLATINUM",H880&gt;6000,"GOLD",H880&gt;4000,"SILEVER",H880&gt;2000,"NORMAL",H880&gt;500,"BASIC")</f>
        <v>GOLD</v>
      </c>
    </row>
    <row r="881" spans="1:10" ht="15.6" x14ac:dyDescent="0.3">
      <c r="A881" s="6">
        <v>45398</v>
      </c>
      <c r="B881" s="7" t="s">
        <v>544</v>
      </c>
      <c r="C881" s="7" t="s">
        <v>805</v>
      </c>
      <c r="D881" s="7" t="s">
        <v>819</v>
      </c>
      <c r="E881" s="7">
        <v>15</v>
      </c>
      <c r="F881" s="7" t="s">
        <v>843</v>
      </c>
      <c r="G881" s="7" t="s">
        <v>824</v>
      </c>
      <c r="H881" s="7">
        <v>7484</v>
      </c>
      <c r="I881" s="7" t="s">
        <v>850</v>
      </c>
      <c r="J881" s="8" t="str" cm="1">
        <f t="array" ref="J881">_xlfn.IFS(H881&gt;8000,"PLATINUM",H881&gt;6000,"GOLD",H881&gt;4000,"SILEVER",H881&gt;2000,"NORMAL",H881&gt;500,"BASIC")</f>
        <v>GOLD</v>
      </c>
    </row>
    <row r="882" spans="1:10" ht="15.6" x14ac:dyDescent="0.3">
      <c r="A882" s="6">
        <v>45237</v>
      </c>
      <c r="B882" s="7" t="s">
        <v>543</v>
      </c>
      <c r="C882" s="7" t="s">
        <v>807</v>
      </c>
      <c r="D882" s="7" t="s">
        <v>816</v>
      </c>
      <c r="E882" s="7">
        <v>1</v>
      </c>
      <c r="F882" s="7" t="s">
        <v>842</v>
      </c>
      <c r="G882" s="7" t="s">
        <v>826</v>
      </c>
      <c r="H882" s="7">
        <v>7700</v>
      </c>
      <c r="I882" s="7" t="s">
        <v>853</v>
      </c>
      <c r="J882" s="8" t="str" cm="1">
        <f t="array" ref="J882">_xlfn.IFS(H882&gt;8000,"PLATINUM",H882&gt;6000,"GOLD",H882&gt;4000,"SILEVER",H882&gt;2000,"NORMAL",H882&gt;500,"BASIC")</f>
        <v>GOLD</v>
      </c>
    </row>
    <row r="883" spans="1:10" ht="15.6" x14ac:dyDescent="0.3">
      <c r="A883" s="6">
        <v>45398</v>
      </c>
      <c r="B883" s="7" t="s">
        <v>544</v>
      </c>
      <c r="C883" s="7" t="s">
        <v>807</v>
      </c>
      <c r="D883" s="7" t="s">
        <v>816</v>
      </c>
      <c r="E883" s="7">
        <v>1</v>
      </c>
      <c r="F883" s="7" t="s">
        <v>843</v>
      </c>
      <c r="G883" s="7" t="s">
        <v>824</v>
      </c>
      <c r="H883" s="7">
        <v>7700</v>
      </c>
      <c r="I883" s="7" t="s">
        <v>853</v>
      </c>
      <c r="J883" s="8" t="str" cm="1">
        <f t="array" ref="J883">_xlfn.IFS(H883&gt;8000,"PLATINUM",H883&gt;6000,"GOLD",H883&gt;4000,"SILEVER",H883&gt;2000,"NORMAL",H883&gt;500,"BASIC")</f>
        <v>GOLD</v>
      </c>
    </row>
    <row r="884" spans="1:10" ht="15.6" x14ac:dyDescent="0.3">
      <c r="A884" s="6">
        <v>44820</v>
      </c>
      <c r="B884" s="7" t="s">
        <v>545</v>
      </c>
      <c r="C884" s="7" t="s">
        <v>806</v>
      </c>
      <c r="D884" s="7" t="s">
        <v>815</v>
      </c>
      <c r="E884" s="7">
        <v>13</v>
      </c>
      <c r="F884" s="7" t="s">
        <v>844</v>
      </c>
      <c r="G884" s="7" t="s">
        <v>830</v>
      </c>
      <c r="H884" s="7">
        <v>8537</v>
      </c>
      <c r="I884" s="7" t="s">
        <v>850</v>
      </c>
      <c r="J884" s="8" t="str" cm="1">
        <f t="array" ref="J884">_xlfn.IFS(H884&gt;8000,"PLATINUM",H884&gt;6000,"GOLD",H884&gt;4000,"SILEVER",H884&gt;2000,"NORMAL",H884&gt;500,"BASIC")</f>
        <v>PLATINUM</v>
      </c>
    </row>
    <row r="885" spans="1:10" ht="15.6" x14ac:dyDescent="0.3">
      <c r="A885" s="6">
        <v>45596</v>
      </c>
      <c r="B885" s="7" t="s">
        <v>546</v>
      </c>
      <c r="C885" s="7" t="s">
        <v>807</v>
      </c>
      <c r="D885" s="7" t="s">
        <v>814</v>
      </c>
      <c r="E885" s="7">
        <v>6</v>
      </c>
      <c r="F885" s="7" t="s">
        <v>845</v>
      </c>
      <c r="G885" s="7" t="s">
        <v>832</v>
      </c>
      <c r="H885" s="7">
        <v>8858</v>
      </c>
      <c r="I885" s="7" t="s">
        <v>854</v>
      </c>
      <c r="J885" s="8" t="str" cm="1">
        <f t="array" ref="J885">_xlfn.IFS(H885&gt;8000,"PLATINUM",H885&gt;6000,"GOLD",H885&gt;4000,"SILEVER",H885&gt;2000,"NORMAL",H885&gt;500,"BASIC")</f>
        <v>PLATINUM</v>
      </c>
    </row>
    <row r="886" spans="1:10" ht="15.6" x14ac:dyDescent="0.3">
      <c r="A886" s="6">
        <v>45621</v>
      </c>
      <c r="B886" s="7" t="s">
        <v>547</v>
      </c>
      <c r="C886" s="7" t="s">
        <v>805</v>
      </c>
      <c r="D886" s="7" t="s">
        <v>810</v>
      </c>
      <c r="E886" s="7">
        <v>7</v>
      </c>
      <c r="F886" s="7" t="s">
        <v>845</v>
      </c>
      <c r="G886" s="7" t="s">
        <v>834</v>
      </c>
      <c r="H886" s="7">
        <v>5313</v>
      </c>
      <c r="I886" s="7" t="s">
        <v>851</v>
      </c>
      <c r="J886" s="8" t="str" cm="1">
        <f t="array" ref="J886">_xlfn.IFS(H886&gt;8000,"PLATINUM",H886&gt;6000,"GOLD",H886&gt;4000,"SILEVER",H886&gt;2000,"NORMAL",H886&gt;500,"BASIC")</f>
        <v>SILEVER</v>
      </c>
    </row>
    <row r="887" spans="1:10" ht="15.6" x14ac:dyDescent="0.3">
      <c r="A887" s="6">
        <v>44498</v>
      </c>
      <c r="B887" s="7" t="s">
        <v>548</v>
      </c>
      <c r="C887" s="7" t="s">
        <v>805</v>
      </c>
      <c r="D887" s="7" t="s">
        <v>810</v>
      </c>
      <c r="E887" s="7">
        <v>7</v>
      </c>
      <c r="F887" s="7" t="s">
        <v>846</v>
      </c>
      <c r="G887" s="7" t="s">
        <v>838</v>
      </c>
      <c r="H887" s="7">
        <v>5313</v>
      </c>
      <c r="I887" s="7" t="s">
        <v>851</v>
      </c>
      <c r="J887" s="8" t="str" cm="1">
        <f t="array" ref="J887">_xlfn.IFS(H887&gt;8000,"PLATINUM",H887&gt;6000,"GOLD",H887&gt;4000,"SILEVER",H887&gt;2000,"NORMAL",H887&gt;500,"BASIC")</f>
        <v>SILEVER</v>
      </c>
    </row>
    <row r="888" spans="1:10" ht="15.6" x14ac:dyDescent="0.3">
      <c r="A888" s="6">
        <v>45287</v>
      </c>
      <c r="B888" s="7" t="s">
        <v>549</v>
      </c>
      <c r="C888" s="7" t="s">
        <v>807</v>
      </c>
      <c r="D888" s="7" t="s">
        <v>816</v>
      </c>
      <c r="E888" s="7">
        <v>7</v>
      </c>
      <c r="F888" s="7" t="s">
        <v>845</v>
      </c>
      <c r="G888" s="7" t="s">
        <v>827</v>
      </c>
      <c r="H888" s="7">
        <v>3281</v>
      </c>
      <c r="I888" s="7" t="s">
        <v>852</v>
      </c>
      <c r="J888" s="8" t="str" cm="1">
        <f t="array" ref="J888">_xlfn.IFS(H888&gt;8000,"PLATINUM",H888&gt;6000,"GOLD",H888&gt;4000,"SILEVER",H888&gt;2000,"NORMAL",H888&gt;500,"BASIC")</f>
        <v>NORMAL</v>
      </c>
    </row>
    <row r="889" spans="1:10" ht="15.6" x14ac:dyDescent="0.3">
      <c r="A889" s="6">
        <v>45102</v>
      </c>
      <c r="B889" s="7" t="s">
        <v>550</v>
      </c>
      <c r="C889" s="7" t="s">
        <v>807</v>
      </c>
      <c r="D889" s="7" t="s">
        <v>816</v>
      </c>
      <c r="E889" s="7">
        <v>7</v>
      </c>
      <c r="F889" s="7" t="s">
        <v>843</v>
      </c>
      <c r="G889" s="7" t="s">
        <v>840</v>
      </c>
      <c r="H889" s="7">
        <v>3281</v>
      </c>
      <c r="I889" s="7" t="s">
        <v>852</v>
      </c>
      <c r="J889" s="8" t="str" cm="1">
        <f t="array" ref="J889">_xlfn.IFS(H889&gt;8000,"PLATINUM",H889&gt;6000,"GOLD",H889&gt;4000,"SILEVER",H889&gt;2000,"NORMAL",H889&gt;500,"BASIC")</f>
        <v>NORMAL</v>
      </c>
    </row>
    <row r="890" spans="1:10" ht="15.6" x14ac:dyDescent="0.3">
      <c r="A890" s="6">
        <v>44075</v>
      </c>
      <c r="B890" s="7" t="s">
        <v>551</v>
      </c>
      <c r="C890" s="7" t="s">
        <v>806</v>
      </c>
      <c r="D890" s="7" t="s">
        <v>811</v>
      </c>
      <c r="E890" s="7">
        <v>9</v>
      </c>
      <c r="F890" s="7" t="s">
        <v>844</v>
      </c>
      <c r="G890" s="7" t="s">
        <v>828</v>
      </c>
      <c r="H890" s="7">
        <v>8681</v>
      </c>
      <c r="I890" s="7" t="s">
        <v>853</v>
      </c>
      <c r="J890" s="8" t="str" cm="1">
        <f t="array" ref="J890">_xlfn.IFS(H890&gt;8000,"PLATINUM",H890&gt;6000,"GOLD",H890&gt;4000,"SILEVER",H890&gt;2000,"NORMAL",H890&gt;500,"BASIC")</f>
        <v>PLATINUM</v>
      </c>
    </row>
    <row r="891" spans="1:10" ht="15.6" x14ac:dyDescent="0.3">
      <c r="A891" s="6">
        <v>45689</v>
      </c>
      <c r="B891" s="7" t="s">
        <v>552</v>
      </c>
      <c r="C891" s="7" t="s">
        <v>807</v>
      </c>
      <c r="D891" s="7" t="s">
        <v>816</v>
      </c>
      <c r="E891" s="7">
        <v>18</v>
      </c>
      <c r="F891" s="7" t="s">
        <v>843</v>
      </c>
      <c r="G891" s="7" t="s">
        <v>829</v>
      </c>
      <c r="H891" s="7">
        <v>6195</v>
      </c>
      <c r="I891" s="7" t="s">
        <v>852</v>
      </c>
      <c r="J891" s="8" t="str" cm="1">
        <f t="array" ref="J891">_xlfn.IFS(H891&gt;8000,"PLATINUM",H891&gt;6000,"GOLD",H891&gt;4000,"SILEVER",H891&gt;2000,"NORMAL",H891&gt;500,"BASIC")</f>
        <v>GOLD</v>
      </c>
    </row>
    <row r="892" spans="1:10" ht="15.6" x14ac:dyDescent="0.3">
      <c r="A892" s="6">
        <v>45129</v>
      </c>
      <c r="B892" s="7" t="s">
        <v>553</v>
      </c>
      <c r="C892" s="7" t="s">
        <v>807</v>
      </c>
      <c r="D892" s="7" t="s">
        <v>814</v>
      </c>
      <c r="E892" s="7">
        <v>16</v>
      </c>
      <c r="F892" s="7" t="s">
        <v>844</v>
      </c>
      <c r="G892" s="7" t="s">
        <v>830</v>
      </c>
      <c r="H892" s="7">
        <v>3877</v>
      </c>
      <c r="I892" s="7" t="s">
        <v>851</v>
      </c>
      <c r="J892" s="8" t="str" cm="1">
        <f t="array" ref="J892">_xlfn.IFS(H892&gt;8000,"PLATINUM",H892&gt;6000,"GOLD",H892&gt;4000,"SILEVER",H892&gt;2000,"NORMAL",H892&gt;500,"BASIC")</f>
        <v>NORMAL</v>
      </c>
    </row>
    <row r="893" spans="1:10" ht="15.6" x14ac:dyDescent="0.3">
      <c r="A893" s="6">
        <v>44596</v>
      </c>
      <c r="B893" s="7" t="s">
        <v>554</v>
      </c>
      <c r="C893" s="7" t="s">
        <v>807</v>
      </c>
      <c r="D893" s="7" t="s">
        <v>814</v>
      </c>
      <c r="E893" s="7">
        <v>16</v>
      </c>
      <c r="F893" s="7" t="s">
        <v>844</v>
      </c>
      <c r="G893" s="7" t="s">
        <v>828</v>
      </c>
      <c r="H893" s="7">
        <v>3877</v>
      </c>
      <c r="I893" s="7" t="s">
        <v>851</v>
      </c>
      <c r="J893" s="8" t="str" cm="1">
        <f t="array" ref="J893">_xlfn.IFS(H893&gt;8000,"PLATINUM",H893&gt;6000,"GOLD",H893&gt;4000,"SILEVER",H893&gt;2000,"NORMAL",H893&gt;500,"BASIC")</f>
        <v>NORMAL</v>
      </c>
    </row>
    <row r="894" spans="1:10" ht="15.6" x14ac:dyDescent="0.3">
      <c r="A894" s="6">
        <v>45196</v>
      </c>
      <c r="B894" s="7" t="s">
        <v>555</v>
      </c>
      <c r="C894" s="7" t="s">
        <v>805</v>
      </c>
      <c r="D894" s="7" t="s">
        <v>810</v>
      </c>
      <c r="E894" s="7">
        <v>6</v>
      </c>
      <c r="F894" s="7" t="s">
        <v>842</v>
      </c>
      <c r="G894" s="7" t="s">
        <v>826</v>
      </c>
      <c r="H894" s="7">
        <v>9369</v>
      </c>
      <c r="I894" s="7" t="s">
        <v>851</v>
      </c>
      <c r="J894" s="8" t="str" cm="1">
        <f t="array" ref="J894">_xlfn.IFS(H894&gt;8000,"PLATINUM",H894&gt;6000,"GOLD",H894&gt;4000,"SILEVER",H894&gt;2000,"NORMAL",H894&gt;500,"BASIC")</f>
        <v>PLATINUM</v>
      </c>
    </row>
    <row r="895" spans="1:10" ht="15.6" x14ac:dyDescent="0.3">
      <c r="A895" s="6">
        <v>45687</v>
      </c>
      <c r="B895" s="7" t="s">
        <v>556</v>
      </c>
      <c r="C895" s="7" t="s">
        <v>805</v>
      </c>
      <c r="D895" s="7" t="s">
        <v>810</v>
      </c>
      <c r="E895" s="7">
        <v>6</v>
      </c>
      <c r="F895" s="7" t="s">
        <v>844</v>
      </c>
      <c r="G895" s="7" t="s">
        <v>828</v>
      </c>
      <c r="H895" s="7">
        <v>9369</v>
      </c>
      <c r="I895" s="7" t="s">
        <v>851</v>
      </c>
      <c r="J895" s="8" t="str" cm="1">
        <f t="array" ref="J895">_xlfn.IFS(H895&gt;8000,"PLATINUM",H895&gt;6000,"GOLD",H895&gt;4000,"SILEVER",H895&gt;2000,"NORMAL",H895&gt;500,"BASIC")</f>
        <v>PLATINUM</v>
      </c>
    </row>
    <row r="896" spans="1:10" ht="15.6" x14ac:dyDescent="0.3">
      <c r="A896" s="6">
        <v>45196</v>
      </c>
      <c r="B896" s="7" t="s">
        <v>555</v>
      </c>
      <c r="C896" s="7" t="s">
        <v>805</v>
      </c>
      <c r="D896" s="7" t="s">
        <v>810</v>
      </c>
      <c r="E896" s="7">
        <v>20</v>
      </c>
      <c r="F896" s="7" t="s">
        <v>842</v>
      </c>
      <c r="G896" s="7" t="s">
        <v>826</v>
      </c>
      <c r="H896" s="7">
        <v>8680</v>
      </c>
      <c r="I896" s="7" t="s">
        <v>853</v>
      </c>
      <c r="J896" s="8" t="str" cm="1">
        <f t="array" ref="J896">_xlfn.IFS(H896&gt;8000,"PLATINUM",H896&gt;6000,"GOLD",H896&gt;4000,"SILEVER",H896&gt;2000,"NORMAL",H896&gt;500,"BASIC")</f>
        <v>PLATINUM</v>
      </c>
    </row>
    <row r="897" spans="1:10" ht="15.6" x14ac:dyDescent="0.3">
      <c r="A897" s="6">
        <v>45687</v>
      </c>
      <c r="B897" s="7" t="s">
        <v>556</v>
      </c>
      <c r="C897" s="7" t="s">
        <v>805</v>
      </c>
      <c r="D897" s="7" t="s">
        <v>810</v>
      </c>
      <c r="E897" s="7">
        <v>20</v>
      </c>
      <c r="F897" s="7" t="s">
        <v>844</v>
      </c>
      <c r="G897" s="7" t="s">
        <v>828</v>
      </c>
      <c r="H897" s="7">
        <v>8680</v>
      </c>
      <c r="I897" s="7" t="s">
        <v>853</v>
      </c>
      <c r="J897" s="8" t="str" cm="1">
        <f t="array" ref="J897">_xlfn.IFS(H897&gt;8000,"PLATINUM",H897&gt;6000,"GOLD",H897&gt;4000,"SILEVER",H897&gt;2000,"NORMAL",H897&gt;500,"BASIC")</f>
        <v>PLATINUM</v>
      </c>
    </row>
    <row r="898" spans="1:10" ht="15.6" x14ac:dyDescent="0.3">
      <c r="A898" s="6">
        <v>45196</v>
      </c>
      <c r="B898" s="7" t="s">
        <v>555</v>
      </c>
      <c r="C898" s="7" t="s">
        <v>805</v>
      </c>
      <c r="D898" s="7" t="s">
        <v>812</v>
      </c>
      <c r="E898" s="7">
        <v>8</v>
      </c>
      <c r="F898" s="7" t="s">
        <v>842</v>
      </c>
      <c r="G898" s="7" t="s">
        <v>826</v>
      </c>
      <c r="H898" s="7">
        <v>3067</v>
      </c>
      <c r="I898" s="7" t="s">
        <v>850</v>
      </c>
      <c r="J898" s="8" t="str" cm="1">
        <f t="array" ref="J898">_xlfn.IFS(H898&gt;8000,"PLATINUM",H898&gt;6000,"GOLD",H898&gt;4000,"SILEVER",H898&gt;2000,"NORMAL",H898&gt;500,"BASIC")</f>
        <v>NORMAL</v>
      </c>
    </row>
    <row r="899" spans="1:10" ht="15.6" x14ac:dyDescent="0.3">
      <c r="A899" s="6">
        <v>45687</v>
      </c>
      <c r="B899" s="7" t="s">
        <v>556</v>
      </c>
      <c r="C899" s="7" t="s">
        <v>805</v>
      </c>
      <c r="D899" s="7" t="s">
        <v>812</v>
      </c>
      <c r="E899" s="7">
        <v>8</v>
      </c>
      <c r="F899" s="7" t="s">
        <v>844</v>
      </c>
      <c r="G899" s="7" t="s">
        <v>828</v>
      </c>
      <c r="H899" s="7">
        <v>3067</v>
      </c>
      <c r="I899" s="7" t="s">
        <v>850</v>
      </c>
      <c r="J899" s="8" t="str" cm="1">
        <f t="array" ref="J899">_xlfn.IFS(H899&gt;8000,"PLATINUM",H899&gt;6000,"GOLD",H899&gt;4000,"SILEVER",H899&gt;2000,"NORMAL",H899&gt;500,"BASIC")</f>
        <v>NORMAL</v>
      </c>
    </row>
    <row r="900" spans="1:10" ht="15.6" x14ac:dyDescent="0.3">
      <c r="A900" s="6">
        <v>45672</v>
      </c>
      <c r="B900" s="7" t="s">
        <v>557</v>
      </c>
      <c r="C900" s="7" t="s">
        <v>806</v>
      </c>
      <c r="D900" s="7" t="s">
        <v>815</v>
      </c>
      <c r="E900" s="7">
        <v>2</v>
      </c>
      <c r="F900" s="7" t="s">
        <v>847</v>
      </c>
      <c r="G900" s="7" t="s">
        <v>836</v>
      </c>
      <c r="H900" s="7">
        <v>9002</v>
      </c>
      <c r="I900" s="7" t="s">
        <v>852</v>
      </c>
      <c r="J900" s="8" t="str" cm="1">
        <f t="array" ref="J900">_xlfn.IFS(H900&gt;8000,"PLATINUM",H900&gt;6000,"GOLD",H900&gt;4000,"SILEVER",H900&gt;2000,"NORMAL",H900&gt;500,"BASIC")</f>
        <v>PLATINUM</v>
      </c>
    </row>
    <row r="901" spans="1:10" ht="15.6" x14ac:dyDescent="0.3">
      <c r="A901" s="6">
        <v>44283</v>
      </c>
      <c r="B901" s="7" t="s">
        <v>558</v>
      </c>
      <c r="C901" s="7" t="s">
        <v>806</v>
      </c>
      <c r="D901" s="7" t="s">
        <v>815</v>
      </c>
      <c r="E901" s="7">
        <v>2</v>
      </c>
      <c r="F901" s="7" t="s">
        <v>847</v>
      </c>
      <c r="G901" s="7" t="s">
        <v>835</v>
      </c>
      <c r="H901" s="7">
        <v>9002</v>
      </c>
      <c r="I901" s="7" t="s">
        <v>852</v>
      </c>
      <c r="J901" s="8" t="str" cm="1">
        <f t="array" ref="J901">_xlfn.IFS(H901&gt;8000,"PLATINUM",H901&gt;6000,"GOLD",H901&gt;4000,"SILEVER",H901&gt;2000,"NORMAL",H901&gt;500,"BASIC")</f>
        <v>PLATINUM</v>
      </c>
    </row>
    <row r="902" spans="1:10" ht="15.6" x14ac:dyDescent="0.3">
      <c r="A902" s="6">
        <v>44555</v>
      </c>
      <c r="B902" s="7" t="s">
        <v>559</v>
      </c>
      <c r="C902" s="7" t="s">
        <v>806</v>
      </c>
      <c r="D902" s="7" t="s">
        <v>811</v>
      </c>
      <c r="E902" s="7">
        <v>19</v>
      </c>
      <c r="F902" s="7" t="s">
        <v>847</v>
      </c>
      <c r="G902" s="7" t="s">
        <v>835</v>
      </c>
      <c r="H902" s="7">
        <v>7105</v>
      </c>
      <c r="I902" s="7" t="s">
        <v>854</v>
      </c>
      <c r="J902" s="8" t="str" cm="1">
        <f t="array" ref="J902">_xlfn.IFS(H902&gt;8000,"PLATINUM",H902&gt;6000,"GOLD",H902&gt;4000,"SILEVER",H902&gt;2000,"NORMAL",H902&gt;500,"BASIC")</f>
        <v>GOLD</v>
      </c>
    </row>
    <row r="903" spans="1:10" ht="15.6" x14ac:dyDescent="0.3">
      <c r="A903" s="6">
        <v>44960</v>
      </c>
      <c r="B903" s="7" t="s">
        <v>560</v>
      </c>
      <c r="C903" s="7" t="s">
        <v>807</v>
      </c>
      <c r="D903" s="7" t="s">
        <v>814</v>
      </c>
      <c r="E903" s="7">
        <v>18</v>
      </c>
      <c r="F903" s="7" t="s">
        <v>847</v>
      </c>
      <c r="G903" s="7" t="s">
        <v>835</v>
      </c>
      <c r="H903" s="7">
        <v>5317</v>
      </c>
      <c r="I903" s="7" t="s">
        <v>851</v>
      </c>
      <c r="J903" s="8" t="str" cm="1">
        <f t="array" ref="J903">_xlfn.IFS(H903&gt;8000,"PLATINUM",H903&gt;6000,"GOLD",H903&gt;4000,"SILEVER",H903&gt;2000,"NORMAL",H903&gt;500,"BASIC")</f>
        <v>SILEVER</v>
      </c>
    </row>
    <row r="904" spans="1:10" ht="15.6" x14ac:dyDescent="0.3">
      <c r="A904" s="6">
        <v>45044</v>
      </c>
      <c r="B904" s="7" t="s">
        <v>561</v>
      </c>
      <c r="C904" s="7" t="s">
        <v>807</v>
      </c>
      <c r="D904" s="7" t="s">
        <v>814</v>
      </c>
      <c r="E904" s="7">
        <v>18</v>
      </c>
      <c r="F904" s="7" t="s">
        <v>842</v>
      </c>
      <c r="G904" s="7" t="s">
        <v>826</v>
      </c>
      <c r="H904" s="7">
        <v>5317</v>
      </c>
      <c r="I904" s="7" t="s">
        <v>851</v>
      </c>
      <c r="J904" s="8" t="str" cm="1">
        <f t="array" ref="J904">_xlfn.IFS(H904&gt;8000,"PLATINUM",H904&gt;6000,"GOLD",H904&gt;4000,"SILEVER",H904&gt;2000,"NORMAL",H904&gt;500,"BASIC")</f>
        <v>SILEVER</v>
      </c>
    </row>
    <row r="905" spans="1:10" ht="15.6" x14ac:dyDescent="0.3">
      <c r="A905" s="6">
        <v>45618</v>
      </c>
      <c r="B905" s="7" t="s">
        <v>562</v>
      </c>
      <c r="C905" s="7" t="s">
        <v>807</v>
      </c>
      <c r="D905" s="7" t="s">
        <v>814</v>
      </c>
      <c r="E905" s="7">
        <v>18</v>
      </c>
      <c r="F905" s="7" t="s">
        <v>845</v>
      </c>
      <c r="G905" s="7" t="s">
        <v>834</v>
      </c>
      <c r="H905" s="7">
        <v>5317</v>
      </c>
      <c r="I905" s="7" t="s">
        <v>851</v>
      </c>
      <c r="J905" s="8" t="str" cm="1">
        <f t="array" ref="J905">_xlfn.IFS(H905&gt;8000,"PLATINUM",H905&gt;6000,"GOLD",H905&gt;4000,"SILEVER",H905&gt;2000,"NORMAL",H905&gt;500,"BASIC")</f>
        <v>SILEVER</v>
      </c>
    </row>
    <row r="906" spans="1:10" ht="15.6" x14ac:dyDescent="0.3">
      <c r="A906" s="6">
        <v>44960</v>
      </c>
      <c r="B906" s="7" t="s">
        <v>560</v>
      </c>
      <c r="C906" s="7" t="s">
        <v>807</v>
      </c>
      <c r="D906" s="7" t="s">
        <v>813</v>
      </c>
      <c r="E906" s="7">
        <v>14</v>
      </c>
      <c r="F906" s="7" t="s">
        <v>847</v>
      </c>
      <c r="G906" s="7" t="s">
        <v>835</v>
      </c>
      <c r="H906" s="7">
        <v>6304</v>
      </c>
      <c r="I906" s="7" t="s">
        <v>852</v>
      </c>
      <c r="J906" s="8" t="str" cm="1">
        <f t="array" ref="J906">_xlfn.IFS(H906&gt;8000,"PLATINUM",H906&gt;6000,"GOLD",H906&gt;4000,"SILEVER",H906&gt;2000,"NORMAL",H906&gt;500,"BASIC")</f>
        <v>GOLD</v>
      </c>
    </row>
    <row r="907" spans="1:10" ht="15.6" x14ac:dyDescent="0.3">
      <c r="A907" s="6">
        <v>45044</v>
      </c>
      <c r="B907" s="7" t="s">
        <v>561</v>
      </c>
      <c r="C907" s="7" t="s">
        <v>807</v>
      </c>
      <c r="D907" s="7" t="s">
        <v>813</v>
      </c>
      <c r="E907" s="7">
        <v>14</v>
      </c>
      <c r="F907" s="7" t="s">
        <v>842</v>
      </c>
      <c r="G907" s="7" t="s">
        <v>826</v>
      </c>
      <c r="H907" s="7">
        <v>6304</v>
      </c>
      <c r="I907" s="7" t="s">
        <v>852</v>
      </c>
      <c r="J907" s="8" t="str" cm="1">
        <f t="array" ref="J907">_xlfn.IFS(H907&gt;8000,"PLATINUM",H907&gt;6000,"GOLD",H907&gt;4000,"SILEVER",H907&gt;2000,"NORMAL",H907&gt;500,"BASIC")</f>
        <v>GOLD</v>
      </c>
    </row>
    <row r="908" spans="1:10" ht="15.6" x14ac:dyDescent="0.3">
      <c r="A908" s="6">
        <v>45618</v>
      </c>
      <c r="B908" s="7" t="s">
        <v>562</v>
      </c>
      <c r="C908" s="7" t="s">
        <v>807</v>
      </c>
      <c r="D908" s="7" t="s">
        <v>813</v>
      </c>
      <c r="E908" s="7">
        <v>14</v>
      </c>
      <c r="F908" s="7" t="s">
        <v>845</v>
      </c>
      <c r="G908" s="7" t="s">
        <v>834</v>
      </c>
      <c r="H908" s="7">
        <v>6304</v>
      </c>
      <c r="I908" s="7" t="s">
        <v>852</v>
      </c>
      <c r="J908" s="8" t="str" cm="1">
        <f t="array" ref="J908">_xlfn.IFS(H908&gt;8000,"PLATINUM",H908&gt;6000,"GOLD",H908&gt;4000,"SILEVER",H908&gt;2000,"NORMAL",H908&gt;500,"BASIC")</f>
        <v>GOLD</v>
      </c>
    </row>
    <row r="909" spans="1:10" ht="15.6" x14ac:dyDescent="0.3">
      <c r="A909" s="6">
        <v>45475</v>
      </c>
      <c r="B909" s="7" t="s">
        <v>563</v>
      </c>
      <c r="C909" s="7" t="s">
        <v>806</v>
      </c>
      <c r="D909" s="7" t="s">
        <v>817</v>
      </c>
      <c r="E909" s="7">
        <v>3</v>
      </c>
      <c r="F909" s="7" t="s">
        <v>843</v>
      </c>
      <c r="G909" s="7" t="s">
        <v>829</v>
      </c>
      <c r="H909" s="7">
        <v>9565</v>
      </c>
      <c r="I909" s="7" t="s">
        <v>851</v>
      </c>
      <c r="J909" s="8" t="str" cm="1">
        <f t="array" ref="J909">_xlfn.IFS(H909&gt;8000,"PLATINUM",H909&gt;6000,"GOLD",H909&gt;4000,"SILEVER",H909&gt;2000,"NORMAL",H909&gt;500,"BASIC")</f>
        <v>PLATINUM</v>
      </c>
    </row>
    <row r="910" spans="1:10" ht="15.6" x14ac:dyDescent="0.3">
      <c r="A910" s="6">
        <v>45475</v>
      </c>
      <c r="B910" s="7" t="s">
        <v>563</v>
      </c>
      <c r="C910" s="7" t="s">
        <v>806</v>
      </c>
      <c r="D910" s="7" t="s">
        <v>817</v>
      </c>
      <c r="E910" s="7">
        <v>11</v>
      </c>
      <c r="F910" s="7" t="s">
        <v>843</v>
      </c>
      <c r="G910" s="7" t="s">
        <v>829</v>
      </c>
      <c r="H910" s="7">
        <v>8245</v>
      </c>
      <c r="I910" s="7" t="s">
        <v>852</v>
      </c>
      <c r="J910" s="8" t="str" cm="1">
        <f t="array" ref="J910">_xlfn.IFS(H910&gt;8000,"PLATINUM",H910&gt;6000,"GOLD",H910&gt;4000,"SILEVER",H910&gt;2000,"NORMAL",H910&gt;500,"BASIC")</f>
        <v>PLATINUM</v>
      </c>
    </row>
    <row r="911" spans="1:10" ht="15.6" x14ac:dyDescent="0.3">
      <c r="A911" s="6">
        <v>44579</v>
      </c>
      <c r="B911" s="7" t="s">
        <v>564</v>
      </c>
      <c r="C911" s="7" t="s">
        <v>805</v>
      </c>
      <c r="D911" s="7" t="s">
        <v>812</v>
      </c>
      <c r="E911" s="7">
        <v>13</v>
      </c>
      <c r="F911" s="7" t="s">
        <v>847</v>
      </c>
      <c r="G911" s="7" t="s">
        <v>837</v>
      </c>
      <c r="H911" s="7">
        <v>1592</v>
      </c>
      <c r="I911" s="7" t="s">
        <v>851</v>
      </c>
      <c r="J911" s="8" t="str" cm="1">
        <f t="array" ref="J911">_xlfn.IFS(H911&gt;8000,"PLATINUM",H911&gt;6000,"GOLD",H911&gt;4000,"SILEVER",H911&gt;2000,"NORMAL",H911&gt;500,"BASIC")</f>
        <v>BASIC</v>
      </c>
    </row>
    <row r="912" spans="1:10" ht="15.6" x14ac:dyDescent="0.3">
      <c r="A912" s="6">
        <v>45573</v>
      </c>
      <c r="B912" s="7" t="s">
        <v>565</v>
      </c>
      <c r="C912" s="7" t="s">
        <v>805</v>
      </c>
      <c r="D912" s="7" t="s">
        <v>819</v>
      </c>
      <c r="E912" s="7">
        <v>5</v>
      </c>
      <c r="F912" s="7" t="s">
        <v>847</v>
      </c>
      <c r="G912" s="7" t="s">
        <v>835</v>
      </c>
      <c r="H912" s="7">
        <v>8400</v>
      </c>
      <c r="I912" s="7" t="s">
        <v>851</v>
      </c>
      <c r="J912" s="8" t="str" cm="1">
        <f t="array" ref="J912">_xlfn.IFS(H912&gt;8000,"PLATINUM",H912&gt;6000,"GOLD",H912&gt;4000,"SILEVER",H912&gt;2000,"NORMAL",H912&gt;500,"BASIC")</f>
        <v>PLATINUM</v>
      </c>
    </row>
    <row r="913" spans="1:10" ht="15.6" x14ac:dyDescent="0.3">
      <c r="A913" s="6">
        <v>45573</v>
      </c>
      <c r="B913" s="7" t="s">
        <v>565</v>
      </c>
      <c r="C913" s="7" t="s">
        <v>806</v>
      </c>
      <c r="D913" s="7" t="s">
        <v>817</v>
      </c>
      <c r="E913" s="7">
        <v>15</v>
      </c>
      <c r="F913" s="7" t="s">
        <v>847</v>
      </c>
      <c r="G913" s="7" t="s">
        <v>835</v>
      </c>
      <c r="H913" s="7">
        <v>4963</v>
      </c>
      <c r="I913" s="7" t="s">
        <v>852</v>
      </c>
      <c r="J913" s="8" t="str" cm="1">
        <f t="array" ref="J913">_xlfn.IFS(H913&gt;8000,"PLATINUM",H913&gt;6000,"GOLD",H913&gt;4000,"SILEVER",H913&gt;2000,"NORMAL",H913&gt;500,"BASIC")</f>
        <v>SILEVER</v>
      </c>
    </row>
    <row r="914" spans="1:10" ht="15.6" x14ac:dyDescent="0.3">
      <c r="A914" s="6">
        <v>44003</v>
      </c>
      <c r="B914" s="7" t="s">
        <v>566</v>
      </c>
      <c r="C914" s="7" t="s">
        <v>805</v>
      </c>
      <c r="D914" s="7" t="s">
        <v>810</v>
      </c>
      <c r="E914" s="7">
        <v>5</v>
      </c>
      <c r="F914" s="7" t="s">
        <v>845</v>
      </c>
      <c r="G914" s="7" t="s">
        <v>832</v>
      </c>
      <c r="H914" s="7">
        <v>2472</v>
      </c>
      <c r="I914" s="7" t="s">
        <v>854</v>
      </c>
      <c r="J914" s="8" t="str" cm="1">
        <f t="array" ref="J914">_xlfn.IFS(H914&gt;8000,"PLATINUM",H914&gt;6000,"GOLD",H914&gt;4000,"SILEVER",H914&gt;2000,"NORMAL",H914&gt;500,"BASIC")</f>
        <v>NORMAL</v>
      </c>
    </row>
    <row r="915" spans="1:10" ht="15.6" x14ac:dyDescent="0.3">
      <c r="A915" s="6">
        <v>45274</v>
      </c>
      <c r="B915" s="7" t="s">
        <v>567</v>
      </c>
      <c r="C915" s="7" t="s">
        <v>807</v>
      </c>
      <c r="D915" s="7" t="s">
        <v>814</v>
      </c>
      <c r="E915" s="7">
        <v>14</v>
      </c>
      <c r="F915" s="7" t="s">
        <v>842</v>
      </c>
      <c r="G915" s="7" t="s">
        <v>839</v>
      </c>
      <c r="H915" s="7">
        <v>9132</v>
      </c>
      <c r="I915" s="7" t="s">
        <v>851</v>
      </c>
      <c r="J915" s="8" t="str" cm="1">
        <f t="array" ref="J915">_xlfn.IFS(H915&gt;8000,"PLATINUM",H915&gt;6000,"GOLD",H915&gt;4000,"SILEVER",H915&gt;2000,"NORMAL",H915&gt;500,"BASIC")</f>
        <v>PLATINUM</v>
      </c>
    </row>
    <row r="916" spans="1:10" ht="15.6" x14ac:dyDescent="0.3">
      <c r="A916" s="6">
        <v>44181</v>
      </c>
      <c r="B916" s="7" t="s">
        <v>568</v>
      </c>
      <c r="C916" s="7" t="s">
        <v>806</v>
      </c>
      <c r="D916" s="7" t="s">
        <v>818</v>
      </c>
      <c r="E916" s="7">
        <v>6</v>
      </c>
      <c r="F916" s="7" t="s">
        <v>844</v>
      </c>
      <c r="G916" s="7" t="s">
        <v>830</v>
      </c>
      <c r="H916" s="7">
        <v>8305</v>
      </c>
      <c r="I916" s="7" t="s">
        <v>851</v>
      </c>
      <c r="J916" s="8" t="str" cm="1">
        <f t="array" ref="J916">_xlfn.IFS(H916&gt;8000,"PLATINUM",H916&gt;6000,"GOLD",H916&gt;4000,"SILEVER",H916&gt;2000,"NORMAL",H916&gt;500,"BASIC")</f>
        <v>PLATINUM</v>
      </c>
    </row>
    <row r="917" spans="1:10" ht="15.6" x14ac:dyDescent="0.3">
      <c r="A917" s="6">
        <v>45731</v>
      </c>
      <c r="B917" s="7" t="s">
        <v>569</v>
      </c>
      <c r="C917" s="7" t="s">
        <v>805</v>
      </c>
      <c r="D917" s="7" t="s">
        <v>809</v>
      </c>
      <c r="E917" s="7">
        <v>19</v>
      </c>
      <c r="F917" s="7" t="s">
        <v>842</v>
      </c>
      <c r="G917" s="7" t="s">
        <v>839</v>
      </c>
      <c r="H917" s="7">
        <v>1010</v>
      </c>
      <c r="I917" s="7" t="s">
        <v>854</v>
      </c>
      <c r="J917" s="8" t="str" cm="1">
        <f t="array" ref="J917">_xlfn.IFS(H917&gt;8000,"PLATINUM",H917&gt;6000,"GOLD",H917&gt;4000,"SILEVER",H917&gt;2000,"NORMAL",H917&gt;500,"BASIC")</f>
        <v>BASIC</v>
      </c>
    </row>
    <row r="918" spans="1:10" ht="15.6" x14ac:dyDescent="0.3">
      <c r="A918" s="6">
        <v>45525</v>
      </c>
      <c r="B918" s="7" t="s">
        <v>570</v>
      </c>
      <c r="C918" s="7" t="s">
        <v>805</v>
      </c>
      <c r="D918" s="7" t="s">
        <v>819</v>
      </c>
      <c r="E918" s="7">
        <v>9</v>
      </c>
      <c r="F918" s="7" t="s">
        <v>846</v>
      </c>
      <c r="G918" s="7" t="s">
        <v>831</v>
      </c>
      <c r="H918" s="7">
        <v>4544</v>
      </c>
      <c r="I918" s="7" t="s">
        <v>852</v>
      </c>
      <c r="J918" s="8" t="str" cm="1">
        <f t="array" ref="J918">_xlfn.IFS(H918&gt;8000,"PLATINUM",H918&gt;6000,"GOLD",H918&gt;4000,"SILEVER",H918&gt;2000,"NORMAL",H918&gt;500,"BASIC")</f>
        <v>SILEVER</v>
      </c>
    </row>
    <row r="919" spans="1:10" ht="15.6" x14ac:dyDescent="0.3">
      <c r="A919" s="6">
        <v>45525</v>
      </c>
      <c r="B919" s="7" t="s">
        <v>570</v>
      </c>
      <c r="C919" s="7" t="s">
        <v>805</v>
      </c>
      <c r="D919" s="7" t="s">
        <v>819</v>
      </c>
      <c r="E919" s="7">
        <v>20</v>
      </c>
      <c r="F919" s="7" t="s">
        <v>846</v>
      </c>
      <c r="G919" s="7" t="s">
        <v>831</v>
      </c>
      <c r="H919" s="7">
        <v>5900</v>
      </c>
      <c r="I919" s="7" t="s">
        <v>850</v>
      </c>
      <c r="J919" s="8" t="str" cm="1">
        <f t="array" ref="J919">_xlfn.IFS(H919&gt;8000,"PLATINUM",H919&gt;6000,"GOLD",H919&gt;4000,"SILEVER",H919&gt;2000,"NORMAL",H919&gt;500,"BASIC")</f>
        <v>SILEVER</v>
      </c>
    </row>
    <row r="920" spans="1:10" ht="15.6" x14ac:dyDescent="0.3">
      <c r="A920" s="6">
        <v>44343</v>
      </c>
      <c r="B920" s="7" t="s">
        <v>571</v>
      </c>
      <c r="C920" s="7" t="s">
        <v>806</v>
      </c>
      <c r="D920" s="7" t="s">
        <v>815</v>
      </c>
      <c r="E920" s="7">
        <v>19</v>
      </c>
      <c r="F920" s="7" t="s">
        <v>845</v>
      </c>
      <c r="G920" s="7" t="s">
        <v>832</v>
      </c>
      <c r="H920" s="7">
        <v>8861</v>
      </c>
      <c r="I920" s="7" t="s">
        <v>853</v>
      </c>
      <c r="J920" s="8" t="str" cm="1">
        <f t="array" ref="J920">_xlfn.IFS(H920&gt;8000,"PLATINUM",H920&gt;6000,"GOLD",H920&gt;4000,"SILEVER",H920&gt;2000,"NORMAL",H920&gt;500,"BASIC")</f>
        <v>PLATINUM</v>
      </c>
    </row>
    <row r="921" spans="1:10" ht="15.6" x14ac:dyDescent="0.3">
      <c r="A921" s="6">
        <v>44095</v>
      </c>
      <c r="B921" s="7" t="s">
        <v>572</v>
      </c>
      <c r="C921" s="7" t="s">
        <v>805</v>
      </c>
      <c r="D921" s="7" t="s">
        <v>819</v>
      </c>
      <c r="E921" s="7">
        <v>13</v>
      </c>
      <c r="F921" s="7" t="s">
        <v>847</v>
      </c>
      <c r="G921" s="7" t="s">
        <v>836</v>
      </c>
      <c r="H921" s="7">
        <v>8158</v>
      </c>
      <c r="I921" s="7" t="s">
        <v>851</v>
      </c>
      <c r="J921" s="8" t="str" cm="1">
        <f t="array" ref="J921">_xlfn.IFS(H921&gt;8000,"PLATINUM",H921&gt;6000,"GOLD",H921&gt;4000,"SILEVER",H921&gt;2000,"NORMAL",H921&gt;500,"BASIC")</f>
        <v>PLATINUM</v>
      </c>
    </row>
    <row r="922" spans="1:10" ht="15.6" x14ac:dyDescent="0.3">
      <c r="A922" s="6">
        <v>45668</v>
      </c>
      <c r="B922" s="7" t="s">
        <v>573</v>
      </c>
      <c r="C922" s="7" t="s">
        <v>806</v>
      </c>
      <c r="D922" s="7" t="s">
        <v>811</v>
      </c>
      <c r="E922" s="7">
        <v>14</v>
      </c>
      <c r="F922" s="7" t="s">
        <v>845</v>
      </c>
      <c r="G922" s="7" t="s">
        <v>827</v>
      </c>
      <c r="H922" s="7">
        <v>3411</v>
      </c>
      <c r="I922" s="7" t="s">
        <v>850</v>
      </c>
      <c r="J922" s="8" t="str" cm="1">
        <f t="array" ref="J922">_xlfn.IFS(H922&gt;8000,"PLATINUM",H922&gt;6000,"GOLD",H922&gt;4000,"SILEVER",H922&gt;2000,"NORMAL",H922&gt;500,"BASIC")</f>
        <v>NORMAL</v>
      </c>
    </row>
    <row r="923" spans="1:10" ht="15.6" x14ac:dyDescent="0.3">
      <c r="A923" s="6">
        <v>44489</v>
      </c>
      <c r="B923" s="7" t="s">
        <v>574</v>
      </c>
      <c r="C923" s="7" t="s">
        <v>806</v>
      </c>
      <c r="D923" s="7" t="s">
        <v>815</v>
      </c>
      <c r="E923" s="7">
        <v>16</v>
      </c>
      <c r="F923" s="7" t="s">
        <v>846</v>
      </c>
      <c r="G923" s="7" t="s">
        <v>838</v>
      </c>
      <c r="H923" s="7">
        <v>9406</v>
      </c>
      <c r="I923" s="7" t="s">
        <v>850</v>
      </c>
      <c r="J923" s="8" t="str" cm="1">
        <f t="array" ref="J923">_xlfn.IFS(H923&gt;8000,"PLATINUM",H923&gt;6000,"GOLD",H923&gt;4000,"SILEVER",H923&gt;2000,"NORMAL",H923&gt;500,"BASIC")</f>
        <v>PLATINUM</v>
      </c>
    </row>
    <row r="924" spans="1:10" ht="15.6" x14ac:dyDescent="0.3">
      <c r="A924" s="6">
        <v>44489</v>
      </c>
      <c r="B924" s="7" t="s">
        <v>574</v>
      </c>
      <c r="C924" s="7" t="s">
        <v>805</v>
      </c>
      <c r="D924" s="7" t="s">
        <v>810</v>
      </c>
      <c r="E924" s="7">
        <v>15</v>
      </c>
      <c r="F924" s="7" t="s">
        <v>846</v>
      </c>
      <c r="G924" s="7" t="s">
        <v>838</v>
      </c>
      <c r="H924" s="7">
        <v>1156</v>
      </c>
      <c r="I924" s="7" t="s">
        <v>852</v>
      </c>
      <c r="J924" s="8" t="str" cm="1">
        <f t="array" ref="J924">_xlfn.IFS(H924&gt;8000,"PLATINUM",H924&gt;6000,"GOLD",H924&gt;4000,"SILEVER",H924&gt;2000,"NORMAL",H924&gt;500,"BASIC")</f>
        <v>BASIC</v>
      </c>
    </row>
    <row r="925" spans="1:10" ht="15.6" x14ac:dyDescent="0.3">
      <c r="A925" s="6">
        <v>44488</v>
      </c>
      <c r="B925" s="7" t="s">
        <v>575</v>
      </c>
      <c r="C925" s="7" t="s">
        <v>807</v>
      </c>
      <c r="D925" s="7" t="s">
        <v>820</v>
      </c>
      <c r="E925" s="7">
        <v>10</v>
      </c>
      <c r="F925" s="7" t="s">
        <v>843</v>
      </c>
      <c r="G925" s="7" t="s">
        <v>829</v>
      </c>
      <c r="H925" s="7">
        <v>5354</v>
      </c>
      <c r="I925" s="7" t="s">
        <v>850</v>
      </c>
      <c r="J925" s="8" t="str" cm="1">
        <f t="array" ref="J925">_xlfn.IFS(H925&gt;8000,"PLATINUM",H925&gt;6000,"GOLD",H925&gt;4000,"SILEVER",H925&gt;2000,"NORMAL",H925&gt;500,"BASIC")</f>
        <v>SILEVER</v>
      </c>
    </row>
    <row r="926" spans="1:10" ht="15.6" x14ac:dyDescent="0.3">
      <c r="A926" s="6">
        <v>45480</v>
      </c>
      <c r="B926" s="7" t="s">
        <v>576</v>
      </c>
      <c r="C926" s="7" t="s">
        <v>805</v>
      </c>
      <c r="D926" s="7" t="s">
        <v>809</v>
      </c>
      <c r="E926" s="7">
        <v>4</v>
      </c>
      <c r="F926" s="7" t="s">
        <v>846</v>
      </c>
      <c r="G926" s="7" t="s">
        <v>833</v>
      </c>
      <c r="H926" s="7">
        <v>8780</v>
      </c>
      <c r="I926" s="7" t="s">
        <v>853</v>
      </c>
      <c r="J926" s="8" t="str" cm="1">
        <f t="array" ref="J926">_xlfn.IFS(H926&gt;8000,"PLATINUM",H926&gt;6000,"GOLD",H926&gt;4000,"SILEVER",H926&gt;2000,"NORMAL",H926&gt;500,"BASIC")</f>
        <v>PLATINUM</v>
      </c>
    </row>
    <row r="927" spans="1:10" ht="15.6" x14ac:dyDescent="0.3">
      <c r="A927" s="6">
        <v>45132</v>
      </c>
      <c r="B927" s="7" t="s">
        <v>577</v>
      </c>
      <c r="C927" s="7" t="s">
        <v>805</v>
      </c>
      <c r="D927" s="7" t="s">
        <v>809</v>
      </c>
      <c r="E927" s="7">
        <v>4</v>
      </c>
      <c r="F927" s="7" t="s">
        <v>846</v>
      </c>
      <c r="G927" s="7" t="s">
        <v>833</v>
      </c>
      <c r="H927" s="7">
        <v>8780</v>
      </c>
      <c r="I927" s="7" t="s">
        <v>853</v>
      </c>
      <c r="J927" s="8" t="str" cm="1">
        <f t="array" ref="J927">_xlfn.IFS(H927&gt;8000,"PLATINUM",H927&gt;6000,"GOLD",H927&gt;4000,"SILEVER",H927&gt;2000,"NORMAL",H927&gt;500,"BASIC")</f>
        <v>PLATINUM</v>
      </c>
    </row>
    <row r="928" spans="1:10" ht="15.6" x14ac:dyDescent="0.3">
      <c r="A928" s="6">
        <v>43937</v>
      </c>
      <c r="B928" s="7" t="s">
        <v>578</v>
      </c>
      <c r="C928" s="7" t="s">
        <v>807</v>
      </c>
      <c r="D928" s="7" t="s">
        <v>816</v>
      </c>
      <c r="E928" s="7">
        <v>8</v>
      </c>
      <c r="F928" s="7" t="s">
        <v>847</v>
      </c>
      <c r="G928" s="7" t="s">
        <v>835</v>
      </c>
      <c r="H928" s="7">
        <v>6783</v>
      </c>
      <c r="I928" s="7" t="s">
        <v>851</v>
      </c>
      <c r="J928" s="8" t="str" cm="1">
        <f t="array" ref="J928">_xlfn.IFS(H928&gt;8000,"PLATINUM",H928&gt;6000,"GOLD",H928&gt;4000,"SILEVER",H928&gt;2000,"NORMAL",H928&gt;500,"BASIC")</f>
        <v>GOLD</v>
      </c>
    </row>
    <row r="929" spans="1:10" ht="15.6" x14ac:dyDescent="0.3">
      <c r="A929" s="6">
        <v>44016</v>
      </c>
      <c r="B929" s="7" t="s">
        <v>579</v>
      </c>
      <c r="C929" s="7" t="s">
        <v>806</v>
      </c>
      <c r="D929" s="7" t="s">
        <v>811</v>
      </c>
      <c r="E929" s="7">
        <v>4</v>
      </c>
      <c r="F929" s="7" t="s">
        <v>844</v>
      </c>
      <c r="G929" s="7" t="s">
        <v>828</v>
      </c>
      <c r="H929" s="7">
        <v>1778</v>
      </c>
      <c r="I929" s="7" t="s">
        <v>853</v>
      </c>
      <c r="J929" s="8" t="str" cm="1">
        <f t="array" ref="J929">_xlfn.IFS(H929&gt;8000,"PLATINUM",H929&gt;6000,"GOLD",H929&gt;4000,"SILEVER",H929&gt;2000,"NORMAL",H929&gt;500,"BASIC")</f>
        <v>BASIC</v>
      </c>
    </row>
    <row r="930" spans="1:10" ht="15.6" x14ac:dyDescent="0.3">
      <c r="A930" s="6">
        <v>44697</v>
      </c>
      <c r="B930" s="7" t="s">
        <v>580</v>
      </c>
      <c r="C930" s="7" t="s">
        <v>805</v>
      </c>
      <c r="D930" s="7" t="s">
        <v>810</v>
      </c>
      <c r="E930" s="7">
        <v>12</v>
      </c>
      <c r="F930" s="7" t="s">
        <v>844</v>
      </c>
      <c r="G930" s="7" t="s">
        <v>830</v>
      </c>
      <c r="H930" s="7">
        <v>9399</v>
      </c>
      <c r="I930" s="7" t="s">
        <v>850</v>
      </c>
      <c r="J930" s="8" t="str" cm="1">
        <f t="array" ref="J930">_xlfn.IFS(H930&gt;8000,"PLATINUM",H930&gt;6000,"GOLD",H930&gt;4000,"SILEVER",H930&gt;2000,"NORMAL",H930&gt;500,"BASIC")</f>
        <v>PLATINUM</v>
      </c>
    </row>
    <row r="931" spans="1:10" ht="15.6" x14ac:dyDescent="0.3">
      <c r="A931" s="6">
        <v>44697</v>
      </c>
      <c r="B931" s="7" t="s">
        <v>580</v>
      </c>
      <c r="C931" s="7" t="s">
        <v>807</v>
      </c>
      <c r="D931" s="7" t="s">
        <v>816</v>
      </c>
      <c r="E931" s="7">
        <v>4</v>
      </c>
      <c r="F931" s="7" t="s">
        <v>844</v>
      </c>
      <c r="G931" s="7" t="s">
        <v>830</v>
      </c>
      <c r="H931" s="7">
        <v>7957</v>
      </c>
      <c r="I931" s="7" t="s">
        <v>853</v>
      </c>
      <c r="J931" s="8" t="str" cm="1">
        <f t="array" ref="J931">_xlfn.IFS(H931&gt;8000,"PLATINUM",H931&gt;6000,"GOLD",H931&gt;4000,"SILEVER",H931&gt;2000,"NORMAL",H931&gt;500,"BASIC")</f>
        <v>GOLD</v>
      </c>
    </row>
    <row r="932" spans="1:10" ht="15.6" x14ac:dyDescent="0.3">
      <c r="A932" s="6">
        <v>45255</v>
      </c>
      <c r="B932" s="7" t="s">
        <v>581</v>
      </c>
      <c r="C932" s="7" t="s">
        <v>807</v>
      </c>
      <c r="D932" s="7" t="s">
        <v>814</v>
      </c>
      <c r="E932" s="7">
        <v>13</v>
      </c>
      <c r="F932" s="7" t="s">
        <v>843</v>
      </c>
      <c r="G932" s="7" t="s">
        <v>829</v>
      </c>
      <c r="H932" s="7">
        <v>1638</v>
      </c>
      <c r="I932" s="7" t="s">
        <v>852</v>
      </c>
      <c r="J932" s="8" t="str" cm="1">
        <f t="array" ref="J932">_xlfn.IFS(H932&gt;8000,"PLATINUM",H932&gt;6000,"GOLD",H932&gt;4000,"SILEVER",H932&gt;2000,"NORMAL",H932&gt;500,"BASIC")</f>
        <v>BASIC</v>
      </c>
    </row>
    <row r="933" spans="1:10" ht="15.6" x14ac:dyDescent="0.3">
      <c r="A933" s="6">
        <v>44425</v>
      </c>
      <c r="B933" s="7" t="s">
        <v>582</v>
      </c>
      <c r="C933" s="7" t="s">
        <v>807</v>
      </c>
      <c r="D933" s="7" t="s">
        <v>813</v>
      </c>
      <c r="E933" s="7">
        <v>4</v>
      </c>
      <c r="F933" s="7" t="s">
        <v>846</v>
      </c>
      <c r="G933" s="7" t="s">
        <v>831</v>
      </c>
      <c r="H933" s="7">
        <v>1786</v>
      </c>
      <c r="I933" s="7" t="s">
        <v>854</v>
      </c>
      <c r="J933" s="8" t="str" cm="1">
        <f t="array" ref="J933">_xlfn.IFS(H933&gt;8000,"PLATINUM",H933&gt;6000,"GOLD",H933&gt;4000,"SILEVER",H933&gt;2000,"NORMAL",H933&gt;500,"BASIC")</f>
        <v>BASIC</v>
      </c>
    </row>
    <row r="934" spans="1:10" ht="15.6" x14ac:dyDescent="0.3">
      <c r="A934" s="6">
        <v>45109</v>
      </c>
      <c r="B934" s="7" t="s">
        <v>583</v>
      </c>
      <c r="C934" s="7" t="s">
        <v>806</v>
      </c>
      <c r="D934" s="7" t="s">
        <v>817</v>
      </c>
      <c r="E934" s="7">
        <v>9</v>
      </c>
      <c r="F934" s="7" t="s">
        <v>844</v>
      </c>
      <c r="G934" s="7" t="s">
        <v>825</v>
      </c>
      <c r="H934" s="7">
        <v>4751</v>
      </c>
      <c r="I934" s="7" t="s">
        <v>852</v>
      </c>
      <c r="J934" s="8" t="str" cm="1">
        <f t="array" ref="J934">_xlfn.IFS(H934&gt;8000,"PLATINUM",H934&gt;6000,"GOLD",H934&gt;4000,"SILEVER",H934&gt;2000,"NORMAL",H934&gt;500,"BASIC")</f>
        <v>SILEVER</v>
      </c>
    </row>
    <row r="935" spans="1:10" ht="15.6" x14ac:dyDescent="0.3">
      <c r="A935" s="6">
        <v>44067</v>
      </c>
      <c r="B935" s="7" t="s">
        <v>584</v>
      </c>
      <c r="C935" s="7" t="s">
        <v>806</v>
      </c>
      <c r="D935" s="7" t="s">
        <v>817</v>
      </c>
      <c r="E935" s="7">
        <v>4</v>
      </c>
      <c r="F935" s="7" t="s">
        <v>843</v>
      </c>
      <c r="G935" s="7" t="s">
        <v>824</v>
      </c>
      <c r="H935" s="7">
        <v>8979</v>
      </c>
      <c r="I935" s="7" t="s">
        <v>853</v>
      </c>
      <c r="J935" s="8" t="str" cm="1">
        <f t="array" ref="J935">_xlfn.IFS(H935&gt;8000,"PLATINUM",H935&gt;6000,"GOLD",H935&gt;4000,"SILEVER",H935&gt;2000,"NORMAL",H935&gt;500,"BASIC")</f>
        <v>PLATINUM</v>
      </c>
    </row>
    <row r="936" spans="1:10" ht="15.6" x14ac:dyDescent="0.3">
      <c r="A936" s="6">
        <v>44872</v>
      </c>
      <c r="B936" s="7" t="s">
        <v>585</v>
      </c>
      <c r="C936" s="7" t="s">
        <v>805</v>
      </c>
      <c r="D936" s="7" t="s">
        <v>819</v>
      </c>
      <c r="E936" s="7">
        <v>8</v>
      </c>
      <c r="F936" s="7" t="s">
        <v>842</v>
      </c>
      <c r="G936" s="7" t="s">
        <v>823</v>
      </c>
      <c r="H936" s="7">
        <v>2727</v>
      </c>
      <c r="I936" s="7" t="s">
        <v>853</v>
      </c>
      <c r="J936" s="8" t="str" cm="1">
        <f t="array" ref="J936">_xlfn.IFS(H936&gt;8000,"PLATINUM",H936&gt;6000,"GOLD",H936&gt;4000,"SILEVER",H936&gt;2000,"NORMAL",H936&gt;500,"BASIC")</f>
        <v>NORMAL</v>
      </c>
    </row>
    <row r="937" spans="1:10" ht="15.6" x14ac:dyDescent="0.3">
      <c r="A937" s="6">
        <v>45378</v>
      </c>
      <c r="B937" s="7" t="s">
        <v>586</v>
      </c>
      <c r="C937" s="7" t="s">
        <v>805</v>
      </c>
      <c r="D937" s="7" t="s">
        <v>810</v>
      </c>
      <c r="E937" s="7">
        <v>17</v>
      </c>
      <c r="F937" s="7" t="s">
        <v>843</v>
      </c>
      <c r="G937" s="7" t="s">
        <v>840</v>
      </c>
      <c r="H937" s="7">
        <v>1093</v>
      </c>
      <c r="I937" s="7" t="s">
        <v>853</v>
      </c>
      <c r="J937" s="8" t="str" cm="1">
        <f t="array" ref="J937">_xlfn.IFS(H937&gt;8000,"PLATINUM",H937&gt;6000,"GOLD",H937&gt;4000,"SILEVER",H937&gt;2000,"NORMAL",H937&gt;500,"BASIC")</f>
        <v>BASIC</v>
      </c>
    </row>
    <row r="938" spans="1:10" ht="15.6" x14ac:dyDescent="0.3">
      <c r="A938" s="6">
        <v>45536</v>
      </c>
      <c r="B938" s="7" t="s">
        <v>587</v>
      </c>
      <c r="C938" s="7" t="s">
        <v>805</v>
      </c>
      <c r="D938" s="7" t="s">
        <v>810</v>
      </c>
      <c r="E938" s="7">
        <v>17</v>
      </c>
      <c r="F938" s="7" t="s">
        <v>844</v>
      </c>
      <c r="G938" s="7" t="s">
        <v>825</v>
      </c>
      <c r="H938" s="7">
        <v>1093</v>
      </c>
      <c r="I938" s="7" t="s">
        <v>853</v>
      </c>
      <c r="J938" s="8" t="str" cm="1">
        <f t="array" ref="J938">_xlfn.IFS(H938&gt;8000,"PLATINUM",H938&gt;6000,"GOLD",H938&gt;4000,"SILEVER",H938&gt;2000,"NORMAL",H938&gt;500,"BASIC")</f>
        <v>BASIC</v>
      </c>
    </row>
    <row r="939" spans="1:10" ht="15.6" x14ac:dyDescent="0.3">
      <c r="A939" s="6">
        <v>44614</v>
      </c>
      <c r="B939" s="7" t="s">
        <v>588</v>
      </c>
      <c r="C939" s="7" t="s">
        <v>805</v>
      </c>
      <c r="D939" s="7" t="s">
        <v>810</v>
      </c>
      <c r="E939" s="7">
        <v>17</v>
      </c>
      <c r="F939" s="7" t="s">
        <v>847</v>
      </c>
      <c r="G939" s="7" t="s">
        <v>835</v>
      </c>
      <c r="H939" s="7">
        <v>1093</v>
      </c>
      <c r="I939" s="7" t="s">
        <v>853</v>
      </c>
      <c r="J939" s="8" t="str" cm="1">
        <f t="array" ref="J939">_xlfn.IFS(H939&gt;8000,"PLATINUM",H939&gt;6000,"GOLD",H939&gt;4000,"SILEVER",H939&gt;2000,"NORMAL",H939&gt;500,"BASIC")</f>
        <v>BASIC</v>
      </c>
    </row>
    <row r="940" spans="1:10" ht="15.6" x14ac:dyDescent="0.3">
      <c r="A940" s="6">
        <v>45378</v>
      </c>
      <c r="B940" s="7" t="s">
        <v>586</v>
      </c>
      <c r="C940" s="7" t="s">
        <v>806</v>
      </c>
      <c r="D940" s="7" t="s">
        <v>817</v>
      </c>
      <c r="E940" s="7">
        <v>11</v>
      </c>
      <c r="F940" s="7" t="s">
        <v>843</v>
      </c>
      <c r="G940" s="7" t="s">
        <v>840</v>
      </c>
      <c r="H940" s="7">
        <v>2636</v>
      </c>
      <c r="I940" s="7" t="s">
        <v>851</v>
      </c>
      <c r="J940" s="8" t="str" cm="1">
        <f t="array" ref="J940">_xlfn.IFS(H940&gt;8000,"PLATINUM",H940&gt;6000,"GOLD",H940&gt;4000,"SILEVER",H940&gt;2000,"NORMAL",H940&gt;500,"BASIC")</f>
        <v>NORMAL</v>
      </c>
    </row>
    <row r="941" spans="1:10" ht="15.6" x14ac:dyDescent="0.3">
      <c r="A941" s="6">
        <v>45536</v>
      </c>
      <c r="B941" s="7" t="s">
        <v>587</v>
      </c>
      <c r="C941" s="7" t="s">
        <v>806</v>
      </c>
      <c r="D941" s="7" t="s">
        <v>817</v>
      </c>
      <c r="E941" s="7">
        <v>11</v>
      </c>
      <c r="F941" s="7" t="s">
        <v>844</v>
      </c>
      <c r="G941" s="7" t="s">
        <v>825</v>
      </c>
      <c r="H941" s="7">
        <v>2636</v>
      </c>
      <c r="I941" s="7" t="s">
        <v>851</v>
      </c>
      <c r="J941" s="8" t="str" cm="1">
        <f t="array" ref="J941">_xlfn.IFS(H941&gt;8000,"PLATINUM",H941&gt;6000,"GOLD",H941&gt;4000,"SILEVER",H941&gt;2000,"NORMAL",H941&gt;500,"BASIC")</f>
        <v>NORMAL</v>
      </c>
    </row>
    <row r="942" spans="1:10" ht="15.6" x14ac:dyDescent="0.3">
      <c r="A942" s="6">
        <v>44614</v>
      </c>
      <c r="B942" s="7" t="s">
        <v>588</v>
      </c>
      <c r="C942" s="7" t="s">
        <v>806</v>
      </c>
      <c r="D942" s="7" t="s">
        <v>817</v>
      </c>
      <c r="E942" s="7">
        <v>11</v>
      </c>
      <c r="F942" s="7" t="s">
        <v>847</v>
      </c>
      <c r="G942" s="7" t="s">
        <v>835</v>
      </c>
      <c r="H942" s="7">
        <v>2636</v>
      </c>
      <c r="I942" s="7" t="s">
        <v>851</v>
      </c>
      <c r="J942" s="8" t="str" cm="1">
        <f t="array" ref="J942">_xlfn.IFS(H942&gt;8000,"PLATINUM",H942&gt;6000,"GOLD",H942&gt;4000,"SILEVER",H942&gt;2000,"NORMAL",H942&gt;500,"BASIC")</f>
        <v>NORMAL</v>
      </c>
    </row>
    <row r="943" spans="1:10" ht="15.6" x14ac:dyDescent="0.3">
      <c r="A943" s="6">
        <v>44603</v>
      </c>
      <c r="B943" s="7" t="s">
        <v>589</v>
      </c>
      <c r="C943" s="7" t="s">
        <v>805</v>
      </c>
      <c r="D943" s="7" t="s">
        <v>809</v>
      </c>
      <c r="E943" s="7">
        <v>7</v>
      </c>
      <c r="F943" s="7" t="s">
        <v>842</v>
      </c>
      <c r="G943" s="7" t="s">
        <v>823</v>
      </c>
      <c r="H943" s="7">
        <v>7344</v>
      </c>
      <c r="I943" s="7" t="s">
        <v>851</v>
      </c>
      <c r="J943" s="8" t="str" cm="1">
        <f t="array" ref="J943">_xlfn.IFS(H943&gt;8000,"PLATINUM",H943&gt;6000,"GOLD",H943&gt;4000,"SILEVER",H943&gt;2000,"NORMAL",H943&gt;500,"BASIC")</f>
        <v>GOLD</v>
      </c>
    </row>
    <row r="944" spans="1:10" ht="15.6" x14ac:dyDescent="0.3">
      <c r="A944" s="6">
        <v>44603</v>
      </c>
      <c r="B944" s="7" t="s">
        <v>589</v>
      </c>
      <c r="C944" s="7" t="s">
        <v>806</v>
      </c>
      <c r="D944" s="7" t="s">
        <v>817</v>
      </c>
      <c r="E944" s="7">
        <v>3</v>
      </c>
      <c r="F944" s="7" t="s">
        <v>842</v>
      </c>
      <c r="G944" s="7" t="s">
        <v>823</v>
      </c>
      <c r="H944" s="7">
        <v>7306</v>
      </c>
      <c r="I944" s="7" t="s">
        <v>854</v>
      </c>
      <c r="J944" s="8" t="str" cm="1">
        <f t="array" ref="J944">_xlfn.IFS(H944&gt;8000,"PLATINUM",H944&gt;6000,"GOLD",H944&gt;4000,"SILEVER",H944&gt;2000,"NORMAL",H944&gt;500,"BASIC")</f>
        <v>GOLD</v>
      </c>
    </row>
    <row r="945" spans="1:10" ht="15.6" x14ac:dyDescent="0.3">
      <c r="A945" s="6">
        <v>44603</v>
      </c>
      <c r="B945" s="7" t="s">
        <v>589</v>
      </c>
      <c r="C945" s="7" t="s">
        <v>805</v>
      </c>
      <c r="D945" s="7" t="s">
        <v>810</v>
      </c>
      <c r="E945" s="7">
        <v>10</v>
      </c>
      <c r="F945" s="7" t="s">
        <v>842</v>
      </c>
      <c r="G945" s="7" t="s">
        <v>823</v>
      </c>
      <c r="H945" s="7">
        <v>5832</v>
      </c>
      <c r="I945" s="7" t="s">
        <v>854</v>
      </c>
      <c r="J945" s="8" t="str" cm="1">
        <f t="array" ref="J945">_xlfn.IFS(H945&gt;8000,"PLATINUM",H945&gt;6000,"GOLD",H945&gt;4000,"SILEVER",H945&gt;2000,"NORMAL",H945&gt;500,"BASIC")</f>
        <v>SILEVER</v>
      </c>
    </row>
    <row r="946" spans="1:10" ht="15.6" x14ac:dyDescent="0.3">
      <c r="A946" s="6">
        <v>44343</v>
      </c>
      <c r="B946" s="7" t="s">
        <v>590</v>
      </c>
      <c r="C946" s="7" t="s">
        <v>807</v>
      </c>
      <c r="D946" s="7" t="s">
        <v>813</v>
      </c>
      <c r="E946" s="7">
        <v>8</v>
      </c>
      <c r="F946" s="7" t="s">
        <v>843</v>
      </c>
      <c r="G946" s="7" t="s">
        <v>829</v>
      </c>
      <c r="H946" s="7">
        <v>8572</v>
      </c>
      <c r="I946" s="7" t="s">
        <v>852</v>
      </c>
      <c r="J946" s="8" t="str" cm="1">
        <f t="array" ref="J946">_xlfn.IFS(H946&gt;8000,"PLATINUM",H946&gt;6000,"GOLD",H946&gt;4000,"SILEVER",H946&gt;2000,"NORMAL",H946&gt;500,"BASIC")</f>
        <v>PLATINUM</v>
      </c>
    </row>
    <row r="947" spans="1:10" ht="15.6" x14ac:dyDescent="0.3">
      <c r="A947" s="6">
        <v>45112</v>
      </c>
      <c r="B947" s="7" t="s">
        <v>591</v>
      </c>
      <c r="C947" s="7" t="s">
        <v>807</v>
      </c>
      <c r="D947" s="7" t="s">
        <v>813</v>
      </c>
      <c r="E947" s="7">
        <v>8</v>
      </c>
      <c r="F947" s="7" t="s">
        <v>843</v>
      </c>
      <c r="G947" s="7" t="s">
        <v>829</v>
      </c>
      <c r="H947" s="7">
        <v>8572</v>
      </c>
      <c r="I947" s="7" t="s">
        <v>852</v>
      </c>
      <c r="J947" s="8" t="str" cm="1">
        <f t="array" ref="J947">_xlfn.IFS(H947&gt;8000,"PLATINUM",H947&gt;6000,"GOLD",H947&gt;4000,"SILEVER",H947&gt;2000,"NORMAL",H947&gt;500,"BASIC")</f>
        <v>PLATINUM</v>
      </c>
    </row>
    <row r="948" spans="1:10" ht="15.6" x14ac:dyDescent="0.3">
      <c r="A948" s="6">
        <v>44131</v>
      </c>
      <c r="B948" s="7" t="s">
        <v>592</v>
      </c>
      <c r="C948" s="7" t="s">
        <v>807</v>
      </c>
      <c r="D948" s="7" t="s">
        <v>813</v>
      </c>
      <c r="E948" s="7">
        <v>8</v>
      </c>
      <c r="F948" s="7" t="s">
        <v>845</v>
      </c>
      <c r="G948" s="7" t="s">
        <v>832</v>
      </c>
      <c r="H948" s="7">
        <v>8572</v>
      </c>
      <c r="I948" s="7" t="s">
        <v>852</v>
      </c>
      <c r="J948" s="8" t="str" cm="1">
        <f t="array" ref="J948">_xlfn.IFS(H948&gt;8000,"PLATINUM",H948&gt;6000,"GOLD",H948&gt;4000,"SILEVER",H948&gt;2000,"NORMAL",H948&gt;500,"BASIC")</f>
        <v>PLATINUM</v>
      </c>
    </row>
    <row r="949" spans="1:10" ht="15.6" x14ac:dyDescent="0.3">
      <c r="A949" s="6">
        <v>44343</v>
      </c>
      <c r="B949" s="7" t="s">
        <v>590</v>
      </c>
      <c r="C949" s="7" t="s">
        <v>805</v>
      </c>
      <c r="D949" s="7" t="s">
        <v>810</v>
      </c>
      <c r="E949" s="7">
        <v>10</v>
      </c>
      <c r="F949" s="7" t="s">
        <v>843</v>
      </c>
      <c r="G949" s="7" t="s">
        <v>829</v>
      </c>
      <c r="H949" s="7">
        <v>8059</v>
      </c>
      <c r="I949" s="7" t="s">
        <v>853</v>
      </c>
      <c r="J949" s="8" t="str" cm="1">
        <f t="array" ref="J949">_xlfn.IFS(H949&gt;8000,"PLATINUM",H949&gt;6000,"GOLD",H949&gt;4000,"SILEVER",H949&gt;2000,"NORMAL",H949&gt;500,"BASIC")</f>
        <v>PLATINUM</v>
      </c>
    </row>
    <row r="950" spans="1:10" ht="15.6" x14ac:dyDescent="0.3">
      <c r="A950" s="6">
        <v>45112</v>
      </c>
      <c r="B950" s="7" t="s">
        <v>591</v>
      </c>
      <c r="C950" s="7" t="s">
        <v>805</v>
      </c>
      <c r="D950" s="7" t="s">
        <v>810</v>
      </c>
      <c r="E950" s="7">
        <v>10</v>
      </c>
      <c r="F950" s="7" t="s">
        <v>843</v>
      </c>
      <c r="G950" s="7" t="s">
        <v>829</v>
      </c>
      <c r="H950" s="7">
        <v>8059</v>
      </c>
      <c r="I950" s="7" t="s">
        <v>853</v>
      </c>
      <c r="J950" s="8" t="str" cm="1">
        <f t="array" ref="J950">_xlfn.IFS(H950&gt;8000,"PLATINUM",H950&gt;6000,"GOLD",H950&gt;4000,"SILEVER",H950&gt;2000,"NORMAL",H950&gt;500,"BASIC")</f>
        <v>PLATINUM</v>
      </c>
    </row>
    <row r="951" spans="1:10" ht="15.6" x14ac:dyDescent="0.3">
      <c r="A951" s="6">
        <v>44131</v>
      </c>
      <c r="B951" s="7" t="s">
        <v>592</v>
      </c>
      <c r="C951" s="7" t="s">
        <v>805</v>
      </c>
      <c r="D951" s="7" t="s">
        <v>810</v>
      </c>
      <c r="E951" s="7">
        <v>10</v>
      </c>
      <c r="F951" s="7" t="s">
        <v>845</v>
      </c>
      <c r="G951" s="7" t="s">
        <v>832</v>
      </c>
      <c r="H951" s="7">
        <v>8059</v>
      </c>
      <c r="I951" s="7" t="s">
        <v>853</v>
      </c>
      <c r="J951" s="8" t="str" cm="1">
        <f t="array" ref="J951">_xlfn.IFS(H951&gt;8000,"PLATINUM",H951&gt;6000,"GOLD",H951&gt;4000,"SILEVER",H951&gt;2000,"NORMAL",H951&gt;500,"BASIC")</f>
        <v>PLATINUM</v>
      </c>
    </row>
    <row r="952" spans="1:10" ht="15.6" x14ac:dyDescent="0.3">
      <c r="A952" s="6">
        <v>44952</v>
      </c>
      <c r="B952" s="7" t="s">
        <v>593</v>
      </c>
      <c r="C952" s="7" t="s">
        <v>807</v>
      </c>
      <c r="D952" s="7" t="s">
        <v>816</v>
      </c>
      <c r="E952" s="7">
        <v>13</v>
      </c>
      <c r="F952" s="7" t="s">
        <v>846</v>
      </c>
      <c r="G952" s="7" t="s">
        <v>833</v>
      </c>
      <c r="H952" s="7">
        <v>3661</v>
      </c>
      <c r="I952" s="7" t="s">
        <v>852</v>
      </c>
      <c r="J952" s="8" t="str" cm="1">
        <f t="array" ref="J952">_xlfn.IFS(H952&gt;8000,"PLATINUM",H952&gt;6000,"GOLD",H952&gt;4000,"SILEVER",H952&gt;2000,"NORMAL",H952&gt;500,"BASIC")</f>
        <v>NORMAL</v>
      </c>
    </row>
    <row r="953" spans="1:10" ht="15.6" x14ac:dyDescent="0.3">
      <c r="A953" s="6">
        <v>44445</v>
      </c>
      <c r="B953" s="7" t="s">
        <v>594</v>
      </c>
      <c r="C953" s="7" t="s">
        <v>806</v>
      </c>
      <c r="D953" s="7" t="s">
        <v>817</v>
      </c>
      <c r="E953" s="7">
        <v>8</v>
      </c>
      <c r="F953" s="7" t="s">
        <v>845</v>
      </c>
      <c r="G953" s="7" t="s">
        <v>827</v>
      </c>
      <c r="H953" s="7">
        <v>2451</v>
      </c>
      <c r="I953" s="7" t="s">
        <v>852</v>
      </c>
      <c r="J953" s="8" t="str" cm="1">
        <f t="array" ref="J953">_xlfn.IFS(H953&gt;8000,"PLATINUM",H953&gt;6000,"GOLD",H953&gt;4000,"SILEVER",H953&gt;2000,"NORMAL",H953&gt;500,"BASIC")</f>
        <v>NORMAL</v>
      </c>
    </row>
    <row r="954" spans="1:10" ht="15.6" x14ac:dyDescent="0.3">
      <c r="A954" s="6">
        <v>44512</v>
      </c>
      <c r="B954" s="7" t="s">
        <v>595</v>
      </c>
      <c r="C954" s="7" t="s">
        <v>806</v>
      </c>
      <c r="D954" s="7" t="s">
        <v>817</v>
      </c>
      <c r="E954" s="7">
        <v>8</v>
      </c>
      <c r="F954" s="7" t="s">
        <v>847</v>
      </c>
      <c r="G954" s="7" t="s">
        <v>836</v>
      </c>
      <c r="H954" s="7">
        <v>2451</v>
      </c>
      <c r="I954" s="7" t="s">
        <v>852</v>
      </c>
      <c r="J954" s="8" t="str" cm="1">
        <f t="array" ref="J954">_xlfn.IFS(H954&gt;8000,"PLATINUM",H954&gt;6000,"GOLD",H954&gt;4000,"SILEVER",H954&gt;2000,"NORMAL",H954&gt;500,"BASIC")</f>
        <v>NORMAL</v>
      </c>
    </row>
    <row r="955" spans="1:10" ht="15.6" x14ac:dyDescent="0.3">
      <c r="A955" s="6">
        <v>45503</v>
      </c>
      <c r="B955" s="7" t="s">
        <v>596</v>
      </c>
      <c r="C955" s="7" t="s">
        <v>806</v>
      </c>
      <c r="D955" s="7" t="s">
        <v>817</v>
      </c>
      <c r="E955" s="7">
        <v>8</v>
      </c>
      <c r="F955" s="7" t="s">
        <v>846</v>
      </c>
      <c r="G955" s="7" t="s">
        <v>838</v>
      </c>
      <c r="H955" s="7">
        <v>2451</v>
      </c>
      <c r="I955" s="7" t="s">
        <v>852</v>
      </c>
      <c r="J955" s="8" t="str" cm="1">
        <f t="array" ref="J955">_xlfn.IFS(H955&gt;8000,"PLATINUM",H955&gt;6000,"GOLD",H955&gt;4000,"SILEVER",H955&gt;2000,"NORMAL",H955&gt;500,"BASIC")</f>
        <v>NORMAL</v>
      </c>
    </row>
    <row r="956" spans="1:10" ht="15.6" x14ac:dyDescent="0.3">
      <c r="A956" s="6">
        <v>44635</v>
      </c>
      <c r="B956" s="7" t="s">
        <v>597</v>
      </c>
      <c r="C956" s="7" t="s">
        <v>807</v>
      </c>
      <c r="D956" s="7" t="s">
        <v>813</v>
      </c>
      <c r="E956" s="7">
        <v>16</v>
      </c>
      <c r="F956" s="7" t="s">
        <v>845</v>
      </c>
      <c r="G956" s="7" t="s">
        <v>834</v>
      </c>
      <c r="H956" s="7">
        <v>7067</v>
      </c>
      <c r="I956" s="7" t="s">
        <v>853</v>
      </c>
      <c r="J956" s="8" t="str" cm="1">
        <f t="array" ref="J956">_xlfn.IFS(H956&gt;8000,"PLATINUM",H956&gt;6000,"GOLD",H956&gt;4000,"SILEVER",H956&gt;2000,"NORMAL",H956&gt;500,"BASIC")</f>
        <v>GOLD</v>
      </c>
    </row>
    <row r="957" spans="1:10" ht="15.6" x14ac:dyDescent="0.3">
      <c r="A957" s="6">
        <v>45366</v>
      </c>
      <c r="B957" s="7" t="s">
        <v>598</v>
      </c>
      <c r="C957" s="7" t="s">
        <v>805</v>
      </c>
      <c r="D957" s="7" t="s">
        <v>809</v>
      </c>
      <c r="E957" s="7">
        <v>3</v>
      </c>
      <c r="F957" s="7" t="s">
        <v>844</v>
      </c>
      <c r="G957" s="7" t="s">
        <v>828</v>
      </c>
      <c r="H957" s="7">
        <v>4307</v>
      </c>
      <c r="I957" s="7" t="s">
        <v>850</v>
      </c>
      <c r="J957" s="8" t="str" cm="1">
        <f t="array" ref="J957">_xlfn.IFS(H957&gt;8000,"PLATINUM",H957&gt;6000,"GOLD",H957&gt;4000,"SILEVER",H957&gt;2000,"NORMAL",H957&gt;500,"BASIC")</f>
        <v>SILEVER</v>
      </c>
    </row>
    <row r="958" spans="1:10" ht="15.6" x14ac:dyDescent="0.3">
      <c r="A958" s="6">
        <v>44145</v>
      </c>
      <c r="B958" s="7" t="s">
        <v>599</v>
      </c>
      <c r="C958" s="7" t="s">
        <v>805</v>
      </c>
      <c r="D958" s="7" t="s">
        <v>809</v>
      </c>
      <c r="E958" s="7">
        <v>3</v>
      </c>
      <c r="F958" s="7" t="s">
        <v>843</v>
      </c>
      <c r="G958" s="7" t="s">
        <v>829</v>
      </c>
      <c r="H958" s="7">
        <v>4307</v>
      </c>
      <c r="I958" s="7" t="s">
        <v>850</v>
      </c>
      <c r="J958" s="8" t="str" cm="1">
        <f t="array" ref="J958">_xlfn.IFS(H958&gt;8000,"PLATINUM",H958&gt;6000,"GOLD",H958&gt;4000,"SILEVER",H958&gt;2000,"NORMAL",H958&gt;500,"BASIC")</f>
        <v>SILEVER</v>
      </c>
    </row>
    <row r="959" spans="1:10" ht="15.6" x14ac:dyDescent="0.3">
      <c r="A959" s="6">
        <v>45366</v>
      </c>
      <c r="B959" s="7" t="s">
        <v>598</v>
      </c>
      <c r="C959" s="7" t="s">
        <v>807</v>
      </c>
      <c r="D959" s="7" t="s">
        <v>814</v>
      </c>
      <c r="E959" s="7">
        <v>5</v>
      </c>
      <c r="F959" s="7" t="s">
        <v>844</v>
      </c>
      <c r="G959" s="7" t="s">
        <v>828</v>
      </c>
      <c r="H959" s="7">
        <v>5694</v>
      </c>
      <c r="I959" s="7" t="s">
        <v>852</v>
      </c>
      <c r="J959" s="8" t="str" cm="1">
        <f t="array" ref="J959">_xlfn.IFS(H959&gt;8000,"PLATINUM",H959&gt;6000,"GOLD",H959&gt;4000,"SILEVER",H959&gt;2000,"NORMAL",H959&gt;500,"BASIC")</f>
        <v>SILEVER</v>
      </c>
    </row>
    <row r="960" spans="1:10" ht="15.6" x14ac:dyDescent="0.3">
      <c r="A960" s="6">
        <v>44145</v>
      </c>
      <c r="B960" s="7" t="s">
        <v>599</v>
      </c>
      <c r="C960" s="7" t="s">
        <v>807</v>
      </c>
      <c r="D960" s="7" t="s">
        <v>814</v>
      </c>
      <c r="E960" s="7">
        <v>5</v>
      </c>
      <c r="F960" s="7" t="s">
        <v>843</v>
      </c>
      <c r="G960" s="7" t="s">
        <v>829</v>
      </c>
      <c r="H960" s="7">
        <v>5694</v>
      </c>
      <c r="I960" s="7" t="s">
        <v>852</v>
      </c>
      <c r="J960" s="8" t="str" cm="1">
        <f t="array" ref="J960">_xlfn.IFS(H960&gt;8000,"PLATINUM",H960&gt;6000,"GOLD",H960&gt;4000,"SILEVER",H960&gt;2000,"NORMAL",H960&gt;500,"BASIC")</f>
        <v>SILEVER</v>
      </c>
    </row>
    <row r="961" spans="1:10" ht="15.6" x14ac:dyDescent="0.3">
      <c r="A961" s="6">
        <v>44765</v>
      </c>
      <c r="B961" s="7" t="s">
        <v>600</v>
      </c>
      <c r="C961" s="7" t="s">
        <v>806</v>
      </c>
      <c r="D961" s="7" t="s">
        <v>818</v>
      </c>
      <c r="E961" s="7">
        <v>18</v>
      </c>
      <c r="F961" s="7" t="s">
        <v>843</v>
      </c>
      <c r="G961" s="7" t="s">
        <v>829</v>
      </c>
      <c r="H961" s="7">
        <v>962</v>
      </c>
      <c r="I961" s="7" t="s">
        <v>853</v>
      </c>
      <c r="J961" s="8" t="str" cm="1">
        <f t="array" ref="J961">_xlfn.IFS(H961&gt;8000,"PLATINUM",H961&gt;6000,"GOLD",H961&gt;4000,"SILEVER",H961&gt;2000,"NORMAL",H961&gt;500,"BASIC")</f>
        <v>BASIC</v>
      </c>
    </row>
    <row r="962" spans="1:10" ht="15.6" x14ac:dyDescent="0.3">
      <c r="A962" s="6">
        <v>45548</v>
      </c>
      <c r="B962" s="7" t="s">
        <v>601</v>
      </c>
      <c r="C962" s="7" t="s">
        <v>807</v>
      </c>
      <c r="D962" s="7" t="s">
        <v>820</v>
      </c>
      <c r="E962" s="7">
        <v>14</v>
      </c>
      <c r="F962" s="7" t="s">
        <v>844</v>
      </c>
      <c r="G962" s="7" t="s">
        <v>825</v>
      </c>
      <c r="H962" s="7">
        <v>2995</v>
      </c>
      <c r="I962" s="7" t="s">
        <v>853</v>
      </c>
      <c r="J962" s="8" t="str" cm="1">
        <f t="array" ref="J962">_xlfn.IFS(H962&gt;8000,"PLATINUM",H962&gt;6000,"GOLD",H962&gt;4000,"SILEVER",H962&gt;2000,"NORMAL",H962&gt;500,"BASIC")</f>
        <v>NORMAL</v>
      </c>
    </row>
    <row r="963" spans="1:10" ht="15.6" x14ac:dyDescent="0.3">
      <c r="A963" s="6">
        <v>45548</v>
      </c>
      <c r="B963" s="7" t="s">
        <v>601</v>
      </c>
      <c r="C963" s="7" t="s">
        <v>806</v>
      </c>
      <c r="D963" s="7" t="s">
        <v>815</v>
      </c>
      <c r="E963" s="7">
        <v>5</v>
      </c>
      <c r="F963" s="7" t="s">
        <v>844</v>
      </c>
      <c r="G963" s="7" t="s">
        <v>825</v>
      </c>
      <c r="H963" s="7">
        <v>2047</v>
      </c>
      <c r="I963" s="7" t="s">
        <v>851</v>
      </c>
      <c r="J963" s="8" t="str" cm="1">
        <f t="array" ref="J963">_xlfn.IFS(H963&gt;8000,"PLATINUM",H963&gt;6000,"GOLD",H963&gt;4000,"SILEVER",H963&gt;2000,"NORMAL",H963&gt;500,"BASIC")</f>
        <v>NORMAL</v>
      </c>
    </row>
    <row r="964" spans="1:10" ht="15.6" x14ac:dyDescent="0.3">
      <c r="A964" s="6">
        <v>44586</v>
      </c>
      <c r="B964" s="7" t="s">
        <v>602</v>
      </c>
      <c r="C964" s="7" t="s">
        <v>805</v>
      </c>
      <c r="D964" s="7" t="s">
        <v>812</v>
      </c>
      <c r="E964" s="7">
        <v>6</v>
      </c>
      <c r="F964" s="7" t="s">
        <v>846</v>
      </c>
      <c r="G964" s="7" t="s">
        <v>833</v>
      </c>
      <c r="H964" s="7">
        <v>2078</v>
      </c>
      <c r="I964" s="7" t="s">
        <v>854</v>
      </c>
      <c r="J964" s="8" t="str" cm="1">
        <f t="array" ref="J964">_xlfn.IFS(H964&gt;8000,"PLATINUM",H964&gt;6000,"GOLD",H964&gt;4000,"SILEVER",H964&gt;2000,"NORMAL",H964&gt;500,"BASIC")</f>
        <v>NORMAL</v>
      </c>
    </row>
    <row r="965" spans="1:10" ht="15.6" x14ac:dyDescent="0.3">
      <c r="A965" s="6">
        <v>44305</v>
      </c>
      <c r="B965" s="7" t="s">
        <v>603</v>
      </c>
      <c r="C965" s="7" t="s">
        <v>805</v>
      </c>
      <c r="D965" s="7" t="s">
        <v>810</v>
      </c>
      <c r="E965" s="7">
        <v>3</v>
      </c>
      <c r="F965" s="7" t="s">
        <v>844</v>
      </c>
      <c r="G965" s="7" t="s">
        <v>828</v>
      </c>
      <c r="H965" s="7">
        <v>2737</v>
      </c>
      <c r="I965" s="7" t="s">
        <v>852</v>
      </c>
      <c r="J965" s="8" t="str" cm="1">
        <f t="array" ref="J965">_xlfn.IFS(H965&gt;8000,"PLATINUM",H965&gt;6000,"GOLD",H965&gt;4000,"SILEVER",H965&gt;2000,"NORMAL",H965&gt;500,"BASIC")</f>
        <v>NORMAL</v>
      </c>
    </row>
    <row r="966" spans="1:10" ht="15.6" x14ac:dyDescent="0.3">
      <c r="A966" s="6">
        <v>44395</v>
      </c>
      <c r="B966" s="7" t="s">
        <v>604</v>
      </c>
      <c r="C966" s="7" t="s">
        <v>806</v>
      </c>
      <c r="D966" s="7" t="s">
        <v>817</v>
      </c>
      <c r="E966" s="7">
        <v>6</v>
      </c>
      <c r="F966" s="7" t="s">
        <v>846</v>
      </c>
      <c r="G966" s="7" t="s">
        <v>838</v>
      </c>
      <c r="H966" s="7">
        <v>8194</v>
      </c>
      <c r="I966" s="7" t="s">
        <v>851</v>
      </c>
      <c r="J966" s="8" t="str" cm="1">
        <f t="array" ref="J966">_xlfn.IFS(H966&gt;8000,"PLATINUM",H966&gt;6000,"GOLD",H966&gt;4000,"SILEVER",H966&gt;2000,"NORMAL",H966&gt;500,"BASIC")</f>
        <v>PLATINUM</v>
      </c>
    </row>
    <row r="967" spans="1:10" ht="15.6" x14ac:dyDescent="0.3">
      <c r="A967" s="6">
        <v>44736</v>
      </c>
      <c r="B967" s="7" t="s">
        <v>605</v>
      </c>
      <c r="C967" s="7" t="s">
        <v>807</v>
      </c>
      <c r="D967" s="7" t="s">
        <v>816</v>
      </c>
      <c r="E967" s="7">
        <v>16</v>
      </c>
      <c r="F967" s="7" t="s">
        <v>844</v>
      </c>
      <c r="G967" s="7" t="s">
        <v>825</v>
      </c>
      <c r="H967" s="7">
        <v>9914</v>
      </c>
      <c r="I967" s="7" t="s">
        <v>853</v>
      </c>
      <c r="J967" s="8" t="str" cm="1">
        <f t="array" ref="J967">_xlfn.IFS(H967&gt;8000,"PLATINUM",H967&gt;6000,"GOLD",H967&gt;4000,"SILEVER",H967&gt;2000,"NORMAL",H967&gt;500,"BASIC")</f>
        <v>PLATINUM</v>
      </c>
    </row>
    <row r="968" spans="1:10" ht="15.6" x14ac:dyDescent="0.3">
      <c r="A968" s="6">
        <v>45451</v>
      </c>
      <c r="B968" s="7" t="s">
        <v>606</v>
      </c>
      <c r="C968" s="7" t="s">
        <v>807</v>
      </c>
      <c r="D968" s="7" t="s">
        <v>816</v>
      </c>
      <c r="E968" s="7">
        <v>16</v>
      </c>
      <c r="F968" s="7" t="s">
        <v>844</v>
      </c>
      <c r="G968" s="7" t="s">
        <v>830</v>
      </c>
      <c r="H968" s="7">
        <v>9914</v>
      </c>
      <c r="I968" s="7" t="s">
        <v>853</v>
      </c>
      <c r="J968" s="8" t="str" cm="1">
        <f t="array" ref="J968">_xlfn.IFS(H968&gt;8000,"PLATINUM",H968&gt;6000,"GOLD",H968&gt;4000,"SILEVER",H968&gt;2000,"NORMAL",H968&gt;500,"BASIC")</f>
        <v>PLATINUM</v>
      </c>
    </row>
    <row r="969" spans="1:10" ht="15.6" x14ac:dyDescent="0.3">
      <c r="A969" s="6">
        <v>44736</v>
      </c>
      <c r="B969" s="7" t="s">
        <v>605</v>
      </c>
      <c r="C969" s="7" t="s">
        <v>806</v>
      </c>
      <c r="D969" s="7" t="s">
        <v>811</v>
      </c>
      <c r="E969" s="7">
        <v>7</v>
      </c>
      <c r="F969" s="7" t="s">
        <v>844</v>
      </c>
      <c r="G969" s="7" t="s">
        <v>825</v>
      </c>
      <c r="H969" s="7">
        <v>5470</v>
      </c>
      <c r="I969" s="7" t="s">
        <v>851</v>
      </c>
      <c r="J969" s="8" t="str" cm="1">
        <f t="array" ref="J969">_xlfn.IFS(H969&gt;8000,"PLATINUM",H969&gt;6000,"GOLD",H969&gt;4000,"SILEVER",H969&gt;2000,"NORMAL",H969&gt;500,"BASIC")</f>
        <v>SILEVER</v>
      </c>
    </row>
    <row r="970" spans="1:10" ht="15.6" x14ac:dyDescent="0.3">
      <c r="A970" s="6">
        <v>45451</v>
      </c>
      <c r="B970" s="7" t="s">
        <v>606</v>
      </c>
      <c r="C970" s="7" t="s">
        <v>806</v>
      </c>
      <c r="D970" s="7" t="s">
        <v>811</v>
      </c>
      <c r="E970" s="7">
        <v>7</v>
      </c>
      <c r="F970" s="7" t="s">
        <v>844</v>
      </c>
      <c r="G970" s="7" t="s">
        <v>830</v>
      </c>
      <c r="H970" s="7">
        <v>5470</v>
      </c>
      <c r="I970" s="7" t="s">
        <v>851</v>
      </c>
      <c r="J970" s="8" t="str" cm="1">
        <f t="array" ref="J970">_xlfn.IFS(H970&gt;8000,"PLATINUM",H970&gt;6000,"GOLD",H970&gt;4000,"SILEVER",H970&gt;2000,"NORMAL",H970&gt;500,"BASIC")</f>
        <v>SILEVER</v>
      </c>
    </row>
    <row r="971" spans="1:10" ht="15.6" x14ac:dyDescent="0.3">
      <c r="A971" s="6">
        <v>44736</v>
      </c>
      <c r="B971" s="7" t="s">
        <v>605</v>
      </c>
      <c r="C971" s="7" t="s">
        <v>807</v>
      </c>
      <c r="D971" s="7" t="s">
        <v>820</v>
      </c>
      <c r="E971" s="7">
        <v>17</v>
      </c>
      <c r="F971" s="7" t="s">
        <v>844</v>
      </c>
      <c r="G971" s="7" t="s">
        <v>825</v>
      </c>
      <c r="H971" s="7">
        <v>1496</v>
      </c>
      <c r="I971" s="7" t="s">
        <v>850</v>
      </c>
      <c r="J971" s="8" t="str" cm="1">
        <f t="array" ref="J971">_xlfn.IFS(H971&gt;8000,"PLATINUM",H971&gt;6000,"GOLD",H971&gt;4000,"SILEVER",H971&gt;2000,"NORMAL",H971&gt;500,"BASIC")</f>
        <v>BASIC</v>
      </c>
    </row>
    <row r="972" spans="1:10" ht="15.6" x14ac:dyDescent="0.3">
      <c r="A972" s="6">
        <v>45451</v>
      </c>
      <c r="B972" s="7" t="s">
        <v>606</v>
      </c>
      <c r="C972" s="7" t="s">
        <v>807</v>
      </c>
      <c r="D972" s="7" t="s">
        <v>820</v>
      </c>
      <c r="E972" s="7">
        <v>17</v>
      </c>
      <c r="F972" s="7" t="s">
        <v>844</v>
      </c>
      <c r="G972" s="7" t="s">
        <v>830</v>
      </c>
      <c r="H972" s="7">
        <v>1496</v>
      </c>
      <c r="I972" s="7" t="s">
        <v>850</v>
      </c>
      <c r="J972" s="8" t="str" cm="1">
        <f t="array" ref="J972">_xlfn.IFS(H972&gt;8000,"PLATINUM",H972&gt;6000,"GOLD",H972&gt;4000,"SILEVER",H972&gt;2000,"NORMAL",H972&gt;500,"BASIC")</f>
        <v>BASIC</v>
      </c>
    </row>
    <row r="973" spans="1:10" ht="15.6" x14ac:dyDescent="0.3">
      <c r="A973" s="6">
        <v>44833</v>
      </c>
      <c r="B973" s="7" t="s">
        <v>607</v>
      </c>
      <c r="C973" s="7" t="s">
        <v>806</v>
      </c>
      <c r="D973" s="7" t="s">
        <v>817</v>
      </c>
      <c r="E973" s="7">
        <v>9</v>
      </c>
      <c r="F973" s="7" t="s">
        <v>844</v>
      </c>
      <c r="G973" s="7" t="s">
        <v>828</v>
      </c>
      <c r="H973" s="7">
        <v>3228</v>
      </c>
      <c r="I973" s="7" t="s">
        <v>854</v>
      </c>
      <c r="J973" s="8" t="str" cm="1">
        <f t="array" ref="J973">_xlfn.IFS(H973&gt;8000,"PLATINUM",H973&gt;6000,"GOLD",H973&gt;4000,"SILEVER",H973&gt;2000,"NORMAL",H973&gt;500,"BASIC")</f>
        <v>NORMAL</v>
      </c>
    </row>
    <row r="974" spans="1:10" ht="15.6" x14ac:dyDescent="0.3">
      <c r="A974" s="6">
        <v>45056</v>
      </c>
      <c r="B974" s="7" t="s">
        <v>608</v>
      </c>
      <c r="C974" s="7" t="s">
        <v>805</v>
      </c>
      <c r="D974" s="7" t="s">
        <v>812</v>
      </c>
      <c r="E974" s="7">
        <v>8</v>
      </c>
      <c r="F974" s="7" t="s">
        <v>845</v>
      </c>
      <c r="G974" s="7" t="s">
        <v>832</v>
      </c>
      <c r="H974" s="7">
        <v>3918</v>
      </c>
      <c r="I974" s="7" t="s">
        <v>853</v>
      </c>
      <c r="J974" s="8" t="str" cm="1">
        <f t="array" ref="J974">_xlfn.IFS(H974&gt;8000,"PLATINUM",H974&gt;6000,"GOLD",H974&gt;4000,"SILEVER",H974&gt;2000,"NORMAL",H974&gt;500,"BASIC")</f>
        <v>NORMAL</v>
      </c>
    </row>
    <row r="975" spans="1:10" ht="15.6" x14ac:dyDescent="0.3">
      <c r="A975" s="6">
        <v>43953</v>
      </c>
      <c r="B975" s="7" t="s">
        <v>609</v>
      </c>
      <c r="C975" s="7" t="s">
        <v>805</v>
      </c>
      <c r="D975" s="7" t="s">
        <v>812</v>
      </c>
      <c r="E975" s="7">
        <v>8</v>
      </c>
      <c r="F975" s="7" t="s">
        <v>846</v>
      </c>
      <c r="G975" s="7" t="s">
        <v>838</v>
      </c>
      <c r="H975" s="7">
        <v>3918</v>
      </c>
      <c r="I975" s="7" t="s">
        <v>853</v>
      </c>
      <c r="J975" s="8" t="str" cm="1">
        <f t="array" ref="J975">_xlfn.IFS(H975&gt;8000,"PLATINUM",H975&gt;6000,"GOLD",H975&gt;4000,"SILEVER",H975&gt;2000,"NORMAL",H975&gt;500,"BASIC")</f>
        <v>NORMAL</v>
      </c>
    </row>
    <row r="976" spans="1:10" ht="15.6" x14ac:dyDescent="0.3">
      <c r="A976" s="6">
        <v>44298</v>
      </c>
      <c r="B976" s="7" t="s">
        <v>610</v>
      </c>
      <c r="C976" s="7" t="s">
        <v>807</v>
      </c>
      <c r="D976" s="7" t="s">
        <v>816</v>
      </c>
      <c r="E976" s="7">
        <v>15</v>
      </c>
      <c r="F976" s="7" t="s">
        <v>843</v>
      </c>
      <c r="G976" s="7" t="s">
        <v>824</v>
      </c>
      <c r="H976" s="7">
        <v>9921</v>
      </c>
      <c r="I976" s="7" t="s">
        <v>852</v>
      </c>
      <c r="J976" s="8" t="str" cm="1">
        <f t="array" ref="J976">_xlfn.IFS(H976&gt;8000,"PLATINUM",H976&gt;6000,"GOLD",H976&gt;4000,"SILEVER",H976&gt;2000,"NORMAL",H976&gt;500,"BASIC")</f>
        <v>PLATINUM</v>
      </c>
    </row>
    <row r="977" spans="1:10" ht="15.6" x14ac:dyDescent="0.3">
      <c r="A977" s="6">
        <v>45234</v>
      </c>
      <c r="B977" s="7" t="s">
        <v>611</v>
      </c>
      <c r="C977" s="7" t="s">
        <v>807</v>
      </c>
      <c r="D977" s="7" t="s">
        <v>814</v>
      </c>
      <c r="E977" s="7">
        <v>1</v>
      </c>
      <c r="F977" s="7" t="s">
        <v>843</v>
      </c>
      <c r="G977" s="7" t="s">
        <v>829</v>
      </c>
      <c r="H977" s="7">
        <v>9694</v>
      </c>
      <c r="I977" s="7" t="s">
        <v>852</v>
      </c>
      <c r="J977" s="8" t="str" cm="1">
        <f t="array" ref="J977">_xlfn.IFS(H977&gt;8000,"PLATINUM",H977&gt;6000,"GOLD",H977&gt;4000,"SILEVER",H977&gt;2000,"NORMAL",H977&gt;500,"BASIC")</f>
        <v>PLATINUM</v>
      </c>
    </row>
    <row r="978" spans="1:10" ht="15.6" x14ac:dyDescent="0.3">
      <c r="A978" s="6">
        <v>43955</v>
      </c>
      <c r="B978" s="7" t="s">
        <v>612</v>
      </c>
      <c r="C978" s="7" t="s">
        <v>806</v>
      </c>
      <c r="D978" s="7" t="s">
        <v>817</v>
      </c>
      <c r="E978" s="7">
        <v>13</v>
      </c>
      <c r="F978" s="7" t="s">
        <v>842</v>
      </c>
      <c r="G978" s="7" t="s">
        <v>839</v>
      </c>
      <c r="H978" s="7">
        <v>5028</v>
      </c>
      <c r="I978" s="7" t="s">
        <v>852</v>
      </c>
      <c r="J978" s="8" t="str" cm="1">
        <f t="array" ref="J978">_xlfn.IFS(H978&gt;8000,"PLATINUM",H978&gt;6000,"GOLD",H978&gt;4000,"SILEVER",H978&gt;2000,"NORMAL",H978&gt;500,"BASIC")</f>
        <v>SILEVER</v>
      </c>
    </row>
    <row r="979" spans="1:10" ht="15.6" x14ac:dyDescent="0.3">
      <c r="A979" s="6">
        <v>45179</v>
      </c>
      <c r="B979" s="7" t="s">
        <v>613</v>
      </c>
      <c r="C979" s="7" t="s">
        <v>806</v>
      </c>
      <c r="D979" s="7" t="s">
        <v>817</v>
      </c>
      <c r="E979" s="7">
        <v>19</v>
      </c>
      <c r="F979" s="7" t="s">
        <v>844</v>
      </c>
      <c r="G979" s="7" t="s">
        <v>825</v>
      </c>
      <c r="H979" s="7">
        <v>594</v>
      </c>
      <c r="I979" s="7" t="s">
        <v>851</v>
      </c>
      <c r="J979" s="8" t="str" cm="1">
        <f t="array" ref="J979">_xlfn.IFS(H979&gt;8000,"PLATINUM",H979&gt;6000,"GOLD",H979&gt;4000,"SILEVER",H979&gt;2000,"NORMAL",H979&gt;500,"BASIC")</f>
        <v>BASIC</v>
      </c>
    </row>
    <row r="980" spans="1:10" ht="15.6" x14ac:dyDescent="0.3">
      <c r="A980" s="6">
        <v>45296</v>
      </c>
      <c r="B980" s="7" t="s">
        <v>614</v>
      </c>
      <c r="C980" s="7" t="s">
        <v>806</v>
      </c>
      <c r="D980" s="7" t="s">
        <v>817</v>
      </c>
      <c r="E980" s="7">
        <v>19</v>
      </c>
      <c r="F980" s="7" t="s">
        <v>842</v>
      </c>
      <c r="G980" s="7" t="s">
        <v>823</v>
      </c>
      <c r="H980" s="7">
        <v>594</v>
      </c>
      <c r="I980" s="7" t="s">
        <v>851</v>
      </c>
      <c r="J980" s="8" t="str" cm="1">
        <f t="array" ref="J980">_xlfn.IFS(H980&gt;8000,"PLATINUM",H980&gt;6000,"GOLD",H980&gt;4000,"SILEVER",H980&gt;2000,"NORMAL",H980&gt;500,"BASIC")</f>
        <v>BASIC</v>
      </c>
    </row>
    <row r="981" spans="1:10" ht="15.6" x14ac:dyDescent="0.3">
      <c r="A981" s="6">
        <v>45420</v>
      </c>
      <c r="B981" s="7" t="s">
        <v>615</v>
      </c>
      <c r="C981" s="7" t="s">
        <v>806</v>
      </c>
      <c r="D981" s="7" t="s">
        <v>817</v>
      </c>
      <c r="E981" s="7">
        <v>19</v>
      </c>
      <c r="F981" s="7" t="s">
        <v>846</v>
      </c>
      <c r="G981" s="7" t="s">
        <v>833</v>
      </c>
      <c r="H981" s="7">
        <v>594</v>
      </c>
      <c r="I981" s="7" t="s">
        <v>851</v>
      </c>
      <c r="J981" s="8" t="str" cm="1">
        <f t="array" ref="J981">_xlfn.IFS(H981&gt;8000,"PLATINUM",H981&gt;6000,"GOLD",H981&gt;4000,"SILEVER",H981&gt;2000,"NORMAL",H981&gt;500,"BASIC")</f>
        <v>BASIC</v>
      </c>
    </row>
    <row r="982" spans="1:10" ht="15.6" x14ac:dyDescent="0.3">
      <c r="A982" s="6">
        <v>45381</v>
      </c>
      <c r="B982" s="7" t="s">
        <v>616</v>
      </c>
      <c r="C982" s="7" t="s">
        <v>807</v>
      </c>
      <c r="D982" s="7" t="s">
        <v>813</v>
      </c>
      <c r="E982" s="7">
        <v>11</v>
      </c>
      <c r="F982" s="7" t="s">
        <v>847</v>
      </c>
      <c r="G982" s="7" t="s">
        <v>836</v>
      </c>
      <c r="H982" s="7">
        <v>5954</v>
      </c>
      <c r="I982" s="7" t="s">
        <v>854</v>
      </c>
      <c r="J982" s="8" t="str" cm="1">
        <f t="array" ref="J982">_xlfn.IFS(H982&gt;8000,"PLATINUM",H982&gt;6000,"GOLD",H982&gt;4000,"SILEVER",H982&gt;2000,"NORMAL",H982&gt;500,"BASIC")</f>
        <v>SILEVER</v>
      </c>
    </row>
    <row r="983" spans="1:10" ht="15.6" x14ac:dyDescent="0.3">
      <c r="A983" s="6">
        <v>44084</v>
      </c>
      <c r="B983" s="7" t="s">
        <v>617</v>
      </c>
      <c r="C983" s="7" t="s">
        <v>807</v>
      </c>
      <c r="D983" s="7" t="s">
        <v>820</v>
      </c>
      <c r="E983" s="7">
        <v>3</v>
      </c>
      <c r="F983" s="7" t="s">
        <v>845</v>
      </c>
      <c r="G983" s="7" t="s">
        <v>834</v>
      </c>
      <c r="H983" s="7">
        <v>3518</v>
      </c>
      <c r="I983" s="7" t="s">
        <v>850</v>
      </c>
      <c r="J983" s="8" t="str" cm="1">
        <f t="array" ref="J983">_xlfn.IFS(H983&gt;8000,"PLATINUM",H983&gt;6000,"GOLD",H983&gt;4000,"SILEVER",H983&gt;2000,"NORMAL",H983&gt;500,"BASIC")</f>
        <v>NORMAL</v>
      </c>
    </row>
    <row r="984" spans="1:10" ht="15.6" x14ac:dyDescent="0.3">
      <c r="A984" s="6">
        <v>44084</v>
      </c>
      <c r="B984" s="7" t="s">
        <v>617</v>
      </c>
      <c r="C984" s="7" t="s">
        <v>805</v>
      </c>
      <c r="D984" s="7" t="s">
        <v>812</v>
      </c>
      <c r="E984" s="7">
        <v>8</v>
      </c>
      <c r="F984" s="7" t="s">
        <v>845</v>
      </c>
      <c r="G984" s="7" t="s">
        <v>834</v>
      </c>
      <c r="H984" s="7">
        <v>4157</v>
      </c>
      <c r="I984" s="7" t="s">
        <v>852</v>
      </c>
      <c r="J984" s="8" t="str" cm="1">
        <f t="array" ref="J984">_xlfn.IFS(H984&gt;8000,"PLATINUM",H984&gt;6000,"GOLD",H984&gt;4000,"SILEVER",H984&gt;2000,"NORMAL",H984&gt;500,"BASIC")</f>
        <v>SILEVER</v>
      </c>
    </row>
    <row r="985" spans="1:10" ht="15.6" x14ac:dyDescent="0.3">
      <c r="A985" s="6">
        <v>44024</v>
      </c>
      <c r="B985" s="7" t="s">
        <v>618</v>
      </c>
      <c r="C985" s="7" t="s">
        <v>806</v>
      </c>
      <c r="D985" s="7" t="s">
        <v>815</v>
      </c>
      <c r="E985" s="7">
        <v>5</v>
      </c>
      <c r="F985" s="7" t="s">
        <v>843</v>
      </c>
      <c r="G985" s="7" t="s">
        <v>829</v>
      </c>
      <c r="H985" s="7">
        <v>3747</v>
      </c>
      <c r="I985" s="7" t="s">
        <v>853</v>
      </c>
      <c r="J985" s="8" t="str" cm="1">
        <f t="array" ref="J985">_xlfn.IFS(H985&gt;8000,"PLATINUM",H985&gt;6000,"GOLD",H985&gt;4000,"SILEVER",H985&gt;2000,"NORMAL",H985&gt;500,"BASIC")</f>
        <v>NORMAL</v>
      </c>
    </row>
    <row r="986" spans="1:10" ht="15.6" x14ac:dyDescent="0.3">
      <c r="A986" s="6">
        <v>44903</v>
      </c>
      <c r="B986" s="7" t="s">
        <v>619</v>
      </c>
      <c r="C986" s="7" t="s">
        <v>806</v>
      </c>
      <c r="D986" s="7" t="s">
        <v>815</v>
      </c>
      <c r="E986" s="7">
        <v>5</v>
      </c>
      <c r="F986" s="7" t="s">
        <v>844</v>
      </c>
      <c r="G986" s="7" t="s">
        <v>825</v>
      </c>
      <c r="H986" s="7">
        <v>3747</v>
      </c>
      <c r="I986" s="7" t="s">
        <v>853</v>
      </c>
      <c r="J986" s="8" t="str" cm="1">
        <f t="array" ref="J986">_xlfn.IFS(H986&gt;8000,"PLATINUM",H986&gt;6000,"GOLD",H986&gt;4000,"SILEVER",H986&gt;2000,"NORMAL",H986&gt;500,"BASIC")</f>
        <v>NORMAL</v>
      </c>
    </row>
    <row r="987" spans="1:10" ht="15.6" x14ac:dyDescent="0.3">
      <c r="A987" s="6">
        <v>45378</v>
      </c>
      <c r="B987" s="7" t="s">
        <v>620</v>
      </c>
      <c r="C987" s="7" t="s">
        <v>806</v>
      </c>
      <c r="D987" s="7" t="s">
        <v>815</v>
      </c>
      <c r="E987" s="7">
        <v>5</v>
      </c>
      <c r="F987" s="7" t="s">
        <v>847</v>
      </c>
      <c r="G987" s="7" t="s">
        <v>835</v>
      </c>
      <c r="H987" s="7">
        <v>3747</v>
      </c>
      <c r="I987" s="7" t="s">
        <v>853</v>
      </c>
      <c r="J987" s="8" t="str" cm="1">
        <f t="array" ref="J987">_xlfn.IFS(H987&gt;8000,"PLATINUM",H987&gt;6000,"GOLD",H987&gt;4000,"SILEVER",H987&gt;2000,"NORMAL",H987&gt;500,"BASIC")</f>
        <v>NORMAL</v>
      </c>
    </row>
    <row r="988" spans="1:10" ht="15.6" x14ac:dyDescent="0.3">
      <c r="A988" s="6">
        <v>44974</v>
      </c>
      <c r="B988" s="7" t="s">
        <v>621</v>
      </c>
      <c r="C988" s="7" t="s">
        <v>806</v>
      </c>
      <c r="D988" s="7" t="s">
        <v>815</v>
      </c>
      <c r="E988" s="7">
        <v>5</v>
      </c>
      <c r="F988" s="7" t="s">
        <v>843</v>
      </c>
      <c r="G988" s="7" t="s">
        <v>824</v>
      </c>
      <c r="H988" s="7">
        <v>3747</v>
      </c>
      <c r="I988" s="7" t="s">
        <v>853</v>
      </c>
      <c r="J988" s="8" t="str" cm="1">
        <f t="array" ref="J988">_xlfn.IFS(H988&gt;8000,"PLATINUM",H988&gt;6000,"GOLD",H988&gt;4000,"SILEVER",H988&gt;2000,"NORMAL",H988&gt;500,"BASIC")</f>
        <v>NORMAL</v>
      </c>
    </row>
    <row r="989" spans="1:10" ht="15.6" x14ac:dyDescent="0.3">
      <c r="A989" s="6">
        <v>44398</v>
      </c>
      <c r="B989" s="7" t="s">
        <v>622</v>
      </c>
      <c r="C989" s="7" t="s">
        <v>806</v>
      </c>
      <c r="D989" s="7" t="s">
        <v>815</v>
      </c>
      <c r="E989" s="7">
        <v>5</v>
      </c>
      <c r="F989" s="7" t="s">
        <v>845</v>
      </c>
      <c r="G989" s="7" t="s">
        <v>827</v>
      </c>
      <c r="H989" s="7">
        <v>3747</v>
      </c>
      <c r="I989" s="7" t="s">
        <v>853</v>
      </c>
      <c r="J989" s="8" t="str" cm="1">
        <f t="array" ref="J989">_xlfn.IFS(H989&gt;8000,"PLATINUM",H989&gt;6000,"GOLD",H989&gt;4000,"SILEVER",H989&gt;2000,"NORMAL",H989&gt;500,"BASIC")</f>
        <v>NORMAL</v>
      </c>
    </row>
    <row r="990" spans="1:10" ht="15.6" x14ac:dyDescent="0.3">
      <c r="A990" s="6">
        <v>44024</v>
      </c>
      <c r="B990" s="7" t="s">
        <v>618</v>
      </c>
      <c r="C990" s="7" t="s">
        <v>806</v>
      </c>
      <c r="D990" s="7" t="s">
        <v>818</v>
      </c>
      <c r="E990" s="7">
        <v>4</v>
      </c>
      <c r="F990" s="7" t="s">
        <v>843</v>
      </c>
      <c r="G990" s="7" t="s">
        <v>829</v>
      </c>
      <c r="H990" s="7">
        <v>3194</v>
      </c>
      <c r="I990" s="7" t="s">
        <v>850</v>
      </c>
      <c r="J990" s="8" t="str" cm="1">
        <f t="array" ref="J990">_xlfn.IFS(H990&gt;8000,"PLATINUM",H990&gt;6000,"GOLD",H990&gt;4000,"SILEVER",H990&gt;2000,"NORMAL",H990&gt;500,"BASIC")</f>
        <v>NORMAL</v>
      </c>
    </row>
    <row r="991" spans="1:10" ht="15.6" x14ac:dyDescent="0.3">
      <c r="A991" s="6">
        <v>44903</v>
      </c>
      <c r="B991" s="7" t="s">
        <v>619</v>
      </c>
      <c r="C991" s="7" t="s">
        <v>806</v>
      </c>
      <c r="D991" s="7" t="s">
        <v>818</v>
      </c>
      <c r="E991" s="7">
        <v>4</v>
      </c>
      <c r="F991" s="7" t="s">
        <v>844</v>
      </c>
      <c r="G991" s="7" t="s">
        <v>825</v>
      </c>
      <c r="H991" s="7">
        <v>3194</v>
      </c>
      <c r="I991" s="7" t="s">
        <v>850</v>
      </c>
      <c r="J991" s="8" t="str" cm="1">
        <f t="array" ref="J991">_xlfn.IFS(H991&gt;8000,"PLATINUM",H991&gt;6000,"GOLD",H991&gt;4000,"SILEVER",H991&gt;2000,"NORMAL",H991&gt;500,"BASIC")</f>
        <v>NORMAL</v>
      </c>
    </row>
    <row r="992" spans="1:10" ht="15.6" x14ac:dyDescent="0.3">
      <c r="A992" s="6">
        <v>45378</v>
      </c>
      <c r="B992" s="7" t="s">
        <v>620</v>
      </c>
      <c r="C992" s="7" t="s">
        <v>806</v>
      </c>
      <c r="D992" s="7" t="s">
        <v>818</v>
      </c>
      <c r="E992" s="7">
        <v>4</v>
      </c>
      <c r="F992" s="7" t="s">
        <v>847</v>
      </c>
      <c r="G992" s="7" t="s">
        <v>835</v>
      </c>
      <c r="H992" s="7">
        <v>3194</v>
      </c>
      <c r="I992" s="7" t="s">
        <v>850</v>
      </c>
      <c r="J992" s="8" t="str" cm="1">
        <f t="array" ref="J992">_xlfn.IFS(H992&gt;8000,"PLATINUM",H992&gt;6000,"GOLD",H992&gt;4000,"SILEVER",H992&gt;2000,"NORMAL",H992&gt;500,"BASIC")</f>
        <v>NORMAL</v>
      </c>
    </row>
    <row r="993" spans="1:10" ht="15.6" x14ac:dyDescent="0.3">
      <c r="A993" s="6">
        <v>44974</v>
      </c>
      <c r="B993" s="7" t="s">
        <v>621</v>
      </c>
      <c r="C993" s="7" t="s">
        <v>806</v>
      </c>
      <c r="D993" s="7" t="s">
        <v>818</v>
      </c>
      <c r="E993" s="7">
        <v>4</v>
      </c>
      <c r="F993" s="7" t="s">
        <v>843</v>
      </c>
      <c r="G993" s="7" t="s">
        <v>824</v>
      </c>
      <c r="H993" s="7">
        <v>3194</v>
      </c>
      <c r="I993" s="7" t="s">
        <v>850</v>
      </c>
      <c r="J993" s="8" t="str" cm="1">
        <f t="array" ref="J993">_xlfn.IFS(H993&gt;8000,"PLATINUM",H993&gt;6000,"GOLD",H993&gt;4000,"SILEVER",H993&gt;2000,"NORMAL",H993&gt;500,"BASIC")</f>
        <v>NORMAL</v>
      </c>
    </row>
    <row r="994" spans="1:10" ht="15.6" x14ac:dyDescent="0.3">
      <c r="A994" s="6">
        <v>44398</v>
      </c>
      <c r="B994" s="7" t="s">
        <v>622</v>
      </c>
      <c r="C994" s="7" t="s">
        <v>806</v>
      </c>
      <c r="D994" s="7" t="s">
        <v>818</v>
      </c>
      <c r="E994" s="7">
        <v>4</v>
      </c>
      <c r="F994" s="7" t="s">
        <v>845</v>
      </c>
      <c r="G994" s="7" t="s">
        <v>827</v>
      </c>
      <c r="H994" s="7">
        <v>3194</v>
      </c>
      <c r="I994" s="7" t="s">
        <v>850</v>
      </c>
      <c r="J994" s="8" t="str" cm="1">
        <f t="array" ref="J994">_xlfn.IFS(H994&gt;8000,"PLATINUM",H994&gt;6000,"GOLD",H994&gt;4000,"SILEVER",H994&gt;2000,"NORMAL",H994&gt;500,"BASIC")</f>
        <v>NORMAL</v>
      </c>
    </row>
    <row r="995" spans="1:10" ht="15.6" x14ac:dyDescent="0.3">
      <c r="A995" s="6">
        <v>44864</v>
      </c>
      <c r="B995" s="7" t="s">
        <v>623</v>
      </c>
      <c r="C995" s="7" t="s">
        <v>806</v>
      </c>
      <c r="D995" s="7" t="s">
        <v>818</v>
      </c>
      <c r="E995" s="7">
        <v>1</v>
      </c>
      <c r="F995" s="7" t="s">
        <v>842</v>
      </c>
      <c r="G995" s="7" t="s">
        <v>839</v>
      </c>
      <c r="H995" s="7">
        <v>8548</v>
      </c>
      <c r="I995" s="7" t="s">
        <v>854</v>
      </c>
      <c r="J995" s="8" t="str" cm="1">
        <f t="array" ref="J995">_xlfn.IFS(H995&gt;8000,"PLATINUM",H995&gt;6000,"GOLD",H995&gt;4000,"SILEVER",H995&gt;2000,"NORMAL",H995&gt;500,"BASIC")</f>
        <v>PLATINUM</v>
      </c>
    </row>
    <row r="996" spans="1:10" ht="15.6" x14ac:dyDescent="0.3">
      <c r="A996" s="6">
        <v>44196</v>
      </c>
      <c r="B996" s="7" t="s">
        <v>624</v>
      </c>
      <c r="C996" s="7" t="s">
        <v>807</v>
      </c>
      <c r="D996" s="7" t="s">
        <v>813</v>
      </c>
      <c r="E996" s="7">
        <v>19</v>
      </c>
      <c r="F996" s="7" t="s">
        <v>847</v>
      </c>
      <c r="G996" s="7" t="s">
        <v>836</v>
      </c>
      <c r="H996" s="7">
        <v>6089</v>
      </c>
      <c r="I996" s="7" t="s">
        <v>851</v>
      </c>
      <c r="J996" s="8" t="str" cm="1">
        <f t="array" ref="J996">_xlfn.IFS(H996&gt;8000,"PLATINUM",H996&gt;6000,"GOLD",H996&gt;4000,"SILEVER",H996&gt;2000,"NORMAL",H996&gt;500,"BASIC")</f>
        <v>GOLD</v>
      </c>
    </row>
    <row r="997" spans="1:10" ht="15.6" x14ac:dyDescent="0.3">
      <c r="A997" s="6">
        <v>44666</v>
      </c>
      <c r="B997" s="7" t="s">
        <v>625</v>
      </c>
      <c r="C997" s="7" t="s">
        <v>807</v>
      </c>
      <c r="D997" s="7" t="s">
        <v>813</v>
      </c>
      <c r="E997" s="7">
        <v>19</v>
      </c>
      <c r="F997" s="7" t="s">
        <v>847</v>
      </c>
      <c r="G997" s="7" t="s">
        <v>837</v>
      </c>
      <c r="H997" s="7">
        <v>6089</v>
      </c>
      <c r="I997" s="7" t="s">
        <v>851</v>
      </c>
      <c r="J997" s="8" t="str" cm="1">
        <f t="array" ref="J997">_xlfn.IFS(H997&gt;8000,"PLATINUM",H997&gt;6000,"GOLD",H997&gt;4000,"SILEVER",H997&gt;2000,"NORMAL",H997&gt;500,"BASIC")</f>
        <v>GOLD</v>
      </c>
    </row>
    <row r="998" spans="1:10" ht="15.6" x14ac:dyDescent="0.3">
      <c r="A998" s="6">
        <v>45021</v>
      </c>
      <c r="B998" s="7" t="s">
        <v>626</v>
      </c>
      <c r="C998" s="7" t="s">
        <v>807</v>
      </c>
      <c r="D998" s="7" t="s">
        <v>813</v>
      </c>
      <c r="E998" s="7">
        <v>19</v>
      </c>
      <c r="F998" s="7" t="s">
        <v>843</v>
      </c>
      <c r="G998" s="7" t="s">
        <v>824</v>
      </c>
      <c r="H998" s="7">
        <v>6089</v>
      </c>
      <c r="I998" s="7" t="s">
        <v>851</v>
      </c>
      <c r="J998" s="8" t="str" cm="1">
        <f t="array" ref="J998">_xlfn.IFS(H998&gt;8000,"PLATINUM",H998&gt;6000,"GOLD",H998&gt;4000,"SILEVER",H998&gt;2000,"NORMAL",H998&gt;500,"BASIC")</f>
        <v>GOLD</v>
      </c>
    </row>
    <row r="999" spans="1:10" ht="15.6" x14ac:dyDescent="0.3">
      <c r="A999" s="6">
        <v>44196</v>
      </c>
      <c r="B999" s="7" t="s">
        <v>624</v>
      </c>
      <c r="C999" s="7" t="s">
        <v>807</v>
      </c>
      <c r="D999" s="7" t="s">
        <v>813</v>
      </c>
      <c r="E999" s="7">
        <v>16</v>
      </c>
      <c r="F999" s="7" t="s">
        <v>847</v>
      </c>
      <c r="G999" s="7" t="s">
        <v>836</v>
      </c>
      <c r="H999" s="7">
        <v>2586</v>
      </c>
      <c r="I999" s="7" t="s">
        <v>850</v>
      </c>
      <c r="J999" s="8" t="str" cm="1">
        <f t="array" ref="J999">_xlfn.IFS(H999&gt;8000,"PLATINUM",H999&gt;6000,"GOLD",H999&gt;4000,"SILEVER",H999&gt;2000,"NORMAL",H999&gt;500,"BASIC")</f>
        <v>NORMAL</v>
      </c>
    </row>
    <row r="1000" spans="1:10" ht="15.6" x14ac:dyDescent="0.3">
      <c r="A1000" s="6">
        <v>44666</v>
      </c>
      <c r="B1000" s="7" t="s">
        <v>625</v>
      </c>
      <c r="C1000" s="7" t="s">
        <v>807</v>
      </c>
      <c r="D1000" s="7" t="s">
        <v>813</v>
      </c>
      <c r="E1000" s="7">
        <v>16</v>
      </c>
      <c r="F1000" s="7" t="s">
        <v>847</v>
      </c>
      <c r="G1000" s="7" t="s">
        <v>837</v>
      </c>
      <c r="H1000" s="7">
        <v>2586</v>
      </c>
      <c r="I1000" s="7" t="s">
        <v>850</v>
      </c>
      <c r="J1000" s="8" t="str" cm="1">
        <f t="array" ref="J1000">_xlfn.IFS(H1000&gt;8000,"PLATINUM",H1000&gt;6000,"GOLD",H1000&gt;4000,"SILEVER",H1000&gt;2000,"NORMAL",H1000&gt;500,"BASIC")</f>
        <v>NORMAL</v>
      </c>
    </row>
    <row r="1001" spans="1:10" ht="15.6" x14ac:dyDescent="0.3">
      <c r="A1001" s="6">
        <v>45021</v>
      </c>
      <c r="B1001" s="7" t="s">
        <v>626</v>
      </c>
      <c r="C1001" s="7" t="s">
        <v>807</v>
      </c>
      <c r="D1001" s="7" t="s">
        <v>813</v>
      </c>
      <c r="E1001" s="7">
        <v>16</v>
      </c>
      <c r="F1001" s="7" t="s">
        <v>843</v>
      </c>
      <c r="G1001" s="7" t="s">
        <v>824</v>
      </c>
      <c r="H1001" s="7">
        <v>2586</v>
      </c>
      <c r="I1001" s="7" t="s">
        <v>850</v>
      </c>
      <c r="J1001" s="8" t="str" cm="1">
        <f t="array" ref="J1001">_xlfn.IFS(H1001&gt;8000,"PLATINUM",H1001&gt;6000,"GOLD",H1001&gt;4000,"SILEVER",H1001&gt;2000,"NORMAL",H1001&gt;500,"BASIC")</f>
        <v>NORMAL</v>
      </c>
    </row>
    <row r="1002" spans="1:10" ht="15.6" x14ac:dyDescent="0.3">
      <c r="A1002" s="6">
        <v>44196</v>
      </c>
      <c r="B1002" s="7" t="s">
        <v>624</v>
      </c>
      <c r="C1002" s="7" t="s">
        <v>806</v>
      </c>
      <c r="D1002" s="7" t="s">
        <v>817</v>
      </c>
      <c r="E1002" s="7">
        <v>9</v>
      </c>
      <c r="F1002" s="7" t="s">
        <v>847</v>
      </c>
      <c r="G1002" s="7" t="s">
        <v>836</v>
      </c>
      <c r="H1002" s="7">
        <v>3757</v>
      </c>
      <c r="I1002" s="7" t="s">
        <v>850</v>
      </c>
      <c r="J1002" s="8" t="str" cm="1">
        <f t="array" ref="J1002">_xlfn.IFS(H1002&gt;8000,"PLATINUM",H1002&gt;6000,"GOLD",H1002&gt;4000,"SILEVER",H1002&gt;2000,"NORMAL",H1002&gt;500,"BASIC")</f>
        <v>NORMAL</v>
      </c>
    </row>
    <row r="1003" spans="1:10" ht="15.6" x14ac:dyDescent="0.3">
      <c r="A1003" s="6">
        <v>44666</v>
      </c>
      <c r="B1003" s="7" t="s">
        <v>625</v>
      </c>
      <c r="C1003" s="7" t="s">
        <v>806</v>
      </c>
      <c r="D1003" s="7" t="s">
        <v>817</v>
      </c>
      <c r="E1003" s="7">
        <v>9</v>
      </c>
      <c r="F1003" s="7" t="s">
        <v>847</v>
      </c>
      <c r="G1003" s="7" t="s">
        <v>837</v>
      </c>
      <c r="H1003" s="7">
        <v>3757</v>
      </c>
      <c r="I1003" s="7" t="s">
        <v>850</v>
      </c>
      <c r="J1003" s="8" t="str" cm="1">
        <f t="array" ref="J1003">_xlfn.IFS(H1003&gt;8000,"PLATINUM",H1003&gt;6000,"GOLD",H1003&gt;4000,"SILEVER",H1003&gt;2000,"NORMAL",H1003&gt;500,"BASIC")</f>
        <v>NORMAL</v>
      </c>
    </row>
    <row r="1004" spans="1:10" ht="15.6" x14ac:dyDescent="0.3">
      <c r="A1004" s="6">
        <v>45021</v>
      </c>
      <c r="B1004" s="7" t="s">
        <v>626</v>
      </c>
      <c r="C1004" s="7" t="s">
        <v>806</v>
      </c>
      <c r="D1004" s="7" t="s">
        <v>817</v>
      </c>
      <c r="E1004" s="7">
        <v>9</v>
      </c>
      <c r="F1004" s="7" t="s">
        <v>843</v>
      </c>
      <c r="G1004" s="7" t="s">
        <v>824</v>
      </c>
      <c r="H1004" s="7">
        <v>3757</v>
      </c>
      <c r="I1004" s="7" t="s">
        <v>850</v>
      </c>
      <c r="J1004" s="8" t="str" cm="1">
        <f t="array" ref="J1004">_xlfn.IFS(H1004&gt;8000,"PLATINUM",H1004&gt;6000,"GOLD",H1004&gt;4000,"SILEVER",H1004&gt;2000,"NORMAL",H1004&gt;500,"BASIC")</f>
        <v>NORMAL</v>
      </c>
    </row>
    <row r="1005" spans="1:10" ht="15.6" x14ac:dyDescent="0.3">
      <c r="A1005" s="6">
        <v>44498</v>
      </c>
      <c r="B1005" s="7" t="s">
        <v>627</v>
      </c>
      <c r="C1005" s="7" t="s">
        <v>807</v>
      </c>
      <c r="D1005" s="7" t="s">
        <v>816</v>
      </c>
      <c r="E1005" s="7">
        <v>5</v>
      </c>
      <c r="F1005" s="7" t="s">
        <v>845</v>
      </c>
      <c r="G1005" s="7" t="s">
        <v>832</v>
      </c>
      <c r="H1005" s="7">
        <v>5193</v>
      </c>
      <c r="I1005" s="7" t="s">
        <v>851</v>
      </c>
      <c r="J1005" s="8" t="str" cm="1">
        <f t="array" ref="J1005">_xlfn.IFS(H1005&gt;8000,"PLATINUM",H1005&gt;6000,"GOLD",H1005&gt;4000,"SILEVER",H1005&gt;2000,"NORMAL",H1005&gt;500,"BASIC")</f>
        <v>SILEVER</v>
      </c>
    </row>
    <row r="1006" spans="1:10" ht="15.6" x14ac:dyDescent="0.3">
      <c r="A1006" s="6">
        <v>45655</v>
      </c>
      <c r="B1006" s="7" t="s">
        <v>628</v>
      </c>
      <c r="C1006" s="7" t="s">
        <v>807</v>
      </c>
      <c r="D1006" s="7" t="s">
        <v>816</v>
      </c>
      <c r="E1006" s="7">
        <v>5</v>
      </c>
      <c r="F1006" s="7" t="s">
        <v>842</v>
      </c>
      <c r="G1006" s="7" t="s">
        <v>823</v>
      </c>
      <c r="H1006" s="7">
        <v>5193</v>
      </c>
      <c r="I1006" s="7" t="s">
        <v>851</v>
      </c>
      <c r="J1006" s="8" t="str" cm="1">
        <f t="array" ref="J1006">_xlfn.IFS(H1006&gt;8000,"PLATINUM",H1006&gt;6000,"GOLD",H1006&gt;4000,"SILEVER",H1006&gt;2000,"NORMAL",H1006&gt;500,"BASIC")</f>
        <v>SILEVER</v>
      </c>
    </row>
    <row r="1007" spans="1:10" ht="15.6" x14ac:dyDescent="0.3">
      <c r="A1007" s="6">
        <v>44054</v>
      </c>
      <c r="B1007" s="7" t="s">
        <v>629</v>
      </c>
      <c r="C1007" s="7" t="s">
        <v>805</v>
      </c>
      <c r="D1007" s="7" t="s">
        <v>809</v>
      </c>
      <c r="E1007" s="7">
        <v>3</v>
      </c>
      <c r="F1007" s="7" t="s">
        <v>847</v>
      </c>
      <c r="G1007" s="7" t="s">
        <v>837</v>
      </c>
      <c r="H1007" s="7">
        <v>7493</v>
      </c>
      <c r="I1007" s="7" t="s">
        <v>850</v>
      </c>
      <c r="J1007" s="8" t="str" cm="1">
        <f t="array" ref="J1007">_xlfn.IFS(H1007&gt;8000,"PLATINUM",H1007&gt;6000,"GOLD",H1007&gt;4000,"SILEVER",H1007&gt;2000,"NORMAL",H1007&gt;500,"BASIC")</f>
        <v>GOLD</v>
      </c>
    </row>
    <row r="1008" spans="1:10" ht="15.6" x14ac:dyDescent="0.3">
      <c r="A1008" s="6">
        <v>45355</v>
      </c>
      <c r="B1008" s="7" t="s">
        <v>630</v>
      </c>
      <c r="C1008" s="7" t="s">
        <v>806</v>
      </c>
      <c r="D1008" s="7" t="s">
        <v>815</v>
      </c>
      <c r="E1008" s="7">
        <v>6</v>
      </c>
      <c r="F1008" s="7" t="s">
        <v>842</v>
      </c>
      <c r="G1008" s="7" t="s">
        <v>839</v>
      </c>
      <c r="H1008" s="7">
        <v>2062</v>
      </c>
      <c r="I1008" s="7" t="s">
        <v>853</v>
      </c>
      <c r="J1008" s="8" t="str" cm="1">
        <f t="array" ref="J1008">_xlfn.IFS(H1008&gt;8000,"PLATINUM",H1008&gt;6000,"GOLD",H1008&gt;4000,"SILEVER",H1008&gt;2000,"NORMAL",H1008&gt;500,"BASIC")</f>
        <v>NORMAL</v>
      </c>
    </row>
    <row r="1009" spans="1:10" ht="15.6" x14ac:dyDescent="0.3">
      <c r="A1009" s="6">
        <v>45216</v>
      </c>
      <c r="B1009" s="7" t="s">
        <v>631</v>
      </c>
      <c r="C1009" s="7" t="s">
        <v>805</v>
      </c>
      <c r="D1009" s="7" t="s">
        <v>819</v>
      </c>
      <c r="E1009" s="7">
        <v>1</v>
      </c>
      <c r="F1009" s="7" t="s">
        <v>845</v>
      </c>
      <c r="G1009" s="7" t="s">
        <v>832</v>
      </c>
      <c r="H1009" s="7">
        <v>7163</v>
      </c>
      <c r="I1009" s="7" t="s">
        <v>852</v>
      </c>
      <c r="J1009" s="8" t="str" cm="1">
        <f t="array" ref="J1009">_xlfn.IFS(H1009&gt;8000,"PLATINUM",H1009&gt;6000,"GOLD",H1009&gt;4000,"SILEVER",H1009&gt;2000,"NORMAL",H1009&gt;500,"BASIC")</f>
        <v>GOLD</v>
      </c>
    </row>
    <row r="1010" spans="1:10" ht="15.6" x14ac:dyDescent="0.3">
      <c r="A1010" s="6">
        <v>45135</v>
      </c>
      <c r="B1010" s="7" t="s">
        <v>632</v>
      </c>
      <c r="C1010" s="7" t="s">
        <v>805</v>
      </c>
      <c r="D1010" s="7" t="s">
        <v>819</v>
      </c>
      <c r="E1010" s="7">
        <v>6</v>
      </c>
      <c r="F1010" s="7" t="s">
        <v>844</v>
      </c>
      <c r="G1010" s="7" t="s">
        <v>828</v>
      </c>
      <c r="H1010" s="7">
        <v>4026</v>
      </c>
      <c r="I1010" s="7" t="s">
        <v>854</v>
      </c>
      <c r="J1010" s="8" t="str" cm="1">
        <f t="array" ref="J1010">_xlfn.IFS(H1010&gt;8000,"PLATINUM",H1010&gt;6000,"GOLD",H1010&gt;4000,"SILEVER",H1010&gt;2000,"NORMAL",H1010&gt;500,"BASIC")</f>
        <v>SILEVER</v>
      </c>
    </row>
    <row r="1011" spans="1:10" ht="15.6" x14ac:dyDescent="0.3">
      <c r="A1011" s="6">
        <v>44527</v>
      </c>
      <c r="B1011" s="7" t="s">
        <v>633</v>
      </c>
      <c r="C1011" s="7" t="s">
        <v>807</v>
      </c>
      <c r="D1011" s="7" t="s">
        <v>814</v>
      </c>
      <c r="E1011" s="7">
        <v>5</v>
      </c>
      <c r="F1011" s="7" t="s">
        <v>842</v>
      </c>
      <c r="G1011" s="7" t="s">
        <v>823</v>
      </c>
      <c r="H1011" s="7">
        <v>1894</v>
      </c>
      <c r="I1011" s="7" t="s">
        <v>853</v>
      </c>
      <c r="J1011" s="8" t="str" cm="1">
        <f t="array" ref="J1011">_xlfn.IFS(H1011&gt;8000,"PLATINUM",H1011&gt;6000,"GOLD",H1011&gt;4000,"SILEVER",H1011&gt;2000,"NORMAL",H1011&gt;500,"BASIC")</f>
        <v>BASIC</v>
      </c>
    </row>
    <row r="1012" spans="1:10" ht="15.6" x14ac:dyDescent="0.3">
      <c r="A1012" s="6">
        <v>44527</v>
      </c>
      <c r="B1012" s="7" t="s">
        <v>633</v>
      </c>
      <c r="C1012" s="7" t="s">
        <v>805</v>
      </c>
      <c r="D1012" s="7" t="s">
        <v>809</v>
      </c>
      <c r="E1012" s="7">
        <v>13</v>
      </c>
      <c r="F1012" s="7" t="s">
        <v>842</v>
      </c>
      <c r="G1012" s="7" t="s">
        <v>823</v>
      </c>
      <c r="H1012" s="7">
        <v>7144</v>
      </c>
      <c r="I1012" s="7" t="s">
        <v>853</v>
      </c>
      <c r="J1012" s="8" t="str" cm="1">
        <f t="array" ref="J1012">_xlfn.IFS(H1012&gt;8000,"PLATINUM",H1012&gt;6000,"GOLD",H1012&gt;4000,"SILEVER",H1012&gt;2000,"NORMAL",H1012&gt;500,"BASIC")</f>
        <v>GOLD</v>
      </c>
    </row>
    <row r="1013" spans="1:10" ht="15.6" x14ac:dyDescent="0.3">
      <c r="A1013" s="6">
        <v>44083</v>
      </c>
      <c r="B1013" s="7" t="s">
        <v>634</v>
      </c>
      <c r="C1013" s="7" t="s">
        <v>805</v>
      </c>
      <c r="D1013" s="7" t="s">
        <v>812</v>
      </c>
      <c r="E1013" s="7">
        <v>15</v>
      </c>
      <c r="F1013" s="7" t="s">
        <v>847</v>
      </c>
      <c r="G1013" s="7" t="s">
        <v>835</v>
      </c>
      <c r="H1013" s="7">
        <v>3482</v>
      </c>
      <c r="I1013" s="7" t="s">
        <v>851</v>
      </c>
      <c r="J1013" s="8" t="str" cm="1">
        <f t="array" ref="J1013">_xlfn.IFS(H1013&gt;8000,"PLATINUM",H1013&gt;6000,"GOLD",H1013&gt;4000,"SILEVER",H1013&gt;2000,"NORMAL",H1013&gt;500,"BASIC")</f>
        <v>NORMAL</v>
      </c>
    </row>
    <row r="1014" spans="1:10" ht="15.6" x14ac:dyDescent="0.3">
      <c r="A1014" s="6">
        <v>44349</v>
      </c>
      <c r="B1014" s="7" t="s">
        <v>635</v>
      </c>
      <c r="C1014" s="7" t="s">
        <v>806</v>
      </c>
      <c r="D1014" s="7" t="s">
        <v>817</v>
      </c>
      <c r="E1014" s="7">
        <v>5</v>
      </c>
      <c r="F1014" s="7" t="s">
        <v>847</v>
      </c>
      <c r="G1014" s="7" t="s">
        <v>837</v>
      </c>
      <c r="H1014" s="7">
        <v>4172</v>
      </c>
      <c r="I1014" s="7" t="s">
        <v>852</v>
      </c>
      <c r="J1014" s="8" t="str" cm="1">
        <f t="array" ref="J1014">_xlfn.IFS(H1014&gt;8000,"PLATINUM",H1014&gt;6000,"GOLD",H1014&gt;4000,"SILEVER",H1014&gt;2000,"NORMAL",H1014&gt;500,"BASIC")</f>
        <v>SILEVER</v>
      </c>
    </row>
    <row r="1015" spans="1:10" ht="15.6" x14ac:dyDescent="0.3">
      <c r="A1015" s="6">
        <v>44795</v>
      </c>
      <c r="B1015" s="7" t="s">
        <v>636</v>
      </c>
      <c r="C1015" s="7" t="s">
        <v>806</v>
      </c>
      <c r="D1015" s="7" t="s">
        <v>817</v>
      </c>
      <c r="E1015" s="7">
        <v>5</v>
      </c>
      <c r="F1015" s="7" t="s">
        <v>842</v>
      </c>
      <c r="G1015" s="7" t="s">
        <v>826</v>
      </c>
      <c r="H1015" s="7">
        <v>4172</v>
      </c>
      <c r="I1015" s="7" t="s">
        <v>852</v>
      </c>
      <c r="J1015" s="8" t="str" cm="1">
        <f t="array" ref="J1015">_xlfn.IFS(H1015&gt;8000,"PLATINUM",H1015&gt;6000,"GOLD",H1015&gt;4000,"SILEVER",H1015&gt;2000,"NORMAL",H1015&gt;500,"BASIC")</f>
        <v>SILEVER</v>
      </c>
    </row>
    <row r="1016" spans="1:10" ht="15.6" x14ac:dyDescent="0.3">
      <c r="A1016" s="6">
        <v>45398</v>
      </c>
      <c r="B1016" s="7" t="s">
        <v>637</v>
      </c>
      <c r="C1016" s="7" t="s">
        <v>806</v>
      </c>
      <c r="D1016" s="7" t="s">
        <v>817</v>
      </c>
      <c r="E1016" s="7">
        <v>5</v>
      </c>
      <c r="F1016" s="7" t="s">
        <v>843</v>
      </c>
      <c r="G1016" s="7" t="s">
        <v>829</v>
      </c>
      <c r="H1016" s="7">
        <v>4172</v>
      </c>
      <c r="I1016" s="7" t="s">
        <v>852</v>
      </c>
      <c r="J1016" s="8" t="str" cm="1">
        <f t="array" ref="J1016">_xlfn.IFS(H1016&gt;8000,"PLATINUM",H1016&gt;6000,"GOLD",H1016&gt;4000,"SILEVER",H1016&gt;2000,"NORMAL",H1016&gt;500,"BASIC")</f>
        <v>SILEVER</v>
      </c>
    </row>
    <row r="1017" spans="1:10" ht="15.6" x14ac:dyDescent="0.3">
      <c r="A1017" s="6">
        <v>44796</v>
      </c>
      <c r="B1017" s="7" t="s">
        <v>638</v>
      </c>
      <c r="C1017" s="7" t="s">
        <v>807</v>
      </c>
      <c r="D1017" s="7" t="s">
        <v>816</v>
      </c>
      <c r="E1017" s="7">
        <v>8</v>
      </c>
      <c r="F1017" s="7" t="s">
        <v>847</v>
      </c>
      <c r="G1017" s="7" t="s">
        <v>836</v>
      </c>
      <c r="H1017" s="7">
        <v>6265</v>
      </c>
      <c r="I1017" s="7" t="s">
        <v>854</v>
      </c>
      <c r="J1017" s="8" t="str" cm="1">
        <f t="array" ref="J1017">_xlfn.IFS(H1017&gt;8000,"PLATINUM",H1017&gt;6000,"GOLD",H1017&gt;4000,"SILEVER",H1017&gt;2000,"NORMAL",H1017&gt;500,"BASIC")</f>
        <v>GOLD</v>
      </c>
    </row>
    <row r="1018" spans="1:10" ht="15.6" x14ac:dyDescent="0.3">
      <c r="A1018" s="6">
        <v>44267</v>
      </c>
      <c r="B1018" s="7" t="s">
        <v>639</v>
      </c>
      <c r="C1018" s="7" t="s">
        <v>807</v>
      </c>
      <c r="D1018" s="7" t="s">
        <v>816</v>
      </c>
      <c r="E1018" s="7">
        <v>8</v>
      </c>
      <c r="F1018" s="7" t="s">
        <v>847</v>
      </c>
      <c r="G1018" s="7" t="s">
        <v>837</v>
      </c>
      <c r="H1018" s="7">
        <v>6265</v>
      </c>
      <c r="I1018" s="7" t="s">
        <v>854</v>
      </c>
      <c r="J1018" s="8" t="str" cm="1">
        <f t="array" ref="J1018">_xlfn.IFS(H1018&gt;8000,"PLATINUM",H1018&gt;6000,"GOLD",H1018&gt;4000,"SILEVER",H1018&gt;2000,"NORMAL",H1018&gt;500,"BASIC")</f>
        <v>GOLD</v>
      </c>
    </row>
    <row r="1019" spans="1:10" ht="15.6" x14ac:dyDescent="0.3">
      <c r="A1019" s="6">
        <v>45469</v>
      </c>
      <c r="B1019" s="7" t="s">
        <v>640</v>
      </c>
      <c r="C1019" s="7" t="s">
        <v>805</v>
      </c>
      <c r="D1019" s="7" t="s">
        <v>809</v>
      </c>
      <c r="E1019" s="7">
        <v>7</v>
      </c>
      <c r="F1019" s="7" t="s">
        <v>843</v>
      </c>
      <c r="G1019" s="7" t="s">
        <v>840</v>
      </c>
      <c r="H1019" s="7">
        <v>2931</v>
      </c>
      <c r="I1019" s="7" t="s">
        <v>853</v>
      </c>
      <c r="J1019" s="8" t="str" cm="1">
        <f t="array" ref="J1019">_xlfn.IFS(H1019&gt;8000,"PLATINUM",H1019&gt;6000,"GOLD",H1019&gt;4000,"SILEVER",H1019&gt;2000,"NORMAL",H1019&gt;500,"BASIC")</f>
        <v>NORMAL</v>
      </c>
    </row>
    <row r="1020" spans="1:10" ht="15.6" x14ac:dyDescent="0.3">
      <c r="A1020" s="6">
        <v>45268</v>
      </c>
      <c r="B1020" s="7" t="s">
        <v>641</v>
      </c>
      <c r="C1020" s="7" t="s">
        <v>805</v>
      </c>
      <c r="D1020" s="7" t="s">
        <v>809</v>
      </c>
      <c r="E1020" s="7">
        <v>7</v>
      </c>
      <c r="F1020" s="7" t="s">
        <v>842</v>
      </c>
      <c r="G1020" s="7" t="s">
        <v>839</v>
      </c>
      <c r="H1020" s="7">
        <v>2931</v>
      </c>
      <c r="I1020" s="7" t="s">
        <v>853</v>
      </c>
      <c r="J1020" s="8" t="str" cm="1">
        <f t="array" ref="J1020">_xlfn.IFS(H1020&gt;8000,"PLATINUM",H1020&gt;6000,"GOLD",H1020&gt;4000,"SILEVER",H1020&gt;2000,"NORMAL",H1020&gt;500,"BASIC")</f>
        <v>NORMAL</v>
      </c>
    </row>
    <row r="1021" spans="1:10" ht="15.6" x14ac:dyDescent="0.3">
      <c r="A1021" s="6">
        <v>45623</v>
      </c>
      <c r="B1021" s="7" t="s">
        <v>642</v>
      </c>
      <c r="C1021" s="7" t="s">
        <v>807</v>
      </c>
      <c r="D1021" s="7" t="s">
        <v>814</v>
      </c>
      <c r="E1021" s="7">
        <v>9</v>
      </c>
      <c r="F1021" s="7" t="s">
        <v>842</v>
      </c>
      <c r="G1021" s="7" t="s">
        <v>839</v>
      </c>
      <c r="H1021" s="7">
        <v>1146</v>
      </c>
      <c r="I1021" s="7" t="s">
        <v>851</v>
      </c>
      <c r="J1021" s="8" t="str" cm="1">
        <f t="array" ref="J1021">_xlfn.IFS(H1021&gt;8000,"PLATINUM",H1021&gt;6000,"GOLD",H1021&gt;4000,"SILEVER",H1021&gt;2000,"NORMAL",H1021&gt;500,"BASIC")</f>
        <v>BASIC</v>
      </c>
    </row>
    <row r="1022" spans="1:10" ht="15.6" x14ac:dyDescent="0.3">
      <c r="A1022" s="6">
        <v>44571</v>
      </c>
      <c r="B1022" s="7" t="s">
        <v>643</v>
      </c>
      <c r="C1022" s="7" t="s">
        <v>805</v>
      </c>
      <c r="D1022" s="7" t="s">
        <v>810</v>
      </c>
      <c r="E1022" s="7">
        <v>13</v>
      </c>
      <c r="F1022" s="7" t="s">
        <v>842</v>
      </c>
      <c r="G1022" s="7" t="s">
        <v>839</v>
      </c>
      <c r="H1022" s="7">
        <v>9215</v>
      </c>
      <c r="I1022" s="7" t="s">
        <v>854</v>
      </c>
      <c r="J1022" s="8" t="str" cm="1">
        <f t="array" ref="J1022">_xlfn.IFS(H1022&gt;8000,"PLATINUM",H1022&gt;6000,"GOLD",H1022&gt;4000,"SILEVER",H1022&gt;2000,"NORMAL",H1022&gt;500,"BASIC")</f>
        <v>PLATINUM</v>
      </c>
    </row>
    <row r="1023" spans="1:10" ht="15.6" x14ac:dyDescent="0.3">
      <c r="A1023" s="6">
        <v>44501</v>
      </c>
      <c r="B1023" s="7" t="s">
        <v>644</v>
      </c>
      <c r="C1023" s="7" t="s">
        <v>805</v>
      </c>
      <c r="D1023" s="7" t="s">
        <v>810</v>
      </c>
      <c r="E1023" s="7">
        <v>13</v>
      </c>
      <c r="F1023" s="7" t="s">
        <v>845</v>
      </c>
      <c r="G1023" s="7" t="s">
        <v>834</v>
      </c>
      <c r="H1023" s="7">
        <v>9215</v>
      </c>
      <c r="I1023" s="7" t="s">
        <v>854</v>
      </c>
      <c r="J1023" s="8" t="str" cm="1">
        <f t="array" ref="J1023">_xlfn.IFS(H1023&gt;8000,"PLATINUM",H1023&gt;6000,"GOLD",H1023&gt;4000,"SILEVER",H1023&gt;2000,"NORMAL",H1023&gt;500,"BASIC")</f>
        <v>PLATINUM</v>
      </c>
    </row>
    <row r="1024" spans="1:10" ht="15.6" x14ac:dyDescent="0.3">
      <c r="A1024" s="6">
        <v>45227</v>
      </c>
      <c r="B1024" s="7" t="s">
        <v>645</v>
      </c>
      <c r="C1024" s="7" t="s">
        <v>807</v>
      </c>
      <c r="D1024" s="7" t="s">
        <v>814</v>
      </c>
      <c r="E1024" s="7">
        <v>1</v>
      </c>
      <c r="F1024" s="7" t="s">
        <v>847</v>
      </c>
      <c r="G1024" s="7" t="s">
        <v>836</v>
      </c>
      <c r="H1024" s="7">
        <v>7895</v>
      </c>
      <c r="I1024" s="7" t="s">
        <v>853</v>
      </c>
      <c r="J1024" s="8" t="str" cm="1">
        <f t="array" ref="J1024">_xlfn.IFS(H1024&gt;8000,"PLATINUM",H1024&gt;6000,"GOLD",H1024&gt;4000,"SILEVER",H1024&gt;2000,"NORMAL",H1024&gt;500,"BASIC")</f>
        <v>GOLD</v>
      </c>
    </row>
    <row r="1025" spans="1:10" ht="15.6" x14ac:dyDescent="0.3">
      <c r="A1025" s="6">
        <v>45717</v>
      </c>
      <c r="B1025" s="7" t="s">
        <v>646</v>
      </c>
      <c r="C1025" s="7" t="s">
        <v>807</v>
      </c>
      <c r="D1025" s="7" t="s">
        <v>814</v>
      </c>
      <c r="E1025" s="7">
        <v>1</v>
      </c>
      <c r="F1025" s="7" t="s">
        <v>845</v>
      </c>
      <c r="G1025" s="7" t="s">
        <v>832</v>
      </c>
      <c r="H1025" s="7">
        <v>7895</v>
      </c>
      <c r="I1025" s="7" t="s">
        <v>853</v>
      </c>
      <c r="J1025" s="8" t="str" cm="1">
        <f t="array" ref="J1025">_xlfn.IFS(H1025&gt;8000,"PLATINUM",H1025&gt;6000,"GOLD",H1025&gt;4000,"SILEVER",H1025&gt;2000,"NORMAL",H1025&gt;500,"BASIC")</f>
        <v>GOLD</v>
      </c>
    </row>
    <row r="1026" spans="1:10" ht="15.6" x14ac:dyDescent="0.3">
      <c r="A1026" s="6">
        <v>45227</v>
      </c>
      <c r="B1026" s="7" t="s">
        <v>645</v>
      </c>
      <c r="C1026" s="7" t="s">
        <v>806</v>
      </c>
      <c r="D1026" s="7" t="s">
        <v>811</v>
      </c>
      <c r="E1026" s="7">
        <v>8</v>
      </c>
      <c r="F1026" s="7" t="s">
        <v>847</v>
      </c>
      <c r="G1026" s="7" t="s">
        <v>836</v>
      </c>
      <c r="H1026" s="7">
        <v>2740</v>
      </c>
      <c r="I1026" s="7" t="s">
        <v>850</v>
      </c>
      <c r="J1026" s="8" t="str" cm="1">
        <f t="array" ref="J1026">_xlfn.IFS(H1026&gt;8000,"PLATINUM",H1026&gt;6000,"GOLD",H1026&gt;4000,"SILEVER",H1026&gt;2000,"NORMAL",H1026&gt;500,"BASIC")</f>
        <v>NORMAL</v>
      </c>
    </row>
    <row r="1027" spans="1:10" ht="15.6" x14ac:dyDescent="0.3">
      <c r="A1027" s="6">
        <v>45717</v>
      </c>
      <c r="B1027" s="7" t="s">
        <v>646</v>
      </c>
      <c r="C1027" s="7" t="s">
        <v>806</v>
      </c>
      <c r="D1027" s="7" t="s">
        <v>811</v>
      </c>
      <c r="E1027" s="7">
        <v>8</v>
      </c>
      <c r="F1027" s="7" t="s">
        <v>845</v>
      </c>
      <c r="G1027" s="7" t="s">
        <v>832</v>
      </c>
      <c r="H1027" s="7">
        <v>2740</v>
      </c>
      <c r="I1027" s="7" t="s">
        <v>850</v>
      </c>
      <c r="J1027" s="8" t="str" cm="1">
        <f t="array" ref="J1027">_xlfn.IFS(H1027&gt;8000,"PLATINUM",H1027&gt;6000,"GOLD",H1027&gt;4000,"SILEVER",H1027&gt;2000,"NORMAL",H1027&gt;500,"BASIC")</f>
        <v>NORMAL</v>
      </c>
    </row>
    <row r="1028" spans="1:10" ht="15.6" x14ac:dyDescent="0.3">
      <c r="A1028" s="6">
        <v>45505</v>
      </c>
      <c r="B1028" s="7" t="s">
        <v>647</v>
      </c>
      <c r="C1028" s="7" t="s">
        <v>806</v>
      </c>
      <c r="D1028" s="7" t="s">
        <v>815</v>
      </c>
      <c r="E1028" s="7">
        <v>16</v>
      </c>
      <c r="F1028" s="7" t="s">
        <v>843</v>
      </c>
      <c r="G1028" s="7" t="s">
        <v>840</v>
      </c>
      <c r="H1028" s="7">
        <v>5338</v>
      </c>
      <c r="I1028" s="7" t="s">
        <v>850</v>
      </c>
      <c r="J1028" s="8" t="str" cm="1">
        <f t="array" ref="J1028">_xlfn.IFS(H1028&gt;8000,"PLATINUM",H1028&gt;6000,"GOLD",H1028&gt;4000,"SILEVER",H1028&gt;2000,"NORMAL",H1028&gt;500,"BASIC")</f>
        <v>SILEVER</v>
      </c>
    </row>
    <row r="1029" spans="1:10" ht="15.6" x14ac:dyDescent="0.3">
      <c r="A1029" s="6">
        <v>45084</v>
      </c>
      <c r="B1029" s="7" t="s">
        <v>648</v>
      </c>
      <c r="C1029" s="7" t="s">
        <v>806</v>
      </c>
      <c r="D1029" s="7" t="s">
        <v>815</v>
      </c>
      <c r="E1029" s="7">
        <v>16</v>
      </c>
      <c r="F1029" s="7" t="s">
        <v>844</v>
      </c>
      <c r="G1029" s="7" t="s">
        <v>825</v>
      </c>
      <c r="H1029" s="7">
        <v>5338</v>
      </c>
      <c r="I1029" s="7" t="s">
        <v>850</v>
      </c>
      <c r="J1029" s="8" t="str" cm="1">
        <f t="array" ref="J1029">_xlfn.IFS(H1029&gt;8000,"PLATINUM",H1029&gt;6000,"GOLD",H1029&gt;4000,"SILEVER",H1029&gt;2000,"NORMAL",H1029&gt;500,"BASIC")</f>
        <v>SILEVER</v>
      </c>
    </row>
    <row r="1030" spans="1:10" ht="15.6" x14ac:dyDescent="0.3">
      <c r="A1030" s="6">
        <v>45586</v>
      </c>
      <c r="B1030" s="7" t="s">
        <v>649</v>
      </c>
      <c r="C1030" s="7" t="s">
        <v>806</v>
      </c>
      <c r="D1030" s="7" t="s">
        <v>815</v>
      </c>
      <c r="E1030" s="7">
        <v>16</v>
      </c>
      <c r="F1030" s="7" t="s">
        <v>842</v>
      </c>
      <c r="G1030" s="7" t="s">
        <v>826</v>
      </c>
      <c r="H1030" s="7">
        <v>5338</v>
      </c>
      <c r="I1030" s="7" t="s">
        <v>850</v>
      </c>
      <c r="J1030" s="8" t="str" cm="1">
        <f t="array" ref="J1030">_xlfn.IFS(H1030&gt;8000,"PLATINUM",H1030&gt;6000,"GOLD",H1030&gt;4000,"SILEVER",H1030&gt;2000,"NORMAL",H1030&gt;500,"BASIC")</f>
        <v>SILEVER</v>
      </c>
    </row>
    <row r="1031" spans="1:10" ht="15.6" x14ac:dyDescent="0.3">
      <c r="A1031" s="6">
        <v>44200</v>
      </c>
      <c r="B1031" s="7" t="s">
        <v>650</v>
      </c>
      <c r="C1031" s="7" t="s">
        <v>806</v>
      </c>
      <c r="D1031" s="7" t="s">
        <v>815</v>
      </c>
      <c r="E1031" s="7">
        <v>16</v>
      </c>
      <c r="F1031" s="7" t="s">
        <v>844</v>
      </c>
      <c r="G1031" s="7" t="s">
        <v>825</v>
      </c>
      <c r="H1031" s="7">
        <v>5338</v>
      </c>
      <c r="I1031" s="7" t="s">
        <v>850</v>
      </c>
      <c r="J1031" s="8" t="str" cm="1">
        <f t="array" ref="J1031">_xlfn.IFS(H1031&gt;8000,"PLATINUM",H1031&gt;6000,"GOLD",H1031&gt;4000,"SILEVER",H1031&gt;2000,"NORMAL",H1031&gt;500,"BASIC")</f>
        <v>SILEVER</v>
      </c>
    </row>
    <row r="1032" spans="1:10" ht="15.6" x14ac:dyDescent="0.3">
      <c r="A1032" s="6">
        <v>44670</v>
      </c>
      <c r="B1032" s="7" t="s">
        <v>651</v>
      </c>
      <c r="C1032" s="7" t="s">
        <v>806</v>
      </c>
      <c r="D1032" s="7" t="s">
        <v>811</v>
      </c>
      <c r="E1032" s="7">
        <v>2</v>
      </c>
      <c r="F1032" s="7" t="s">
        <v>847</v>
      </c>
      <c r="G1032" s="7" t="s">
        <v>837</v>
      </c>
      <c r="H1032" s="7">
        <v>3095</v>
      </c>
      <c r="I1032" s="7" t="s">
        <v>852</v>
      </c>
      <c r="J1032" s="8" t="str" cm="1">
        <f t="array" ref="J1032">_xlfn.IFS(H1032&gt;8000,"PLATINUM",H1032&gt;6000,"GOLD",H1032&gt;4000,"SILEVER",H1032&gt;2000,"NORMAL",H1032&gt;500,"BASIC")</f>
        <v>NORMAL</v>
      </c>
    </row>
    <row r="1033" spans="1:10" ht="15.6" x14ac:dyDescent="0.3">
      <c r="A1033" s="6">
        <v>44784</v>
      </c>
      <c r="B1033" s="7" t="s">
        <v>652</v>
      </c>
      <c r="C1033" s="7" t="s">
        <v>806</v>
      </c>
      <c r="D1033" s="7" t="s">
        <v>811</v>
      </c>
      <c r="E1033" s="7">
        <v>2</v>
      </c>
      <c r="F1033" s="7" t="s">
        <v>846</v>
      </c>
      <c r="G1033" s="7" t="s">
        <v>833</v>
      </c>
      <c r="H1033" s="7">
        <v>3095</v>
      </c>
      <c r="I1033" s="7" t="s">
        <v>852</v>
      </c>
      <c r="J1033" s="8" t="str" cm="1">
        <f t="array" ref="J1033">_xlfn.IFS(H1033&gt;8000,"PLATINUM",H1033&gt;6000,"GOLD",H1033&gt;4000,"SILEVER",H1033&gt;2000,"NORMAL",H1033&gt;500,"BASIC")</f>
        <v>NORMAL</v>
      </c>
    </row>
    <row r="1034" spans="1:10" ht="15.6" x14ac:dyDescent="0.3">
      <c r="A1034" s="6">
        <v>45142</v>
      </c>
      <c r="B1034" s="7" t="s">
        <v>653</v>
      </c>
      <c r="C1034" s="7" t="s">
        <v>805</v>
      </c>
      <c r="D1034" s="7" t="s">
        <v>810</v>
      </c>
      <c r="E1034" s="7">
        <v>13</v>
      </c>
      <c r="F1034" s="7" t="s">
        <v>843</v>
      </c>
      <c r="G1034" s="7" t="s">
        <v>840</v>
      </c>
      <c r="H1034" s="7">
        <v>6017</v>
      </c>
      <c r="I1034" s="7" t="s">
        <v>851</v>
      </c>
      <c r="J1034" s="8" t="str" cm="1">
        <f t="array" ref="J1034">_xlfn.IFS(H1034&gt;8000,"PLATINUM",H1034&gt;6000,"GOLD",H1034&gt;4000,"SILEVER",H1034&gt;2000,"NORMAL",H1034&gt;500,"BASIC")</f>
        <v>GOLD</v>
      </c>
    </row>
    <row r="1035" spans="1:10" ht="15.6" x14ac:dyDescent="0.3">
      <c r="A1035" s="6">
        <v>43946</v>
      </c>
      <c r="B1035" s="7" t="s">
        <v>654</v>
      </c>
      <c r="C1035" s="7" t="s">
        <v>806</v>
      </c>
      <c r="D1035" s="7" t="s">
        <v>811</v>
      </c>
      <c r="E1035" s="7">
        <v>2</v>
      </c>
      <c r="F1035" s="7" t="s">
        <v>846</v>
      </c>
      <c r="G1035" s="7" t="s">
        <v>831</v>
      </c>
      <c r="H1035" s="7">
        <v>4904</v>
      </c>
      <c r="I1035" s="7" t="s">
        <v>851</v>
      </c>
      <c r="J1035" s="8" t="str" cm="1">
        <f t="array" ref="J1035">_xlfn.IFS(H1035&gt;8000,"PLATINUM",H1035&gt;6000,"GOLD",H1035&gt;4000,"SILEVER",H1035&gt;2000,"NORMAL",H1035&gt;500,"BASIC")</f>
        <v>SILEVER</v>
      </c>
    </row>
    <row r="1036" spans="1:10" ht="15.6" x14ac:dyDescent="0.3">
      <c r="A1036" s="6">
        <v>43946</v>
      </c>
      <c r="B1036" s="7" t="s">
        <v>654</v>
      </c>
      <c r="C1036" s="7" t="s">
        <v>806</v>
      </c>
      <c r="D1036" s="7" t="s">
        <v>818</v>
      </c>
      <c r="E1036" s="7">
        <v>6</v>
      </c>
      <c r="F1036" s="7" t="s">
        <v>846</v>
      </c>
      <c r="G1036" s="7" t="s">
        <v>831</v>
      </c>
      <c r="H1036" s="7">
        <v>3080</v>
      </c>
      <c r="I1036" s="7" t="s">
        <v>850</v>
      </c>
      <c r="J1036" s="8" t="str" cm="1">
        <f t="array" ref="J1036">_xlfn.IFS(H1036&gt;8000,"PLATINUM",H1036&gt;6000,"GOLD",H1036&gt;4000,"SILEVER",H1036&gt;2000,"NORMAL",H1036&gt;500,"BASIC")</f>
        <v>NORMAL</v>
      </c>
    </row>
    <row r="1037" spans="1:10" ht="15.6" x14ac:dyDescent="0.3">
      <c r="A1037" s="6">
        <v>45640</v>
      </c>
      <c r="B1037" s="7" t="s">
        <v>655</v>
      </c>
      <c r="C1037" s="7" t="s">
        <v>805</v>
      </c>
      <c r="D1037" s="7" t="s">
        <v>819</v>
      </c>
      <c r="E1037" s="7">
        <v>2</v>
      </c>
      <c r="F1037" s="7" t="s">
        <v>842</v>
      </c>
      <c r="G1037" s="7" t="s">
        <v>839</v>
      </c>
      <c r="H1037" s="7">
        <v>1992</v>
      </c>
      <c r="I1037" s="7" t="s">
        <v>854</v>
      </c>
      <c r="J1037" s="8" t="str" cm="1">
        <f t="array" ref="J1037">_xlfn.IFS(H1037&gt;8000,"PLATINUM",H1037&gt;6000,"GOLD",H1037&gt;4000,"SILEVER",H1037&gt;2000,"NORMAL",H1037&gt;500,"BASIC")</f>
        <v>BASIC</v>
      </c>
    </row>
    <row r="1038" spans="1:10" ht="15.6" x14ac:dyDescent="0.3">
      <c r="A1038" s="6">
        <v>44767</v>
      </c>
      <c r="B1038" s="7" t="s">
        <v>656</v>
      </c>
      <c r="C1038" s="7" t="s">
        <v>807</v>
      </c>
      <c r="D1038" s="7" t="s">
        <v>816</v>
      </c>
      <c r="E1038" s="7">
        <v>17</v>
      </c>
      <c r="F1038" s="7" t="s">
        <v>842</v>
      </c>
      <c r="G1038" s="7" t="s">
        <v>826</v>
      </c>
      <c r="H1038" s="7">
        <v>5346</v>
      </c>
      <c r="I1038" s="7" t="s">
        <v>852</v>
      </c>
      <c r="J1038" s="8" t="str" cm="1">
        <f t="array" ref="J1038">_xlfn.IFS(H1038&gt;8000,"PLATINUM",H1038&gt;6000,"GOLD",H1038&gt;4000,"SILEVER",H1038&gt;2000,"NORMAL",H1038&gt;500,"BASIC")</f>
        <v>SILEVER</v>
      </c>
    </row>
    <row r="1039" spans="1:10" ht="15.6" x14ac:dyDescent="0.3">
      <c r="A1039" s="6">
        <v>44688</v>
      </c>
      <c r="B1039" s="7" t="s">
        <v>657</v>
      </c>
      <c r="C1039" s="7" t="s">
        <v>807</v>
      </c>
      <c r="D1039" s="7" t="s">
        <v>816</v>
      </c>
      <c r="E1039" s="7">
        <v>17</v>
      </c>
      <c r="F1039" s="7" t="s">
        <v>842</v>
      </c>
      <c r="G1039" s="7" t="s">
        <v>823</v>
      </c>
      <c r="H1039" s="7">
        <v>5346</v>
      </c>
      <c r="I1039" s="7" t="s">
        <v>852</v>
      </c>
      <c r="J1039" s="8" t="str" cm="1">
        <f t="array" ref="J1039">_xlfn.IFS(H1039&gt;8000,"PLATINUM",H1039&gt;6000,"GOLD",H1039&gt;4000,"SILEVER",H1039&gt;2000,"NORMAL",H1039&gt;500,"BASIC")</f>
        <v>SILEVER</v>
      </c>
    </row>
    <row r="1040" spans="1:10" ht="15.6" x14ac:dyDescent="0.3">
      <c r="A1040" s="6">
        <v>44784</v>
      </c>
      <c r="B1040" s="7" t="s">
        <v>658</v>
      </c>
      <c r="C1040" s="7" t="s">
        <v>805</v>
      </c>
      <c r="D1040" s="7" t="s">
        <v>810</v>
      </c>
      <c r="E1040" s="7">
        <v>18</v>
      </c>
      <c r="F1040" s="7" t="s">
        <v>845</v>
      </c>
      <c r="G1040" s="7" t="s">
        <v>834</v>
      </c>
      <c r="H1040" s="7">
        <v>8422</v>
      </c>
      <c r="I1040" s="7" t="s">
        <v>851</v>
      </c>
      <c r="J1040" s="8" t="str" cm="1">
        <f t="array" ref="J1040">_xlfn.IFS(H1040&gt;8000,"PLATINUM",H1040&gt;6000,"GOLD",H1040&gt;4000,"SILEVER",H1040&gt;2000,"NORMAL",H1040&gt;500,"BASIC")</f>
        <v>PLATINUM</v>
      </c>
    </row>
    <row r="1041" spans="1:10" ht="15.6" x14ac:dyDescent="0.3">
      <c r="A1041" s="6">
        <v>44785</v>
      </c>
      <c r="B1041" s="7" t="s">
        <v>659</v>
      </c>
      <c r="C1041" s="7" t="s">
        <v>805</v>
      </c>
      <c r="D1041" s="7" t="s">
        <v>810</v>
      </c>
      <c r="E1041" s="7">
        <v>18</v>
      </c>
      <c r="F1041" s="7" t="s">
        <v>847</v>
      </c>
      <c r="G1041" s="7" t="s">
        <v>835</v>
      </c>
      <c r="H1041" s="7">
        <v>8422</v>
      </c>
      <c r="I1041" s="7" t="s">
        <v>851</v>
      </c>
      <c r="J1041" s="8" t="str" cm="1">
        <f t="array" ref="J1041">_xlfn.IFS(H1041&gt;8000,"PLATINUM",H1041&gt;6000,"GOLD",H1041&gt;4000,"SILEVER",H1041&gt;2000,"NORMAL",H1041&gt;500,"BASIC")</f>
        <v>PLATINUM</v>
      </c>
    </row>
    <row r="1042" spans="1:10" ht="15.6" x14ac:dyDescent="0.3">
      <c r="A1042" s="6">
        <v>44784</v>
      </c>
      <c r="B1042" s="7" t="s">
        <v>658</v>
      </c>
      <c r="C1042" s="7" t="s">
        <v>807</v>
      </c>
      <c r="D1042" s="7" t="s">
        <v>820</v>
      </c>
      <c r="E1042" s="7">
        <v>8</v>
      </c>
      <c r="F1042" s="7" t="s">
        <v>845</v>
      </c>
      <c r="G1042" s="7" t="s">
        <v>834</v>
      </c>
      <c r="H1042" s="7">
        <v>6105</v>
      </c>
      <c r="I1042" s="7" t="s">
        <v>853</v>
      </c>
      <c r="J1042" s="8" t="str" cm="1">
        <f t="array" ref="J1042">_xlfn.IFS(H1042&gt;8000,"PLATINUM",H1042&gt;6000,"GOLD",H1042&gt;4000,"SILEVER",H1042&gt;2000,"NORMAL",H1042&gt;500,"BASIC")</f>
        <v>GOLD</v>
      </c>
    </row>
    <row r="1043" spans="1:10" ht="15.6" x14ac:dyDescent="0.3">
      <c r="A1043" s="6">
        <v>44785</v>
      </c>
      <c r="B1043" s="7" t="s">
        <v>659</v>
      </c>
      <c r="C1043" s="7" t="s">
        <v>807</v>
      </c>
      <c r="D1043" s="7" t="s">
        <v>820</v>
      </c>
      <c r="E1043" s="7">
        <v>8</v>
      </c>
      <c r="F1043" s="7" t="s">
        <v>847</v>
      </c>
      <c r="G1043" s="7" t="s">
        <v>835</v>
      </c>
      <c r="H1043" s="7">
        <v>6105</v>
      </c>
      <c r="I1043" s="7" t="s">
        <v>853</v>
      </c>
      <c r="J1043" s="8" t="str" cm="1">
        <f t="array" ref="J1043">_xlfn.IFS(H1043&gt;8000,"PLATINUM",H1043&gt;6000,"GOLD",H1043&gt;4000,"SILEVER",H1043&gt;2000,"NORMAL",H1043&gt;500,"BASIC")</f>
        <v>GOLD</v>
      </c>
    </row>
    <row r="1044" spans="1:10" ht="15.6" x14ac:dyDescent="0.3">
      <c r="A1044" s="6">
        <v>45159</v>
      </c>
      <c r="B1044" s="7" t="s">
        <v>660</v>
      </c>
      <c r="C1044" s="7" t="s">
        <v>806</v>
      </c>
      <c r="D1044" s="7" t="s">
        <v>811</v>
      </c>
      <c r="E1044" s="7">
        <v>9</v>
      </c>
      <c r="F1044" s="7" t="s">
        <v>846</v>
      </c>
      <c r="G1044" s="7" t="s">
        <v>838</v>
      </c>
      <c r="H1044" s="7">
        <v>670</v>
      </c>
      <c r="I1044" s="7" t="s">
        <v>852</v>
      </c>
      <c r="J1044" s="8" t="str" cm="1">
        <f t="array" ref="J1044">_xlfn.IFS(H1044&gt;8000,"PLATINUM",H1044&gt;6000,"GOLD",H1044&gt;4000,"SILEVER",H1044&gt;2000,"NORMAL",H1044&gt;500,"BASIC")</f>
        <v>BASIC</v>
      </c>
    </row>
    <row r="1045" spans="1:10" ht="15.6" x14ac:dyDescent="0.3">
      <c r="A1045" s="6">
        <v>44816</v>
      </c>
      <c r="B1045" s="7" t="s">
        <v>661</v>
      </c>
      <c r="C1045" s="7" t="s">
        <v>805</v>
      </c>
      <c r="D1045" s="7" t="s">
        <v>812</v>
      </c>
      <c r="E1045" s="7">
        <v>6</v>
      </c>
      <c r="F1045" s="7" t="s">
        <v>845</v>
      </c>
      <c r="G1045" s="7" t="s">
        <v>832</v>
      </c>
      <c r="H1045" s="7">
        <v>4057</v>
      </c>
      <c r="I1045" s="7" t="s">
        <v>853</v>
      </c>
      <c r="J1045" s="8" t="str" cm="1">
        <f t="array" ref="J1045">_xlfn.IFS(H1045&gt;8000,"PLATINUM",H1045&gt;6000,"GOLD",H1045&gt;4000,"SILEVER",H1045&gt;2000,"NORMAL",H1045&gt;500,"BASIC")</f>
        <v>SILEVER</v>
      </c>
    </row>
    <row r="1046" spans="1:10" ht="15.6" x14ac:dyDescent="0.3">
      <c r="A1046" s="6">
        <v>45158</v>
      </c>
      <c r="B1046" s="7" t="s">
        <v>662</v>
      </c>
      <c r="C1046" s="7" t="s">
        <v>806</v>
      </c>
      <c r="D1046" s="7" t="s">
        <v>811</v>
      </c>
      <c r="E1046" s="7">
        <v>10</v>
      </c>
      <c r="F1046" s="7" t="s">
        <v>845</v>
      </c>
      <c r="G1046" s="7" t="s">
        <v>827</v>
      </c>
      <c r="H1046" s="7">
        <v>8178</v>
      </c>
      <c r="I1046" s="7" t="s">
        <v>850</v>
      </c>
      <c r="J1046" s="8" t="str" cm="1">
        <f t="array" ref="J1046">_xlfn.IFS(H1046&gt;8000,"PLATINUM",H1046&gt;6000,"GOLD",H1046&gt;4000,"SILEVER",H1046&gt;2000,"NORMAL",H1046&gt;500,"BASIC")</f>
        <v>PLATINUM</v>
      </c>
    </row>
    <row r="1047" spans="1:10" ht="15.6" x14ac:dyDescent="0.3">
      <c r="A1047" s="6">
        <v>44192</v>
      </c>
      <c r="B1047" s="7" t="s">
        <v>663</v>
      </c>
      <c r="C1047" s="7" t="s">
        <v>807</v>
      </c>
      <c r="D1047" s="7" t="s">
        <v>813</v>
      </c>
      <c r="E1047" s="7">
        <v>9</v>
      </c>
      <c r="F1047" s="7" t="s">
        <v>847</v>
      </c>
      <c r="G1047" s="7" t="s">
        <v>836</v>
      </c>
      <c r="H1047" s="7">
        <v>8752</v>
      </c>
      <c r="I1047" s="7" t="s">
        <v>851</v>
      </c>
      <c r="J1047" s="8" t="str" cm="1">
        <f t="array" ref="J1047">_xlfn.IFS(H1047&gt;8000,"PLATINUM",H1047&gt;6000,"GOLD",H1047&gt;4000,"SILEVER",H1047&gt;2000,"NORMAL",H1047&gt;500,"BASIC")</f>
        <v>PLATINUM</v>
      </c>
    </row>
    <row r="1048" spans="1:10" ht="15.6" x14ac:dyDescent="0.3">
      <c r="A1048" s="6">
        <v>45173</v>
      </c>
      <c r="B1048" s="7" t="s">
        <v>664</v>
      </c>
      <c r="C1048" s="7" t="s">
        <v>807</v>
      </c>
      <c r="D1048" s="7" t="s">
        <v>813</v>
      </c>
      <c r="E1048" s="7">
        <v>9</v>
      </c>
      <c r="F1048" s="7" t="s">
        <v>843</v>
      </c>
      <c r="G1048" s="7" t="s">
        <v>840</v>
      </c>
      <c r="H1048" s="7">
        <v>8752</v>
      </c>
      <c r="I1048" s="7" t="s">
        <v>851</v>
      </c>
      <c r="J1048" s="8" t="str" cm="1">
        <f t="array" ref="J1048">_xlfn.IFS(H1048&gt;8000,"PLATINUM",H1048&gt;6000,"GOLD",H1048&gt;4000,"SILEVER",H1048&gt;2000,"NORMAL",H1048&gt;500,"BASIC")</f>
        <v>PLATINUM</v>
      </c>
    </row>
    <row r="1049" spans="1:10" ht="15.6" x14ac:dyDescent="0.3">
      <c r="A1049" s="6">
        <v>44569</v>
      </c>
      <c r="B1049" s="7" t="s">
        <v>665</v>
      </c>
      <c r="C1049" s="7" t="s">
        <v>807</v>
      </c>
      <c r="D1049" s="7" t="s">
        <v>813</v>
      </c>
      <c r="E1049" s="7">
        <v>9</v>
      </c>
      <c r="F1049" s="7" t="s">
        <v>843</v>
      </c>
      <c r="G1049" s="7" t="s">
        <v>824</v>
      </c>
      <c r="H1049" s="7">
        <v>8752</v>
      </c>
      <c r="I1049" s="7" t="s">
        <v>851</v>
      </c>
      <c r="J1049" s="8" t="str" cm="1">
        <f t="array" ref="J1049">_xlfn.IFS(H1049&gt;8000,"PLATINUM",H1049&gt;6000,"GOLD",H1049&gt;4000,"SILEVER",H1049&gt;2000,"NORMAL",H1049&gt;500,"BASIC")</f>
        <v>PLATINUM</v>
      </c>
    </row>
    <row r="1050" spans="1:10" ht="15.6" x14ac:dyDescent="0.3">
      <c r="A1050" s="6">
        <v>45082</v>
      </c>
      <c r="B1050" s="7" t="s">
        <v>666</v>
      </c>
      <c r="C1050" s="7" t="s">
        <v>805</v>
      </c>
      <c r="D1050" s="7" t="s">
        <v>810</v>
      </c>
      <c r="E1050" s="7">
        <v>16</v>
      </c>
      <c r="F1050" s="7" t="s">
        <v>844</v>
      </c>
      <c r="G1050" s="7" t="s">
        <v>828</v>
      </c>
      <c r="H1050" s="7">
        <v>8974</v>
      </c>
      <c r="I1050" s="7" t="s">
        <v>852</v>
      </c>
      <c r="J1050" s="8" t="str" cm="1">
        <f t="array" ref="J1050">_xlfn.IFS(H1050&gt;8000,"PLATINUM",H1050&gt;6000,"GOLD",H1050&gt;4000,"SILEVER",H1050&gt;2000,"NORMAL",H1050&gt;500,"BASIC")</f>
        <v>PLATINUM</v>
      </c>
    </row>
    <row r="1051" spans="1:10" ht="15.6" x14ac:dyDescent="0.3">
      <c r="A1051" s="6">
        <v>44287</v>
      </c>
      <c r="B1051" s="7" t="s">
        <v>667</v>
      </c>
      <c r="C1051" s="7" t="s">
        <v>805</v>
      </c>
      <c r="D1051" s="7" t="s">
        <v>819</v>
      </c>
      <c r="E1051" s="7">
        <v>16</v>
      </c>
      <c r="F1051" s="7" t="s">
        <v>846</v>
      </c>
      <c r="G1051" s="7" t="s">
        <v>831</v>
      </c>
      <c r="H1051" s="7">
        <v>9090</v>
      </c>
      <c r="I1051" s="7" t="s">
        <v>853</v>
      </c>
      <c r="J1051" s="8" t="str" cm="1">
        <f t="array" ref="J1051">_xlfn.IFS(H1051&gt;8000,"PLATINUM",H1051&gt;6000,"GOLD",H1051&gt;4000,"SILEVER",H1051&gt;2000,"NORMAL",H1051&gt;500,"BASIC")</f>
        <v>PLATINUM</v>
      </c>
    </row>
    <row r="1052" spans="1:10" ht="15.6" x14ac:dyDescent="0.3">
      <c r="A1052" s="6">
        <v>45440</v>
      </c>
      <c r="B1052" s="7" t="s">
        <v>668</v>
      </c>
      <c r="C1052" s="7" t="s">
        <v>805</v>
      </c>
      <c r="D1052" s="7" t="s">
        <v>819</v>
      </c>
      <c r="E1052" s="7">
        <v>16</v>
      </c>
      <c r="F1052" s="7" t="s">
        <v>843</v>
      </c>
      <c r="G1052" s="7" t="s">
        <v>829</v>
      </c>
      <c r="H1052" s="7">
        <v>9090</v>
      </c>
      <c r="I1052" s="7" t="s">
        <v>853</v>
      </c>
      <c r="J1052" s="8" t="str" cm="1">
        <f t="array" ref="J1052">_xlfn.IFS(H1052&gt;8000,"PLATINUM",H1052&gt;6000,"GOLD",H1052&gt;4000,"SILEVER",H1052&gt;2000,"NORMAL",H1052&gt;500,"BASIC")</f>
        <v>PLATINUM</v>
      </c>
    </row>
    <row r="1053" spans="1:10" ht="15.6" x14ac:dyDescent="0.3">
      <c r="A1053" s="6">
        <v>44287</v>
      </c>
      <c r="B1053" s="7" t="s">
        <v>667</v>
      </c>
      <c r="C1053" s="7" t="s">
        <v>805</v>
      </c>
      <c r="D1053" s="7" t="s">
        <v>809</v>
      </c>
      <c r="E1053" s="7">
        <v>11</v>
      </c>
      <c r="F1053" s="7" t="s">
        <v>846</v>
      </c>
      <c r="G1053" s="7" t="s">
        <v>831</v>
      </c>
      <c r="H1053" s="7">
        <v>851</v>
      </c>
      <c r="I1053" s="7" t="s">
        <v>853</v>
      </c>
      <c r="J1053" s="8" t="str" cm="1">
        <f t="array" ref="J1053">_xlfn.IFS(H1053&gt;8000,"PLATINUM",H1053&gt;6000,"GOLD",H1053&gt;4000,"SILEVER",H1053&gt;2000,"NORMAL",H1053&gt;500,"BASIC")</f>
        <v>BASIC</v>
      </c>
    </row>
    <row r="1054" spans="1:10" ht="15.6" x14ac:dyDescent="0.3">
      <c r="A1054" s="6">
        <v>45440</v>
      </c>
      <c r="B1054" s="7" t="s">
        <v>668</v>
      </c>
      <c r="C1054" s="7" t="s">
        <v>805</v>
      </c>
      <c r="D1054" s="7" t="s">
        <v>809</v>
      </c>
      <c r="E1054" s="7">
        <v>11</v>
      </c>
      <c r="F1054" s="7" t="s">
        <v>843</v>
      </c>
      <c r="G1054" s="7" t="s">
        <v>829</v>
      </c>
      <c r="H1054" s="7">
        <v>851</v>
      </c>
      <c r="I1054" s="7" t="s">
        <v>853</v>
      </c>
      <c r="J1054" s="8" t="str" cm="1">
        <f t="array" ref="J1054">_xlfn.IFS(H1054&gt;8000,"PLATINUM",H1054&gt;6000,"GOLD",H1054&gt;4000,"SILEVER",H1054&gt;2000,"NORMAL",H1054&gt;500,"BASIC")</f>
        <v>BASIC</v>
      </c>
    </row>
    <row r="1055" spans="1:10" ht="15.6" x14ac:dyDescent="0.3">
      <c r="A1055" s="6">
        <v>44994</v>
      </c>
      <c r="B1055" s="7" t="s">
        <v>669</v>
      </c>
      <c r="C1055" s="7" t="s">
        <v>805</v>
      </c>
      <c r="D1055" s="7" t="s">
        <v>819</v>
      </c>
      <c r="E1055" s="7">
        <v>3</v>
      </c>
      <c r="F1055" s="7" t="s">
        <v>842</v>
      </c>
      <c r="G1055" s="7" t="s">
        <v>823</v>
      </c>
      <c r="H1055" s="7">
        <v>5427</v>
      </c>
      <c r="I1055" s="7" t="s">
        <v>850</v>
      </c>
      <c r="J1055" s="8" t="str" cm="1">
        <f t="array" ref="J1055">_xlfn.IFS(H1055&gt;8000,"PLATINUM",H1055&gt;6000,"GOLD",H1055&gt;4000,"SILEVER",H1055&gt;2000,"NORMAL",H1055&gt;500,"BASIC")</f>
        <v>SILEVER</v>
      </c>
    </row>
    <row r="1056" spans="1:10" ht="15.6" x14ac:dyDescent="0.3">
      <c r="A1056" s="6">
        <v>44770</v>
      </c>
      <c r="B1056" s="7" t="s">
        <v>670</v>
      </c>
      <c r="C1056" s="7" t="s">
        <v>807</v>
      </c>
      <c r="D1056" s="7" t="s">
        <v>820</v>
      </c>
      <c r="E1056" s="7">
        <v>15</v>
      </c>
      <c r="F1056" s="7" t="s">
        <v>843</v>
      </c>
      <c r="G1056" s="7" t="s">
        <v>840</v>
      </c>
      <c r="H1056" s="7">
        <v>2695</v>
      </c>
      <c r="I1056" s="7" t="s">
        <v>851</v>
      </c>
      <c r="J1056" s="8" t="str" cm="1">
        <f t="array" ref="J1056">_xlfn.IFS(H1056&gt;8000,"PLATINUM",H1056&gt;6000,"GOLD",H1056&gt;4000,"SILEVER",H1056&gt;2000,"NORMAL",H1056&gt;500,"BASIC")</f>
        <v>NORMAL</v>
      </c>
    </row>
    <row r="1057" spans="1:10" ht="15.6" x14ac:dyDescent="0.3">
      <c r="A1057" s="6">
        <v>44364</v>
      </c>
      <c r="B1057" s="7" t="s">
        <v>671</v>
      </c>
      <c r="C1057" s="7" t="s">
        <v>807</v>
      </c>
      <c r="D1057" s="7" t="s">
        <v>820</v>
      </c>
      <c r="E1057" s="7">
        <v>15</v>
      </c>
      <c r="F1057" s="7" t="s">
        <v>845</v>
      </c>
      <c r="G1057" s="7" t="s">
        <v>827</v>
      </c>
      <c r="H1057" s="7">
        <v>2695</v>
      </c>
      <c r="I1057" s="7" t="s">
        <v>851</v>
      </c>
      <c r="J1057" s="8" t="str" cm="1">
        <f t="array" ref="J1057">_xlfn.IFS(H1057&gt;8000,"PLATINUM",H1057&gt;6000,"GOLD",H1057&gt;4000,"SILEVER",H1057&gt;2000,"NORMAL",H1057&gt;500,"BASIC")</f>
        <v>NORMAL</v>
      </c>
    </row>
    <row r="1058" spans="1:10" ht="15.6" x14ac:dyDescent="0.3">
      <c r="A1058" s="6">
        <v>45335</v>
      </c>
      <c r="B1058" s="7" t="s">
        <v>672</v>
      </c>
      <c r="C1058" s="7" t="s">
        <v>806</v>
      </c>
      <c r="D1058" s="7" t="s">
        <v>811</v>
      </c>
      <c r="E1058" s="7">
        <v>3</v>
      </c>
      <c r="F1058" s="7" t="s">
        <v>842</v>
      </c>
      <c r="G1058" s="7" t="s">
        <v>823</v>
      </c>
      <c r="H1058" s="7">
        <v>2386</v>
      </c>
      <c r="I1058" s="7" t="s">
        <v>854</v>
      </c>
      <c r="J1058" s="8" t="str" cm="1">
        <f t="array" ref="J1058">_xlfn.IFS(H1058&gt;8000,"PLATINUM",H1058&gt;6000,"GOLD",H1058&gt;4000,"SILEVER",H1058&gt;2000,"NORMAL",H1058&gt;500,"BASIC")</f>
        <v>NORMAL</v>
      </c>
    </row>
    <row r="1059" spans="1:10" ht="15.6" x14ac:dyDescent="0.3">
      <c r="A1059" s="6">
        <v>44414</v>
      </c>
      <c r="B1059" s="7" t="s">
        <v>673</v>
      </c>
      <c r="C1059" s="7" t="s">
        <v>806</v>
      </c>
      <c r="D1059" s="7" t="s">
        <v>811</v>
      </c>
      <c r="E1059" s="7">
        <v>20</v>
      </c>
      <c r="F1059" s="7" t="s">
        <v>844</v>
      </c>
      <c r="G1059" s="7" t="s">
        <v>830</v>
      </c>
      <c r="H1059" s="7">
        <v>2284</v>
      </c>
      <c r="I1059" s="7" t="s">
        <v>851</v>
      </c>
      <c r="J1059" s="8" t="str" cm="1">
        <f t="array" ref="J1059">_xlfn.IFS(H1059&gt;8000,"PLATINUM",H1059&gt;6000,"GOLD",H1059&gt;4000,"SILEVER",H1059&gt;2000,"NORMAL",H1059&gt;500,"BASIC")</f>
        <v>NORMAL</v>
      </c>
    </row>
    <row r="1060" spans="1:10" ht="15.6" x14ac:dyDescent="0.3">
      <c r="A1060" s="6">
        <v>44682</v>
      </c>
      <c r="B1060" s="7" t="s">
        <v>674</v>
      </c>
      <c r="C1060" s="7" t="s">
        <v>805</v>
      </c>
      <c r="D1060" s="7" t="s">
        <v>819</v>
      </c>
      <c r="E1060" s="7">
        <v>8</v>
      </c>
      <c r="F1060" s="7" t="s">
        <v>846</v>
      </c>
      <c r="G1060" s="7" t="s">
        <v>838</v>
      </c>
      <c r="H1060" s="7">
        <v>6034</v>
      </c>
      <c r="I1060" s="7" t="s">
        <v>852</v>
      </c>
      <c r="J1060" s="8" t="str" cm="1">
        <f t="array" ref="J1060">_xlfn.IFS(H1060&gt;8000,"PLATINUM",H1060&gt;6000,"GOLD",H1060&gt;4000,"SILEVER",H1060&gt;2000,"NORMAL",H1060&gt;500,"BASIC")</f>
        <v>GOLD</v>
      </c>
    </row>
    <row r="1061" spans="1:10" ht="15.6" x14ac:dyDescent="0.3">
      <c r="A1061" s="6">
        <v>44682</v>
      </c>
      <c r="B1061" s="7" t="s">
        <v>674</v>
      </c>
      <c r="C1061" s="7" t="s">
        <v>807</v>
      </c>
      <c r="D1061" s="7" t="s">
        <v>820</v>
      </c>
      <c r="E1061" s="7">
        <v>13</v>
      </c>
      <c r="F1061" s="7" t="s">
        <v>846</v>
      </c>
      <c r="G1061" s="7" t="s">
        <v>838</v>
      </c>
      <c r="H1061" s="7">
        <v>8956</v>
      </c>
      <c r="I1061" s="7" t="s">
        <v>853</v>
      </c>
      <c r="J1061" s="8" t="str" cm="1">
        <f t="array" ref="J1061">_xlfn.IFS(H1061&gt;8000,"PLATINUM",H1061&gt;6000,"GOLD",H1061&gt;4000,"SILEVER",H1061&gt;2000,"NORMAL",H1061&gt;500,"BASIC")</f>
        <v>PLATINUM</v>
      </c>
    </row>
    <row r="1062" spans="1:10" ht="15.6" x14ac:dyDescent="0.3">
      <c r="A1062" s="6">
        <v>45362</v>
      </c>
      <c r="B1062" s="7" t="s">
        <v>675</v>
      </c>
      <c r="C1062" s="7" t="s">
        <v>806</v>
      </c>
      <c r="D1062" s="7" t="s">
        <v>815</v>
      </c>
      <c r="E1062" s="7">
        <v>7</v>
      </c>
      <c r="F1062" s="7" t="s">
        <v>843</v>
      </c>
      <c r="G1062" s="7" t="s">
        <v>840</v>
      </c>
      <c r="H1062" s="7">
        <v>7122</v>
      </c>
      <c r="I1062" s="7" t="s">
        <v>852</v>
      </c>
      <c r="J1062" s="8" t="str" cm="1">
        <f t="array" ref="J1062">_xlfn.IFS(H1062&gt;8000,"PLATINUM",H1062&gt;6000,"GOLD",H1062&gt;4000,"SILEVER",H1062&gt;2000,"NORMAL",H1062&gt;500,"BASIC")</f>
        <v>GOLD</v>
      </c>
    </row>
    <row r="1063" spans="1:10" ht="15.6" x14ac:dyDescent="0.3">
      <c r="A1063" s="6">
        <v>44018</v>
      </c>
      <c r="B1063" s="7" t="s">
        <v>676</v>
      </c>
      <c r="C1063" s="7" t="s">
        <v>806</v>
      </c>
      <c r="D1063" s="7" t="s">
        <v>815</v>
      </c>
      <c r="E1063" s="7">
        <v>5</v>
      </c>
      <c r="F1063" s="7" t="s">
        <v>847</v>
      </c>
      <c r="G1063" s="7" t="s">
        <v>836</v>
      </c>
      <c r="H1063" s="7">
        <v>9775</v>
      </c>
      <c r="I1063" s="7" t="s">
        <v>850</v>
      </c>
      <c r="J1063" s="8" t="str" cm="1">
        <f t="array" ref="J1063">_xlfn.IFS(H1063&gt;8000,"PLATINUM",H1063&gt;6000,"GOLD",H1063&gt;4000,"SILEVER",H1063&gt;2000,"NORMAL",H1063&gt;500,"BASIC")</f>
        <v>PLATINUM</v>
      </c>
    </row>
    <row r="1064" spans="1:10" ht="15.6" x14ac:dyDescent="0.3">
      <c r="A1064" s="6">
        <v>44182</v>
      </c>
      <c r="B1064" s="7" t="s">
        <v>677</v>
      </c>
      <c r="C1064" s="7" t="s">
        <v>807</v>
      </c>
      <c r="D1064" s="7" t="s">
        <v>820</v>
      </c>
      <c r="E1064" s="7">
        <v>13</v>
      </c>
      <c r="F1064" s="7" t="s">
        <v>847</v>
      </c>
      <c r="G1064" s="7" t="s">
        <v>837</v>
      </c>
      <c r="H1064" s="7">
        <v>3309</v>
      </c>
      <c r="I1064" s="7" t="s">
        <v>852</v>
      </c>
      <c r="J1064" s="8" t="str" cm="1">
        <f t="array" ref="J1064">_xlfn.IFS(H1064&gt;8000,"PLATINUM",H1064&gt;6000,"GOLD",H1064&gt;4000,"SILEVER",H1064&gt;2000,"NORMAL",H1064&gt;500,"BASIC")</f>
        <v>NORMAL</v>
      </c>
    </row>
    <row r="1065" spans="1:10" ht="15.6" x14ac:dyDescent="0.3">
      <c r="A1065" s="6">
        <v>44803</v>
      </c>
      <c r="B1065" s="7" t="s">
        <v>678</v>
      </c>
      <c r="C1065" s="7" t="s">
        <v>805</v>
      </c>
      <c r="D1065" s="7" t="s">
        <v>809</v>
      </c>
      <c r="E1065" s="7">
        <v>14</v>
      </c>
      <c r="F1065" s="7" t="s">
        <v>843</v>
      </c>
      <c r="G1065" s="7" t="s">
        <v>829</v>
      </c>
      <c r="H1065" s="7">
        <v>4163</v>
      </c>
      <c r="I1065" s="7" t="s">
        <v>854</v>
      </c>
      <c r="J1065" s="8" t="str" cm="1">
        <f t="array" ref="J1065">_xlfn.IFS(H1065&gt;8000,"PLATINUM",H1065&gt;6000,"GOLD",H1065&gt;4000,"SILEVER",H1065&gt;2000,"NORMAL",H1065&gt;500,"BASIC")</f>
        <v>SILEVER</v>
      </c>
    </row>
    <row r="1066" spans="1:10" ht="15.6" x14ac:dyDescent="0.3">
      <c r="A1066" s="6">
        <v>45715</v>
      </c>
      <c r="B1066" s="7" t="s">
        <v>679</v>
      </c>
      <c r="C1066" s="7" t="s">
        <v>805</v>
      </c>
      <c r="D1066" s="7" t="s">
        <v>809</v>
      </c>
      <c r="E1066" s="7">
        <v>14</v>
      </c>
      <c r="F1066" s="7" t="s">
        <v>847</v>
      </c>
      <c r="G1066" s="7" t="s">
        <v>837</v>
      </c>
      <c r="H1066" s="7">
        <v>4163</v>
      </c>
      <c r="I1066" s="7" t="s">
        <v>854</v>
      </c>
      <c r="J1066" s="8" t="str" cm="1">
        <f t="array" ref="J1066">_xlfn.IFS(H1066&gt;8000,"PLATINUM",H1066&gt;6000,"GOLD",H1066&gt;4000,"SILEVER",H1066&gt;2000,"NORMAL",H1066&gt;500,"BASIC")</f>
        <v>SILEVER</v>
      </c>
    </row>
    <row r="1067" spans="1:10" ht="15.6" x14ac:dyDescent="0.3">
      <c r="A1067" s="6">
        <v>44352</v>
      </c>
      <c r="B1067" s="7" t="s">
        <v>680</v>
      </c>
      <c r="C1067" s="7" t="s">
        <v>805</v>
      </c>
      <c r="D1067" s="7" t="s">
        <v>809</v>
      </c>
      <c r="E1067" s="7">
        <v>14</v>
      </c>
      <c r="F1067" s="7" t="s">
        <v>842</v>
      </c>
      <c r="G1067" s="7" t="s">
        <v>826</v>
      </c>
      <c r="H1067" s="7">
        <v>4163</v>
      </c>
      <c r="I1067" s="7" t="s">
        <v>854</v>
      </c>
      <c r="J1067" s="8" t="str" cm="1">
        <f t="array" ref="J1067">_xlfn.IFS(H1067&gt;8000,"PLATINUM",H1067&gt;6000,"GOLD",H1067&gt;4000,"SILEVER",H1067&gt;2000,"NORMAL",H1067&gt;500,"BASIC")</f>
        <v>SILEVER</v>
      </c>
    </row>
    <row r="1068" spans="1:10" ht="15.6" x14ac:dyDescent="0.3">
      <c r="A1068" s="6">
        <v>44917</v>
      </c>
      <c r="B1068" s="7" t="s">
        <v>681</v>
      </c>
      <c r="C1068" s="7" t="s">
        <v>807</v>
      </c>
      <c r="D1068" s="7" t="s">
        <v>816</v>
      </c>
      <c r="E1068" s="7">
        <v>7</v>
      </c>
      <c r="F1068" s="7" t="s">
        <v>846</v>
      </c>
      <c r="G1068" s="7" t="s">
        <v>838</v>
      </c>
      <c r="H1068" s="7">
        <v>5518</v>
      </c>
      <c r="I1068" s="7" t="s">
        <v>850</v>
      </c>
      <c r="J1068" s="8" t="str" cm="1">
        <f t="array" ref="J1068">_xlfn.IFS(H1068&gt;8000,"PLATINUM",H1068&gt;6000,"GOLD",H1068&gt;4000,"SILEVER",H1068&gt;2000,"NORMAL",H1068&gt;500,"BASIC")</f>
        <v>SILEVER</v>
      </c>
    </row>
    <row r="1069" spans="1:10" ht="15.6" x14ac:dyDescent="0.3">
      <c r="A1069" s="6">
        <v>45682</v>
      </c>
      <c r="B1069" s="7" t="s">
        <v>682</v>
      </c>
      <c r="C1069" s="7" t="s">
        <v>805</v>
      </c>
      <c r="D1069" s="7" t="s">
        <v>819</v>
      </c>
      <c r="E1069" s="7">
        <v>6</v>
      </c>
      <c r="F1069" s="7" t="s">
        <v>847</v>
      </c>
      <c r="G1069" s="7" t="s">
        <v>835</v>
      </c>
      <c r="H1069" s="7">
        <v>7566</v>
      </c>
      <c r="I1069" s="7" t="s">
        <v>851</v>
      </c>
      <c r="J1069" s="8" t="str" cm="1">
        <f t="array" ref="J1069">_xlfn.IFS(H1069&gt;8000,"PLATINUM",H1069&gt;6000,"GOLD",H1069&gt;4000,"SILEVER",H1069&gt;2000,"NORMAL",H1069&gt;500,"BASIC")</f>
        <v>GOLD</v>
      </c>
    </row>
    <row r="1070" spans="1:10" ht="15.6" x14ac:dyDescent="0.3">
      <c r="A1070" s="6">
        <v>45702</v>
      </c>
      <c r="B1070" s="7" t="s">
        <v>683</v>
      </c>
      <c r="C1070" s="7" t="s">
        <v>805</v>
      </c>
      <c r="D1070" s="7" t="s">
        <v>819</v>
      </c>
      <c r="E1070" s="7">
        <v>6</v>
      </c>
      <c r="F1070" s="7" t="s">
        <v>845</v>
      </c>
      <c r="G1070" s="7" t="s">
        <v>832</v>
      </c>
      <c r="H1070" s="7">
        <v>7566</v>
      </c>
      <c r="I1070" s="7" t="s">
        <v>851</v>
      </c>
      <c r="J1070" s="8" t="str" cm="1">
        <f t="array" ref="J1070">_xlfn.IFS(H1070&gt;8000,"PLATINUM",H1070&gt;6000,"GOLD",H1070&gt;4000,"SILEVER",H1070&gt;2000,"NORMAL",H1070&gt;500,"BASIC")</f>
        <v>GOLD</v>
      </c>
    </row>
    <row r="1071" spans="1:10" ht="15.6" x14ac:dyDescent="0.3">
      <c r="A1071" s="6">
        <v>44932</v>
      </c>
      <c r="B1071" s="7" t="s">
        <v>684</v>
      </c>
      <c r="C1071" s="7" t="s">
        <v>805</v>
      </c>
      <c r="D1071" s="7" t="s">
        <v>810</v>
      </c>
      <c r="E1071" s="7">
        <v>11</v>
      </c>
      <c r="F1071" s="7" t="s">
        <v>843</v>
      </c>
      <c r="G1071" s="7" t="s">
        <v>829</v>
      </c>
      <c r="H1071" s="7">
        <v>762</v>
      </c>
      <c r="I1071" s="7" t="s">
        <v>854</v>
      </c>
      <c r="J1071" s="8" t="str" cm="1">
        <f t="array" ref="J1071">_xlfn.IFS(H1071&gt;8000,"PLATINUM",H1071&gt;6000,"GOLD",H1071&gt;4000,"SILEVER",H1071&gt;2000,"NORMAL",H1071&gt;500,"BASIC")</f>
        <v>BASIC</v>
      </c>
    </row>
    <row r="1072" spans="1:10" ht="15.6" x14ac:dyDescent="0.3">
      <c r="A1072" s="6">
        <v>44115</v>
      </c>
      <c r="B1072" s="7" t="s">
        <v>685</v>
      </c>
      <c r="C1072" s="7" t="s">
        <v>805</v>
      </c>
      <c r="D1072" s="7" t="s">
        <v>812</v>
      </c>
      <c r="E1072" s="7">
        <v>6</v>
      </c>
      <c r="F1072" s="7" t="s">
        <v>847</v>
      </c>
      <c r="G1072" s="7" t="s">
        <v>836</v>
      </c>
      <c r="H1072" s="7">
        <v>3316</v>
      </c>
      <c r="I1072" s="7" t="s">
        <v>854</v>
      </c>
      <c r="J1072" s="8" t="str" cm="1">
        <f t="array" ref="J1072">_xlfn.IFS(H1072&gt;8000,"PLATINUM",H1072&gt;6000,"GOLD",H1072&gt;4000,"SILEVER",H1072&gt;2000,"NORMAL",H1072&gt;500,"BASIC")</f>
        <v>NORMAL</v>
      </c>
    </row>
    <row r="1073" spans="1:10" ht="15.6" x14ac:dyDescent="0.3">
      <c r="A1073" s="6">
        <v>45070</v>
      </c>
      <c r="B1073" s="7" t="s">
        <v>686</v>
      </c>
      <c r="C1073" s="7" t="s">
        <v>807</v>
      </c>
      <c r="D1073" s="7" t="s">
        <v>820</v>
      </c>
      <c r="E1073" s="7">
        <v>9</v>
      </c>
      <c r="F1073" s="7" t="s">
        <v>845</v>
      </c>
      <c r="G1073" s="7" t="s">
        <v>834</v>
      </c>
      <c r="H1073" s="7">
        <v>5994</v>
      </c>
      <c r="I1073" s="7" t="s">
        <v>852</v>
      </c>
      <c r="J1073" s="8" t="str" cm="1">
        <f t="array" ref="J1073">_xlfn.IFS(H1073&gt;8000,"PLATINUM",H1073&gt;6000,"GOLD",H1073&gt;4000,"SILEVER",H1073&gt;2000,"NORMAL",H1073&gt;500,"BASIC")</f>
        <v>SILEVER</v>
      </c>
    </row>
    <row r="1074" spans="1:10" ht="15.6" x14ac:dyDescent="0.3">
      <c r="A1074" s="6">
        <v>45363</v>
      </c>
      <c r="B1074" s="7" t="s">
        <v>687</v>
      </c>
      <c r="C1074" s="7" t="s">
        <v>807</v>
      </c>
      <c r="D1074" s="7" t="s">
        <v>820</v>
      </c>
      <c r="E1074" s="7">
        <v>9</v>
      </c>
      <c r="F1074" s="7" t="s">
        <v>845</v>
      </c>
      <c r="G1074" s="7" t="s">
        <v>827</v>
      </c>
      <c r="H1074" s="7">
        <v>5994</v>
      </c>
      <c r="I1074" s="7" t="s">
        <v>852</v>
      </c>
      <c r="J1074" s="8" t="str" cm="1">
        <f t="array" ref="J1074">_xlfn.IFS(H1074&gt;8000,"PLATINUM",H1074&gt;6000,"GOLD",H1074&gt;4000,"SILEVER",H1074&gt;2000,"NORMAL",H1074&gt;500,"BASIC")</f>
        <v>SILEVER</v>
      </c>
    </row>
    <row r="1075" spans="1:10" ht="15.6" x14ac:dyDescent="0.3">
      <c r="A1075" s="6">
        <v>45368</v>
      </c>
      <c r="B1075" s="7" t="s">
        <v>688</v>
      </c>
      <c r="C1075" s="7" t="s">
        <v>807</v>
      </c>
      <c r="D1075" s="7" t="s">
        <v>820</v>
      </c>
      <c r="E1075" s="7">
        <v>9</v>
      </c>
      <c r="F1075" s="7" t="s">
        <v>844</v>
      </c>
      <c r="G1075" s="7" t="s">
        <v>828</v>
      </c>
      <c r="H1075" s="7">
        <v>5994</v>
      </c>
      <c r="I1075" s="7" t="s">
        <v>852</v>
      </c>
      <c r="J1075" s="8" t="str" cm="1">
        <f t="array" ref="J1075">_xlfn.IFS(H1075&gt;8000,"PLATINUM",H1075&gt;6000,"GOLD",H1075&gt;4000,"SILEVER",H1075&gt;2000,"NORMAL",H1075&gt;500,"BASIC")</f>
        <v>SILEVER</v>
      </c>
    </row>
    <row r="1076" spans="1:10" ht="15.6" x14ac:dyDescent="0.3">
      <c r="A1076" s="6">
        <v>44698</v>
      </c>
      <c r="B1076" s="7" t="s">
        <v>689</v>
      </c>
      <c r="C1076" s="7" t="s">
        <v>805</v>
      </c>
      <c r="D1076" s="7" t="s">
        <v>812</v>
      </c>
      <c r="E1076" s="7">
        <v>19</v>
      </c>
      <c r="F1076" s="7" t="s">
        <v>847</v>
      </c>
      <c r="G1076" s="7" t="s">
        <v>835</v>
      </c>
      <c r="H1076" s="7">
        <v>3854</v>
      </c>
      <c r="I1076" s="7" t="s">
        <v>854</v>
      </c>
      <c r="J1076" s="8" t="str" cm="1">
        <f t="array" ref="J1076">_xlfn.IFS(H1076&gt;8000,"PLATINUM",H1076&gt;6000,"GOLD",H1076&gt;4000,"SILEVER",H1076&gt;2000,"NORMAL",H1076&gt;500,"BASIC")</f>
        <v>NORMAL</v>
      </c>
    </row>
    <row r="1077" spans="1:10" ht="15.6" x14ac:dyDescent="0.3">
      <c r="A1077" s="6">
        <v>44186</v>
      </c>
      <c r="B1077" s="7" t="s">
        <v>690</v>
      </c>
      <c r="C1077" s="7" t="s">
        <v>806</v>
      </c>
      <c r="D1077" s="7" t="s">
        <v>815</v>
      </c>
      <c r="E1077" s="7">
        <v>15</v>
      </c>
      <c r="F1077" s="7" t="s">
        <v>842</v>
      </c>
      <c r="G1077" s="7" t="s">
        <v>823</v>
      </c>
      <c r="H1077" s="7">
        <v>7019</v>
      </c>
      <c r="I1077" s="7" t="s">
        <v>850</v>
      </c>
      <c r="J1077" s="8" t="str" cm="1">
        <f t="array" ref="J1077">_xlfn.IFS(H1077&gt;8000,"PLATINUM",H1077&gt;6000,"GOLD",H1077&gt;4000,"SILEVER",H1077&gt;2000,"NORMAL",H1077&gt;500,"BASIC")</f>
        <v>GOLD</v>
      </c>
    </row>
    <row r="1078" spans="1:10" ht="15.6" x14ac:dyDescent="0.3">
      <c r="A1078" s="6">
        <v>44432</v>
      </c>
      <c r="B1078" s="7" t="s">
        <v>691</v>
      </c>
      <c r="C1078" s="7" t="s">
        <v>805</v>
      </c>
      <c r="D1078" s="7" t="s">
        <v>812</v>
      </c>
      <c r="E1078" s="7">
        <v>14</v>
      </c>
      <c r="F1078" s="7" t="s">
        <v>844</v>
      </c>
      <c r="G1078" s="7" t="s">
        <v>828</v>
      </c>
      <c r="H1078" s="7">
        <v>5954</v>
      </c>
      <c r="I1078" s="7" t="s">
        <v>853</v>
      </c>
      <c r="J1078" s="8" t="str" cm="1">
        <f t="array" ref="J1078">_xlfn.IFS(H1078&gt;8000,"PLATINUM",H1078&gt;6000,"GOLD",H1078&gt;4000,"SILEVER",H1078&gt;2000,"NORMAL",H1078&gt;500,"BASIC")</f>
        <v>SILEVER</v>
      </c>
    </row>
    <row r="1079" spans="1:10" ht="15.6" x14ac:dyDescent="0.3">
      <c r="A1079" s="6">
        <v>44856</v>
      </c>
      <c r="B1079" s="7" t="s">
        <v>692</v>
      </c>
      <c r="C1079" s="7" t="s">
        <v>805</v>
      </c>
      <c r="D1079" s="7" t="s">
        <v>812</v>
      </c>
      <c r="E1079" s="7">
        <v>14</v>
      </c>
      <c r="F1079" s="7" t="s">
        <v>846</v>
      </c>
      <c r="G1079" s="7" t="s">
        <v>831</v>
      </c>
      <c r="H1079" s="7">
        <v>5954</v>
      </c>
      <c r="I1079" s="7" t="s">
        <v>853</v>
      </c>
      <c r="J1079" s="8" t="str" cm="1">
        <f t="array" ref="J1079">_xlfn.IFS(H1079&gt;8000,"PLATINUM",H1079&gt;6000,"GOLD",H1079&gt;4000,"SILEVER",H1079&gt;2000,"NORMAL",H1079&gt;500,"BASIC")</f>
        <v>SILEVER</v>
      </c>
    </row>
    <row r="1080" spans="1:10" ht="15.6" x14ac:dyDescent="0.3">
      <c r="A1080" s="6">
        <v>45343</v>
      </c>
      <c r="B1080" s="7" t="s">
        <v>693</v>
      </c>
      <c r="C1080" s="7" t="s">
        <v>807</v>
      </c>
      <c r="D1080" s="7" t="s">
        <v>820</v>
      </c>
      <c r="E1080" s="7">
        <v>5</v>
      </c>
      <c r="F1080" s="7" t="s">
        <v>844</v>
      </c>
      <c r="G1080" s="7" t="s">
        <v>830</v>
      </c>
      <c r="H1080" s="7">
        <v>9752</v>
      </c>
      <c r="I1080" s="7" t="s">
        <v>851</v>
      </c>
      <c r="J1080" s="8" t="str" cm="1">
        <f t="array" ref="J1080">_xlfn.IFS(H1080&gt;8000,"PLATINUM",H1080&gt;6000,"GOLD",H1080&gt;4000,"SILEVER",H1080&gt;2000,"NORMAL",H1080&gt;500,"BASIC")</f>
        <v>PLATINUM</v>
      </c>
    </row>
    <row r="1081" spans="1:10" ht="15.6" x14ac:dyDescent="0.3">
      <c r="A1081" s="6">
        <v>44865</v>
      </c>
      <c r="B1081" s="7" t="s">
        <v>694</v>
      </c>
      <c r="C1081" s="7" t="s">
        <v>807</v>
      </c>
      <c r="D1081" s="7" t="s">
        <v>820</v>
      </c>
      <c r="E1081" s="7">
        <v>5</v>
      </c>
      <c r="F1081" s="7" t="s">
        <v>843</v>
      </c>
      <c r="G1081" s="7" t="s">
        <v>840</v>
      </c>
      <c r="H1081" s="7">
        <v>9752</v>
      </c>
      <c r="I1081" s="7" t="s">
        <v>851</v>
      </c>
      <c r="J1081" s="8" t="str" cm="1">
        <f t="array" ref="J1081">_xlfn.IFS(H1081&gt;8000,"PLATINUM",H1081&gt;6000,"GOLD",H1081&gt;4000,"SILEVER",H1081&gt;2000,"NORMAL",H1081&gt;500,"BASIC")</f>
        <v>PLATINUM</v>
      </c>
    </row>
    <row r="1082" spans="1:10" ht="15.6" x14ac:dyDescent="0.3">
      <c r="A1082" s="6">
        <v>44696</v>
      </c>
      <c r="B1082" s="7" t="s">
        <v>695</v>
      </c>
      <c r="C1082" s="7" t="s">
        <v>805</v>
      </c>
      <c r="D1082" s="7" t="s">
        <v>809</v>
      </c>
      <c r="E1082" s="7">
        <v>15</v>
      </c>
      <c r="F1082" s="7" t="s">
        <v>844</v>
      </c>
      <c r="G1082" s="7" t="s">
        <v>828</v>
      </c>
      <c r="H1082" s="7">
        <v>5335</v>
      </c>
      <c r="I1082" s="7" t="s">
        <v>854</v>
      </c>
      <c r="J1082" s="8" t="str" cm="1">
        <f t="array" ref="J1082">_xlfn.IFS(H1082&gt;8000,"PLATINUM",H1082&gt;6000,"GOLD",H1082&gt;4000,"SILEVER",H1082&gt;2000,"NORMAL",H1082&gt;500,"BASIC")</f>
        <v>SILEVER</v>
      </c>
    </row>
    <row r="1083" spans="1:10" ht="15.6" x14ac:dyDescent="0.3">
      <c r="A1083" s="6">
        <v>44764</v>
      </c>
      <c r="B1083" s="7" t="s">
        <v>696</v>
      </c>
      <c r="C1083" s="7" t="s">
        <v>805</v>
      </c>
      <c r="D1083" s="7" t="s">
        <v>809</v>
      </c>
      <c r="E1083" s="7">
        <v>20</v>
      </c>
      <c r="F1083" s="7" t="s">
        <v>844</v>
      </c>
      <c r="G1083" s="7" t="s">
        <v>830</v>
      </c>
      <c r="H1083" s="7">
        <v>1454</v>
      </c>
      <c r="I1083" s="7" t="s">
        <v>853</v>
      </c>
      <c r="J1083" s="8" t="str" cm="1">
        <f t="array" ref="J1083">_xlfn.IFS(H1083&gt;8000,"PLATINUM",H1083&gt;6000,"GOLD",H1083&gt;4000,"SILEVER",H1083&gt;2000,"NORMAL",H1083&gt;500,"BASIC")</f>
        <v>BASIC</v>
      </c>
    </row>
    <row r="1084" spans="1:10" ht="15.6" x14ac:dyDescent="0.3">
      <c r="A1084" s="6">
        <v>44543</v>
      </c>
      <c r="B1084" s="7" t="s">
        <v>697</v>
      </c>
      <c r="C1084" s="7" t="s">
        <v>807</v>
      </c>
      <c r="D1084" s="7" t="s">
        <v>820</v>
      </c>
      <c r="E1084" s="7">
        <v>19</v>
      </c>
      <c r="F1084" s="7" t="s">
        <v>845</v>
      </c>
      <c r="G1084" s="7" t="s">
        <v>834</v>
      </c>
      <c r="H1084" s="7">
        <v>6724</v>
      </c>
      <c r="I1084" s="7" t="s">
        <v>854</v>
      </c>
      <c r="J1084" s="8" t="str" cm="1">
        <f t="array" ref="J1084">_xlfn.IFS(H1084&gt;8000,"PLATINUM",H1084&gt;6000,"GOLD",H1084&gt;4000,"SILEVER",H1084&gt;2000,"NORMAL",H1084&gt;500,"BASIC")</f>
        <v>GOLD</v>
      </c>
    </row>
    <row r="1085" spans="1:10" ht="15.6" x14ac:dyDescent="0.3">
      <c r="A1085" s="6">
        <v>44350</v>
      </c>
      <c r="B1085" s="7" t="s">
        <v>698</v>
      </c>
      <c r="C1085" s="7" t="s">
        <v>807</v>
      </c>
      <c r="D1085" s="7" t="s">
        <v>820</v>
      </c>
      <c r="E1085" s="7">
        <v>19</v>
      </c>
      <c r="F1085" s="7" t="s">
        <v>846</v>
      </c>
      <c r="G1085" s="7" t="s">
        <v>831</v>
      </c>
      <c r="H1085" s="7">
        <v>6724</v>
      </c>
      <c r="I1085" s="7" t="s">
        <v>854</v>
      </c>
      <c r="J1085" s="8" t="str" cm="1">
        <f t="array" ref="J1085">_xlfn.IFS(H1085&gt;8000,"PLATINUM",H1085&gt;6000,"GOLD",H1085&gt;4000,"SILEVER",H1085&gt;2000,"NORMAL",H1085&gt;500,"BASIC")</f>
        <v>GOLD</v>
      </c>
    </row>
    <row r="1086" spans="1:10" ht="15.6" x14ac:dyDescent="0.3">
      <c r="A1086" s="6">
        <v>45712</v>
      </c>
      <c r="B1086" s="7" t="s">
        <v>699</v>
      </c>
      <c r="C1086" s="7" t="s">
        <v>806</v>
      </c>
      <c r="D1086" s="7" t="s">
        <v>818</v>
      </c>
      <c r="E1086" s="7">
        <v>4</v>
      </c>
      <c r="F1086" s="7" t="s">
        <v>847</v>
      </c>
      <c r="G1086" s="7" t="s">
        <v>837</v>
      </c>
      <c r="H1086" s="7">
        <v>9874</v>
      </c>
      <c r="I1086" s="7" t="s">
        <v>852</v>
      </c>
      <c r="J1086" s="8" t="str" cm="1">
        <f t="array" ref="J1086">_xlfn.IFS(H1086&gt;8000,"PLATINUM",H1086&gt;6000,"GOLD",H1086&gt;4000,"SILEVER",H1086&gt;2000,"NORMAL",H1086&gt;500,"BASIC")</f>
        <v>PLATINUM</v>
      </c>
    </row>
    <row r="1087" spans="1:10" ht="15.6" x14ac:dyDescent="0.3">
      <c r="A1087" s="6">
        <v>44959</v>
      </c>
      <c r="B1087" s="7" t="s">
        <v>700</v>
      </c>
      <c r="C1087" s="7" t="s">
        <v>805</v>
      </c>
      <c r="D1087" s="7" t="s">
        <v>819</v>
      </c>
      <c r="E1087" s="7">
        <v>7</v>
      </c>
      <c r="F1087" s="7" t="s">
        <v>842</v>
      </c>
      <c r="G1087" s="7" t="s">
        <v>839</v>
      </c>
      <c r="H1087" s="7">
        <v>4918</v>
      </c>
      <c r="I1087" s="7" t="s">
        <v>850</v>
      </c>
      <c r="J1087" s="8" t="str" cm="1">
        <f t="array" ref="J1087">_xlfn.IFS(H1087&gt;8000,"PLATINUM",H1087&gt;6000,"GOLD",H1087&gt;4000,"SILEVER",H1087&gt;2000,"NORMAL",H1087&gt;500,"BASIC")</f>
        <v>SILEVER</v>
      </c>
    </row>
    <row r="1088" spans="1:10" ht="15.6" x14ac:dyDescent="0.3">
      <c r="A1088" s="6">
        <v>44561</v>
      </c>
      <c r="B1088" s="7" t="s">
        <v>701</v>
      </c>
      <c r="C1088" s="7" t="s">
        <v>806</v>
      </c>
      <c r="D1088" s="7" t="s">
        <v>817</v>
      </c>
      <c r="E1088" s="7">
        <v>19</v>
      </c>
      <c r="F1088" s="7" t="s">
        <v>844</v>
      </c>
      <c r="G1088" s="7" t="s">
        <v>828</v>
      </c>
      <c r="H1088" s="7">
        <v>3189</v>
      </c>
      <c r="I1088" s="7" t="s">
        <v>853</v>
      </c>
      <c r="J1088" s="8" t="str" cm="1">
        <f t="array" ref="J1088">_xlfn.IFS(H1088&gt;8000,"PLATINUM",H1088&gt;6000,"GOLD",H1088&gt;4000,"SILEVER",H1088&gt;2000,"NORMAL",H1088&gt;500,"BASIC")</f>
        <v>NORMAL</v>
      </c>
    </row>
    <row r="1089" spans="1:10" ht="15.6" x14ac:dyDescent="0.3">
      <c r="A1089" s="6">
        <v>45458</v>
      </c>
      <c r="B1089" s="7" t="s">
        <v>702</v>
      </c>
      <c r="C1089" s="7" t="s">
        <v>805</v>
      </c>
      <c r="D1089" s="7" t="s">
        <v>809</v>
      </c>
      <c r="E1089" s="7">
        <v>2</v>
      </c>
      <c r="F1089" s="7" t="s">
        <v>844</v>
      </c>
      <c r="G1089" s="7" t="s">
        <v>828</v>
      </c>
      <c r="H1089" s="7">
        <v>2684</v>
      </c>
      <c r="I1089" s="7" t="s">
        <v>850</v>
      </c>
      <c r="J1089" s="8" t="str" cm="1">
        <f t="array" ref="J1089">_xlfn.IFS(H1089&gt;8000,"PLATINUM",H1089&gt;6000,"GOLD",H1089&gt;4000,"SILEVER",H1089&gt;2000,"NORMAL",H1089&gt;500,"BASIC")</f>
        <v>NORMAL</v>
      </c>
    </row>
    <row r="1090" spans="1:10" ht="15.6" x14ac:dyDescent="0.3">
      <c r="A1090" s="6">
        <v>44717</v>
      </c>
      <c r="B1090" s="7" t="s">
        <v>703</v>
      </c>
      <c r="C1090" s="7" t="s">
        <v>805</v>
      </c>
      <c r="D1090" s="7" t="s">
        <v>809</v>
      </c>
      <c r="E1090" s="7">
        <v>2</v>
      </c>
      <c r="F1090" s="7" t="s">
        <v>844</v>
      </c>
      <c r="G1090" s="7" t="s">
        <v>825</v>
      </c>
      <c r="H1090" s="7">
        <v>2684</v>
      </c>
      <c r="I1090" s="7" t="s">
        <v>850</v>
      </c>
      <c r="J1090" s="8" t="str" cm="1">
        <f t="array" ref="J1090">_xlfn.IFS(H1090&gt;8000,"PLATINUM",H1090&gt;6000,"GOLD",H1090&gt;4000,"SILEVER",H1090&gt;2000,"NORMAL",H1090&gt;500,"BASIC")</f>
        <v>NORMAL</v>
      </c>
    </row>
    <row r="1091" spans="1:10" ht="15.6" x14ac:dyDescent="0.3">
      <c r="A1091" s="6">
        <v>43962</v>
      </c>
      <c r="B1091" s="7" t="s">
        <v>704</v>
      </c>
      <c r="C1091" s="7" t="s">
        <v>805</v>
      </c>
      <c r="D1091" s="7" t="s">
        <v>809</v>
      </c>
      <c r="E1091" s="7">
        <v>2</v>
      </c>
      <c r="F1091" s="7" t="s">
        <v>846</v>
      </c>
      <c r="G1091" s="7" t="s">
        <v>831</v>
      </c>
      <c r="H1091" s="7">
        <v>2684</v>
      </c>
      <c r="I1091" s="7" t="s">
        <v>850</v>
      </c>
      <c r="J1091" s="8" t="str" cm="1">
        <f t="array" ref="J1091">_xlfn.IFS(H1091&gt;8000,"PLATINUM",H1091&gt;6000,"GOLD",H1091&gt;4000,"SILEVER",H1091&gt;2000,"NORMAL",H1091&gt;500,"BASIC")</f>
        <v>NORMAL</v>
      </c>
    </row>
    <row r="1092" spans="1:10" ht="15.6" x14ac:dyDescent="0.3">
      <c r="A1092" s="6">
        <v>45333</v>
      </c>
      <c r="B1092" s="7" t="s">
        <v>705</v>
      </c>
      <c r="C1092" s="7" t="s">
        <v>806</v>
      </c>
      <c r="D1092" s="7" t="s">
        <v>811</v>
      </c>
      <c r="E1092" s="7">
        <v>5</v>
      </c>
      <c r="F1092" s="7" t="s">
        <v>843</v>
      </c>
      <c r="G1092" s="7" t="s">
        <v>829</v>
      </c>
      <c r="H1092" s="7">
        <v>7626</v>
      </c>
      <c r="I1092" s="7" t="s">
        <v>852</v>
      </c>
      <c r="J1092" s="8" t="str" cm="1">
        <f t="array" ref="J1092">_xlfn.IFS(H1092&gt;8000,"PLATINUM",H1092&gt;6000,"GOLD",H1092&gt;4000,"SILEVER",H1092&gt;2000,"NORMAL",H1092&gt;500,"BASIC")</f>
        <v>GOLD</v>
      </c>
    </row>
    <row r="1093" spans="1:10" ht="15.6" x14ac:dyDescent="0.3">
      <c r="A1093" s="6">
        <v>44160</v>
      </c>
      <c r="B1093" s="7" t="s">
        <v>706</v>
      </c>
      <c r="C1093" s="7" t="s">
        <v>806</v>
      </c>
      <c r="D1093" s="7" t="s">
        <v>811</v>
      </c>
      <c r="E1093" s="7">
        <v>5</v>
      </c>
      <c r="F1093" s="7" t="s">
        <v>847</v>
      </c>
      <c r="G1093" s="7" t="s">
        <v>835</v>
      </c>
      <c r="H1093" s="7">
        <v>7626</v>
      </c>
      <c r="I1093" s="7" t="s">
        <v>852</v>
      </c>
      <c r="J1093" s="8" t="str" cm="1">
        <f t="array" ref="J1093">_xlfn.IFS(H1093&gt;8000,"PLATINUM",H1093&gt;6000,"GOLD",H1093&gt;4000,"SILEVER",H1093&gt;2000,"NORMAL",H1093&gt;500,"BASIC")</f>
        <v>GOLD</v>
      </c>
    </row>
    <row r="1094" spans="1:10" ht="15.6" x14ac:dyDescent="0.3">
      <c r="A1094" s="6">
        <v>45150</v>
      </c>
      <c r="B1094" s="7" t="s">
        <v>707</v>
      </c>
      <c r="C1094" s="7" t="s">
        <v>805</v>
      </c>
      <c r="D1094" s="7" t="s">
        <v>810</v>
      </c>
      <c r="E1094" s="7">
        <v>19</v>
      </c>
      <c r="F1094" s="7" t="s">
        <v>847</v>
      </c>
      <c r="G1094" s="7" t="s">
        <v>836</v>
      </c>
      <c r="H1094" s="7">
        <v>6669</v>
      </c>
      <c r="I1094" s="7" t="s">
        <v>850</v>
      </c>
      <c r="J1094" s="8" t="str" cm="1">
        <f t="array" ref="J1094">_xlfn.IFS(H1094&gt;8000,"PLATINUM",H1094&gt;6000,"GOLD",H1094&gt;4000,"SILEVER",H1094&gt;2000,"NORMAL",H1094&gt;500,"BASIC")</f>
        <v>GOLD</v>
      </c>
    </row>
    <row r="1095" spans="1:10" ht="15.6" x14ac:dyDescent="0.3">
      <c r="A1095" s="6">
        <v>44687</v>
      </c>
      <c r="B1095" s="7" t="s">
        <v>708</v>
      </c>
      <c r="C1095" s="7" t="s">
        <v>806</v>
      </c>
      <c r="D1095" s="7" t="s">
        <v>815</v>
      </c>
      <c r="E1095" s="7">
        <v>3</v>
      </c>
      <c r="F1095" s="7" t="s">
        <v>847</v>
      </c>
      <c r="G1095" s="7" t="s">
        <v>836</v>
      </c>
      <c r="H1095" s="7">
        <v>6123</v>
      </c>
      <c r="I1095" s="7" t="s">
        <v>853</v>
      </c>
      <c r="J1095" s="8" t="str" cm="1">
        <f t="array" ref="J1095">_xlfn.IFS(H1095&gt;8000,"PLATINUM",H1095&gt;6000,"GOLD",H1095&gt;4000,"SILEVER",H1095&gt;2000,"NORMAL",H1095&gt;500,"BASIC")</f>
        <v>GOLD</v>
      </c>
    </row>
    <row r="1096" spans="1:10" ht="15.6" x14ac:dyDescent="0.3">
      <c r="A1096" s="6">
        <v>45308</v>
      </c>
      <c r="B1096" s="7" t="s">
        <v>709</v>
      </c>
      <c r="C1096" s="7" t="s">
        <v>806</v>
      </c>
      <c r="D1096" s="7" t="s">
        <v>817</v>
      </c>
      <c r="E1096" s="7">
        <v>16</v>
      </c>
      <c r="F1096" s="7" t="s">
        <v>845</v>
      </c>
      <c r="G1096" s="7" t="s">
        <v>827</v>
      </c>
      <c r="H1096" s="7">
        <v>3265</v>
      </c>
      <c r="I1096" s="7" t="s">
        <v>853</v>
      </c>
      <c r="J1096" s="8" t="str" cm="1">
        <f t="array" ref="J1096">_xlfn.IFS(H1096&gt;8000,"PLATINUM",H1096&gt;6000,"GOLD",H1096&gt;4000,"SILEVER",H1096&gt;2000,"NORMAL",H1096&gt;500,"BASIC")</f>
        <v>NORMAL</v>
      </c>
    </row>
    <row r="1097" spans="1:10" ht="15.6" x14ac:dyDescent="0.3">
      <c r="A1097" s="6">
        <v>44524</v>
      </c>
      <c r="B1097" s="7" t="s">
        <v>710</v>
      </c>
      <c r="C1097" s="7" t="s">
        <v>806</v>
      </c>
      <c r="D1097" s="7" t="s">
        <v>815</v>
      </c>
      <c r="E1097" s="7">
        <v>6</v>
      </c>
      <c r="F1097" s="7" t="s">
        <v>842</v>
      </c>
      <c r="G1097" s="7" t="s">
        <v>826</v>
      </c>
      <c r="H1097" s="7">
        <v>8104</v>
      </c>
      <c r="I1097" s="7" t="s">
        <v>854</v>
      </c>
      <c r="J1097" s="8" t="str" cm="1">
        <f t="array" ref="J1097">_xlfn.IFS(H1097&gt;8000,"PLATINUM",H1097&gt;6000,"GOLD",H1097&gt;4000,"SILEVER",H1097&gt;2000,"NORMAL",H1097&gt;500,"BASIC")</f>
        <v>PLATINUM</v>
      </c>
    </row>
    <row r="1098" spans="1:10" ht="15.6" x14ac:dyDescent="0.3">
      <c r="A1098" s="6">
        <v>44475</v>
      </c>
      <c r="B1098" s="7" t="s">
        <v>711</v>
      </c>
      <c r="C1098" s="7" t="s">
        <v>806</v>
      </c>
      <c r="D1098" s="7" t="s">
        <v>815</v>
      </c>
      <c r="E1098" s="7">
        <v>6</v>
      </c>
      <c r="F1098" s="7" t="s">
        <v>842</v>
      </c>
      <c r="G1098" s="7" t="s">
        <v>823</v>
      </c>
      <c r="H1098" s="7">
        <v>8104</v>
      </c>
      <c r="I1098" s="7" t="s">
        <v>854</v>
      </c>
      <c r="J1098" s="8" t="str" cm="1">
        <f t="array" ref="J1098">_xlfn.IFS(H1098&gt;8000,"PLATINUM",H1098&gt;6000,"GOLD",H1098&gt;4000,"SILEVER",H1098&gt;2000,"NORMAL",H1098&gt;500,"BASIC")</f>
        <v>PLATINUM</v>
      </c>
    </row>
    <row r="1099" spans="1:10" ht="15.6" x14ac:dyDescent="0.3">
      <c r="A1099" s="6">
        <v>45684</v>
      </c>
      <c r="B1099" s="7" t="s">
        <v>712</v>
      </c>
      <c r="C1099" s="7" t="s">
        <v>806</v>
      </c>
      <c r="D1099" s="7" t="s">
        <v>815</v>
      </c>
      <c r="E1099" s="7">
        <v>6</v>
      </c>
      <c r="F1099" s="7" t="s">
        <v>845</v>
      </c>
      <c r="G1099" s="7" t="s">
        <v>834</v>
      </c>
      <c r="H1099" s="7">
        <v>8104</v>
      </c>
      <c r="I1099" s="7" t="s">
        <v>854</v>
      </c>
      <c r="J1099" s="8" t="str" cm="1">
        <f t="array" ref="J1099">_xlfn.IFS(H1099&gt;8000,"PLATINUM",H1099&gt;6000,"GOLD",H1099&gt;4000,"SILEVER",H1099&gt;2000,"NORMAL",H1099&gt;500,"BASIC")</f>
        <v>PLATINUM</v>
      </c>
    </row>
    <row r="1100" spans="1:10" ht="15.6" x14ac:dyDescent="0.3">
      <c r="A1100" s="6">
        <v>44704</v>
      </c>
      <c r="B1100" s="7" t="s">
        <v>713</v>
      </c>
      <c r="C1100" s="7" t="s">
        <v>807</v>
      </c>
      <c r="D1100" s="7" t="s">
        <v>813</v>
      </c>
      <c r="E1100" s="7">
        <v>17</v>
      </c>
      <c r="F1100" s="7" t="s">
        <v>844</v>
      </c>
      <c r="G1100" s="7" t="s">
        <v>825</v>
      </c>
      <c r="H1100" s="7">
        <v>847</v>
      </c>
      <c r="I1100" s="7" t="s">
        <v>854</v>
      </c>
      <c r="J1100" s="8" t="str" cm="1">
        <f t="array" ref="J1100">_xlfn.IFS(H1100&gt;8000,"PLATINUM",H1100&gt;6000,"GOLD",H1100&gt;4000,"SILEVER",H1100&gt;2000,"NORMAL",H1100&gt;500,"BASIC")</f>
        <v>BASIC</v>
      </c>
    </row>
    <row r="1101" spans="1:10" ht="15.6" x14ac:dyDescent="0.3">
      <c r="A1101" s="6">
        <v>45258</v>
      </c>
      <c r="B1101" s="7" t="s">
        <v>714</v>
      </c>
      <c r="C1101" s="7" t="s">
        <v>807</v>
      </c>
      <c r="D1101" s="7" t="s">
        <v>813</v>
      </c>
      <c r="E1101" s="7">
        <v>17</v>
      </c>
      <c r="F1101" s="7" t="s">
        <v>846</v>
      </c>
      <c r="G1101" s="7" t="s">
        <v>833</v>
      </c>
      <c r="H1101" s="7">
        <v>847</v>
      </c>
      <c r="I1101" s="7" t="s">
        <v>854</v>
      </c>
      <c r="J1101" s="8" t="str" cm="1">
        <f t="array" ref="J1101">_xlfn.IFS(H1101&gt;8000,"PLATINUM",H1101&gt;6000,"GOLD",H1101&gt;4000,"SILEVER",H1101&gt;2000,"NORMAL",H1101&gt;500,"BASIC")</f>
        <v>BASIC</v>
      </c>
    </row>
    <row r="1102" spans="1:10" ht="15.6" x14ac:dyDescent="0.3">
      <c r="A1102" s="6">
        <v>44944</v>
      </c>
      <c r="B1102" s="7" t="s">
        <v>715</v>
      </c>
      <c r="C1102" s="7" t="s">
        <v>807</v>
      </c>
      <c r="D1102" s="7" t="s">
        <v>813</v>
      </c>
      <c r="E1102" s="7">
        <v>17</v>
      </c>
      <c r="F1102" s="7" t="s">
        <v>845</v>
      </c>
      <c r="G1102" s="7" t="s">
        <v>834</v>
      </c>
      <c r="H1102" s="7">
        <v>847</v>
      </c>
      <c r="I1102" s="7" t="s">
        <v>854</v>
      </c>
      <c r="J1102" s="8" t="str" cm="1">
        <f t="array" ref="J1102">_xlfn.IFS(H1102&gt;8000,"PLATINUM",H1102&gt;6000,"GOLD",H1102&gt;4000,"SILEVER",H1102&gt;2000,"NORMAL",H1102&gt;500,"BASIC")</f>
        <v>BASIC</v>
      </c>
    </row>
    <row r="1103" spans="1:10" ht="15.6" x14ac:dyDescent="0.3">
      <c r="A1103" s="6">
        <v>44445</v>
      </c>
      <c r="B1103" s="7" t="s">
        <v>716</v>
      </c>
      <c r="C1103" s="7" t="s">
        <v>807</v>
      </c>
      <c r="D1103" s="7" t="s">
        <v>820</v>
      </c>
      <c r="E1103" s="7">
        <v>9</v>
      </c>
      <c r="F1103" s="7" t="s">
        <v>843</v>
      </c>
      <c r="G1103" s="7" t="s">
        <v>840</v>
      </c>
      <c r="H1103" s="7">
        <v>3129</v>
      </c>
      <c r="I1103" s="7" t="s">
        <v>851</v>
      </c>
      <c r="J1103" s="8" t="str" cm="1">
        <f t="array" ref="J1103">_xlfn.IFS(H1103&gt;8000,"PLATINUM",H1103&gt;6000,"GOLD",H1103&gt;4000,"SILEVER",H1103&gt;2000,"NORMAL",H1103&gt;500,"BASIC")</f>
        <v>NORMAL</v>
      </c>
    </row>
    <row r="1104" spans="1:10" ht="15.6" x14ac:dyDescent="0.3">
      <c r="A1104" s="6">
        <v>44445</v>
      </c>
      <c r="B1104" s="7" t="s">
        <v>716</v>
      </c>
      <c r="C1104" s="7" t="s">
        <v>805</v>
      </c>
      <c r="D1104" s="7" t="s">
        <v>812</v>
      </c>
      <c r="E1104" s="7">
        <v>13</v>
      </c>
      <c r="F1104" s="7" t="s">
        <v>843</v>
      </c>
      <c r="G1104" s="7" t="s">
        <v>840</v>
      </c>
      <c r="H1104" s="7">
        <v>7821</v>
      </c>
      <c r="I1104" s="7" t="s">
        <v>852</v>
      </c>
      <c r="J1104" s="8" t="str" cm="1">
        <f t="array" ref="J1104">_xlfn.IFS(H1104&gt;8000,"PLATINUM",H1104&gt;6000,"GOLD",H1104&gt;4000,"SILEVER",H1104&gt;2000,"NORMAL",H1104&gt;500,"BASIC")</f>
        <v>GOLD</v>
      </c>
    </row>
    <row r="1105" spans="1:10" ht="15.6" x14ac:dyDescent="0.3">
      <c r="A1105" s="6">
        <v>44249</v>
      </c>
      <c r="B1105" s="7" t="s">
        <v>717</v>
      </c>
      <c r="C1105" s="7" t="s">
        <v>805</v>
      </c>
      <c r="D1105" s="7" t="s">
        <v>819</v>
      </c>
      <c r="E1105" s="7">
        <v>12</v>
      </c>
      <c r="F1105" s="7" t="s">
        <v>843</v>
      </c>
      <c r="G1105" s="7" t="s">
        <v>840</v>
      </c>
      <c r="H1105" s="7">
        <v>9498</v>
      </c>
      <c r="I1105" s="7" t="s">
        <v>854</v>
      </c>
      <c r="J1105" s="8" t="str" cm="1">
        <f t="array" ref="J1105">_xlfn.IFS(H1105&gt;8000,"PLATINUM",H1105&gt;6000,"GOLD",H1105&gt;4000,"SILEVER",H1105&gt;2000,"NORMAL",H1105&gt;500,"BASIC")</f>
        <v>PLATINUM</v>
      </c>
    </row>
    <row r="1106" spans="1:10" ht="15.6" x14ac:dyDescent="0.3">
      <c r="A1106" s="6">
        <v>44475</v>
      </c>
      <c r="B1106" s="7" t="s">
        <v>718</v>
      </c>
      <c r="C1106" s="7" t="s">
        <v>805</v>
      </c>
      <c r="D1106" s="7" t="s">
        <v>819</v>
      </c>
      <c r="E1106" s="7">
        <v>12</v>
      </c>
      <c r="F1106" s="7" t="s">
        <v>844</v>
      </c>
      <c r="G1106" s="7" t="s">
        <v>828</v>
      </c>
      <c r="H1106" s="7">
        <v>9498</v>
      </c>
      <c r="I1106" s="7" t="s">
        <v>854</v>
      </c>
      <c r="J1106" s="8" t="str" cm="1">
        <f t="array" ref="J1106">_xlfn.IFS(H1106&gt;8000,"PLATINUM",H1106&gt;6000,"GOLD",H1106&gt;4000,"SILEVER",H1106&gt;2000,"NORMAL",H1106&gt;500,"BASIC")</f>
        <v>PLATINUM</v>
      </c>
    </row>
    <row r="1107" spans="1:10" ht="15.6" x14ac:dyDescent="0.3">
      <c r="A1107" s="6">
        <v>43989</v>
      </c>
      <c r="B1107" s="7" t="s">
        <v>719</v>
      </c>
      <c r="C1107" s="7" t="s">
        <v>807</v>
      </c>
      <c r="D1107" s="7" t="s">
        <v>816</v>
      </c>
      <c r="E1107" s="7">
        <v>7</v>
      </c>
      <c r="F1107" s="7" t="s">
        <v>844</v>
      </c>
      <c r="G1107" s="7" t="s">
        <v>830</v>
      </c>
      <c r="H1107" s="7">
        <v>5461</v>
      </c>
      <c r="I1107" s="7" t="s">
        <v>853</v>
      </c>
      <c r="J1107" s="8" t="str" cm="1">
        <f t="array" ref="J1107">_xlfn.IFS(H1107&gt;8000,"PLATINUM",H1107&gt;6000,"GOLD",H1107&gt;4000,"SILEVER",H1107&gt;2000,"NORMAL",H1107&gt;500,"BASIC")</f>
        <v>SILEVER</v>
      </c>
    </row>
    <row r="1108" spans="1:10" ht="15.6" x14ac:dyDescent="0.3">
      <c r="A1108" s="6">
        <v>45433</v>
      </c>
      <c r="B1108" s="7" t="s">
        <v>720</v>
      </c>
      <c r="C1108" s="7" t="s">
        <v>807</v>
      </c>
      <c r="D1108" s="7" t="s">
        <v>820</v>
      </c>
      <c r="E1108" s="7">
        <v>19</v>
      </c>
      <c r="F1108" s="7" t="s">
        <v>846</v>
      </c>
      <c r="G1108" s="7" t="s">
        <v>831</v>
      </c>
      <c r="H1108" s="7">
        <v>3084</v>
      </c>
      <c r="I1108" s="7" t="s">
        <v>850</v>
      </c>
      <c r="J1108" s="8" t="str" cm="1">
        <f t="array" ref="J1108">_xlfn.IFS(H1108&gt;8000,"PLATINUM",H1108&gt;6000,"GOLD",H1108&gt;4000,"SILEVER",H1108&gt;2000,"NORMAL",H1108&gt;500,"BASIC")</f>
        <v>NORMAL</v>
      </c>
    </row>
    <row r="1109" spans="1:10" ht="15.6" x14ac:dyDescent="0.3">
      <c r="A1109" s="6">
        <v>44048</v>
      </c>
      <c r="B1109" s="7" t="s">
        <v>721</v>
      </c>
      <c r="C1109" s="7" t="s">
        <v>807</v>
      </c>
      <c r="D1109" s="7" t="s">
        <v>816</v>
      </c>
      <c r="E1109" s="7">
        <v>1</v>
      </c>
      <c r="F1109" s="7" t="s">
        <v>844</v>
      </c>
      <c r="G1109" s="7" t="s">
        <v>825</v>
      </c>
      <c r="H1109" s="7">
        <v>6087</v>
      </c>
      <c r="I1109" s="7" t="s">
        <v>854</v>
      </c>
      <c r="J1109" s="8" t="str" cm="1">
        <f t="array" ref="J1109">_xlfn.IFS(H1109&gt;8000,"PLATINUM",H1109&gt;6000,"GOLD",H1109&gt;4000,"SILEVER",H1109&gt;2000,"NORMAL",H1109&gt;500,"BASIC")</f>
        <v>GOLD</v>
      </c>
    </row>
    <row r="1110" spans="1:10" ht="15.6" x14ac:dyDescent="0.3">
      <c r="A1110" s="6">
        <v>44119</v>
      </c>
      <c r="B1110" s="7" t="s">
        <v>722</v>
      </c>
      <c r="C1110" s="7" t="s">
        <v>807</v>
      </c>
      <c r="D1110" s="7" t="s">
        <v>820</v>
      </c>
      <c r="E1110" s="7">
        <v>3</v>
      </c>
      <c r="F1110" s="7" t="s">
        <v>843</v>
      </c>
      <c r="G1110" s="7" t="s">
        <v>840</v>
      </c>
      <c r="H1110" s="7">
        <v>611</v>
      </c>
      <c r="I1110" s="7" t="s">
        <v>853</v>
      </c>
      <c r="J1110" s="8" t="str" cm="1">
        <f t="array" ref="J1110">_xlfn.IFS(H1110&gt;8000,"PLATINUM",H1110&gt;6000,"GOLD",H1110&gt;4000,"SILEVER",H1110&gt;2000,"NORMAL",H1110&gt;500,"BASIC")</f>
        <v>BASIC</v>
      </c>
    </row>
    <row r="1111" spans="1:10" ht="15.6" x14ac:dyDescent="0.3">
      <c r="A1111" s="6">
        <v>44331</v>
      </c>
      <c r="B1111" s="7" t="s">
        <v>723</v>
      </c>
      <c r="C1111" s="7" t="s">
        <v>806</v>
      </c>
      <c r="D1111" s="7" t="s">
        <v>815</v>
      </c>
      <c r="E1111" s="7">
        <v>18</v>
      </c>
      <c r="F1111" s="7" t="s">
        <v>847</v>
      </c>
      <c r="G1111" s="7" t="s">
        <v>837</v>
      </c>
      <c r="H1111" s="7">
        <v>9909</v>
      </c>
      <c r="I1111" s="7" t="s">
        <v>854</v>
      </c>
      <c r="J1111" s="8" t="str" cm="1">
        <f t="array" ref="J1111">_xlfn.IFS(H1111&gt;8000,"PLATINUM",H1111&gt;6000,"GOLD",H1111&gt;4000,"SILEVER",H1111&gt;2000,"NORMAL",H1111&gt;500,"BASIC")</f>
        <v>PLATINUM</v>
      </c>
    </row>
    <row r="1112" spans="1:10" ht="15.6" x14ac:dyDescent="0.3">
      <c r="A1112" s="6">
        <v>44574</v>
      </c>
      <c r="B1112" s="7" t="s">
        <v>724</v>
      </c>
      <c r="C1112" s="7" t="s">
        <v>806</v>
      </c>
      <c r="D1112" s="7" t="s">
        <v>815</v>
      </c>
      <c r="E1112" s="7">
        <v>18</v>
      </c>
      <c r="F1112" s="7" t="s">
        <v>846</v>
      </c>
      <c r="G1112" s="7" t="s">
        <v>833</v>
      </c>
      <c r="H1112" s="7">
        <v>9909</v>
      </c>
      <c r="I1112" s="7" t="s">
        <v>854</v>
      </c>
      <c r="J1112" s="8" t="str" cm="1">
        <f t="array" ref="J1112">_xlfn.IFS(H1112&gt;8000,"PLATINUM",H1112&gt;6000,"GOLD",H1112&gt;4000,"SILEVER",H1112&gt;2000,"NORMAL",H1112&gt;500,"BASIC")</f>
        <v>PLATINUM</v>
      </c>
    </row>
    <row r="1113" spans="1:10" ht="15.6" x14ac:dyDescent="0.3">
      <c r="A1113" s="6">
        <v>45125</v>
      </c>
      <c r="B1113" s="7" t="s">
        <v>725</v>
      </c>
      <c r="C1113" s="7" t="s">
        <v>807</v>
      </c>
      <c r="D1113" s="7" t="s">
        <v>816</v>
      </c>
      <c r="E1113" s="7">
        <v>18</v>
      </c>
      <c r="F1113" s="7" t="s">
        <v>847</v>
      </c>
      <c r="G1113" s="7" t="s">
        <v>835</v>
      </c>
      <c r="H1113" s="7">
        <v>6485</v>
      </c>
      <c r="I1113" s="7" t="s">
        <v>850</v>
      </c>
      <c r="J1113" s="8" t="str" cm="1">
        <f t="array" ref="J1113">_xlfn.IFS(H1113&gt;8000,"PLATINUM",H1113&gt;6000,"GOLD",H1113&gt;4000,"SILEVER",H1113&gt;2000,"NORMAL",H1113&gt;500,"BASIC")</f>
        <v>GOLD</v>
      </c>
    </row>
    <row r="1114" spans="1:10" ht="15.6" x14ac:dyDescent="0.3">
      <c r="A1114" s="6">
        <v>44903</v>
      </c>
      <c r="B1114" s="7" t="s">
        <v>726</v>
      </c>
      <c r="C1114" s="7" t="s">
        <v>805</v>
      </c>
      <c r="D1114" s="7" t="s">
        <v>812</v>
      </c>
      <c r="E1114" s="7">
        <v>10</v>
      </c>
      <c r="F1114" s="7" t="s">
        <v>843</v>
      </c>
      <c r="G1114" s="7" t="s">
        <v>829</v>
      </c>
      <c r="H1114" s="7">
        <v>7259</v>
      </c>
      <c r="I1114" s="7" t="s">
        <v>853</v>
      </c>
      <c r="J1114" s="8" t="str" cm="1">
        <f t="array" ref="J1114">_xlfn.IFS(H1114&gt;8000,"PLATINUM",H1114&gt;6000,"GOLD",H1114&gt;4000,"SILEVER",H1114&gt;2000,"NORMAL",H1114&gt;500,"BASIC")</f>
        <v>GOLD</v>
      </c>
    </row>
    <row r="1115" spans="1:10" ht="15.6" x14ac:dyDescent="0.3">
      <c r="A1115" s="6">
        <v>45033</v>
      </c>
      <c r="B1115" s="7" t="s">
        <v>727</v>
      </c>
      <c r="C1115" s="7" t="s">
        <v>805</v>
      </c>
      <c r="D1115" s="7" t="s">
        <v>810</v>
      </c>
      <c r="E1115" s="7">
        <v>18</v>
      </c>
      <c r="F1115" s="7" t="s">
        <v>842</v>
      </c>
      <c r="G1115" s="7" t="s">
        <v>823</v>
      </c>
      <c r="H1115" s="7">
        <v>3333</v>
      </c>
      <c r="I1115" s="7" t="s">
        <v>854</v>
      </c>
      <c r="J1115" s="8" t="str" cm="1">
        <f t="array" ref="J1115">_xlfn.IFS(H1115&gt;8000,"PLATINUM",H1115&gt;6000,"GOLD",H1115&gt;4000,"SILEVER",H1115&gt;2000,"NORMAL",H1115&gt;500,"BASIC")</f>
        <v>NORMAL</v>
      </c>
    </row>
    <row r="1116" spans="1:10" ht="15.6" x14ac:dyDescent="0.3">
      <c r="A1116" s="6">
        <v>44005</v>
      </c>
      <c r="B1116" s="7" t="s">
        <v>728</v>
      </c>
      <c r="C1116" s="7" t="s">
        <v>807</v>
      </c>
      <c r="D1116" s="7" t="s">
        <v>816</v>
      </c>
      <c r="E1116" s="7">
        <v>4</v>
      </c>
      <c r="F1116" s="7" t="s">
        <v>843</v>
      </c>
      <c r="G1116" s="7" t="s">
        <v>840</v>
      </c>
      <c r="H1116" s="7">
        <v>7786</v>
      </c>
      <c r="I1116" s="7" t="s">
        <v>852</v>
      </c>
      <c r="J1116" s="8" t="str" cm="1">
        <f t="array" ref="J1116">_xlfn.IFS(H1116&gt;8000,"PLATINUM",H1116&gt;6000,"GOLD",H1116&gt;4000,"SILEVER",H1116&gt;2000,"NORMAL",H1116&gt;500,"BASIC")</f>
        <v>GOLD</v>
      </c>
    </row>
    <row r="1117" spans="1:10" ht="15.6" x14ac:dyDescent="0.3">
      <c r="A1117" s="6">
        <v>44581</v>
      </c>
      <c r="B1117" s="7" t="s">
        <v>729</v>
      </c>
      <c r="C1117" s="7" t="s">
        <v>805</v>
      </c>
      <c r="D1117" s="7" t="s">
        <v>819</v>
      </c>
      <c r="E1117" s="7">
        <v>6</v>
      </c>
      <c r="F1117" s="7" t="s">
        <v>843</v>
      </c>
      <c r="G1117" s="7" t="s">
        <v>829</v>
      </c>
      <c r="H1117" s="7">
        <v>7644</v>
      </c>
      <c r="I1117" s="7" t="s">
        <v>851</v>
      </c>
      <c r="J1117" s="8" t="str" cm="1">
        <f t="array" ref="J1117">_xlfn.IFS(H1117&gt;8000,"PLATINUM",H1117&gt;6000,"GOLD",H1117&gt;4000,"SILEVER",H1117&gt;2000,"NORMAL",H1117&gt;500,"BASIC")</f>
        <v>GOLD</v>
      </c>
    </row>
    <row r="1118" spans="1:10" ht="15.6" x14ac:dyDescent="0.3">
      <c r="A1118" s="6">
        <v>45248</v>
      </c>
      <c r="B1118" s="7" t="s">
        <v>730</v>
      </c>
      <c r="C1118" s="7" t="s">
        <v>807</v>
      </c>
      <c r="D1118" s="7" t="s">
        <v>820</v>
      </c>
      <c r="E1118" s="7">
        <v>5</v>
      </c>
      <c r="F1118" s="7" t="s">
        <v>845</v>
      </c>
      <c r="G1118" s="7" t="s">
        <v>827</v>
      </c>
      <c r="H1118" s="7">
        <v>1476</v>
      </c>
      <c r="I1118" s="7" t="s">
        <v>854</v>
      </c>
      <c r="J1118" s="8" t="str" cm="1">
        <f t="array" ref="J1118">_xlfn.IFS(H1118&gt;8000,"PLATINUM",H1118&gt;6000,"GOLD",H1118&gt;4000,"SILEVER",H1118&gt;2000,"NORMAL",H1118&gt;500,"BASIC")</f>
        <v>BASIC</v>
      </c>
    </row>
    <row r="1119" spans="1:10" ht="15.6" x14ac:dyDescent="0.3">
      <c r="A1119" s="6">
        <v>44580</v>
      </c>
      <c r="B1119" s="7" t="s">
        <v>731</v>
      </c>
      <c r="C1119" s="7" t="s">
        <v>807</v>
      </c>
      <c r="D1119" s="7" t="s">
        <v>820</v>
      </c>
      <c r="E1119" s="7">
        <v>5</v>
      </c>
      <c r="F1119" s="7" t="s">
        <v>845</v>
      </c>
      <c r="G1119" s="7" t="s">
        <v>832</v>
      </c>
      <c r="H1119" s="7">
        <v>1476</v>
      </c>
      <c r="I1119" s="7" t="s">
        <v>854</v>
      </c>
      <c r="J1119" s="8" t="str" cm="1">
        <f t="array" ref="J1119">_xlfn.IFS(H1119&gt;8000,"PLATINUM",H1119&gt;6000,"GOLD",H1119&gt;4000,"SILEVER",H1119&gt;2000,"NORMAL",H1119&gt;500,"BASIC")</f>
        <v>BASIC</v>
      </c>
    </row>
    <row r="1120" spans="1:10" ht="15.6" x14ac:dyDescent="0.3">
      <c r="A1120" s="6">
        <v>44095</v>
      </c>
      <c r="B1120" s="7" t="s">
        <v>732</v>
      </c>
      <c r="C1120" s="7" t="s">
        <v>807</v>
      </c>
      <c r="D1120" s="7" t="s">
        <v>816</v>
      </c>
      <c r="E1120" s="7">
        <v>16</v>
      </c>
      <c r="F1120" s="7" t="s">
        <v>845</v>
      </c>
      <c r="G1120" s="7" t="s">
        <v>834</v>
      </c>
      <c r="H1120" s="7">
        <v>3445</v>
      </c>
      <c r="I1120" s="7" t="s">
        <v>852</v>
      </c>
      <c r="J1120" s="8" t="str" cm="1">
        <f t="array" ref="J1120">_xlfn.IFS(H1120&gt;8000,"PLATINUM",H1120&gt;6000,"GOLD",H1120&gt;4000,"SILEVER",H1120&gt;2000,"NORMAL",H1120&gt;500,"BASIC")</f>
        <v>NORMAL</v>
      </c>
    </row>
    <row r="1121" spans="1:10" ht="15.6" x14ac:dyDescent="0.3">
      <c r="A1121" s="6">
        <v>44095</v>
      </c>
      <c r="B1121" s="7" t="s">
        <v>732</v>
      </c>
      <c r="C1121" s="7" t="s">
        <v>805</v>
      </c>
      <c r="D1121" s="7" t="s">
        <v>812</v>
      </c>
      <c r="E1121" s="7">
        <v>1</v>
      </c>
      <c r="F1121" s="7" t="s">
        <v>845</v>
      </c>
      <c r="G1121" s="7" t="s">
        <v>834</v>
      </c>
      <c r="H1121" s="7">
        <v>9837</v>
      </c>
      <c r="I1121" s="7" t="s">
        <v>850</v>
      </c>
      <c r="J1121" s="8" t="str" cm="1">
        <f t="array" ref="J1121">_xlfn.IFS(H1121&gt;8000,"PLATINUM",H1121&gt;6000,"GOLD",H1121&gt;4000,"SILEVER",H1121&gt;2000,"NORMAL",H1121&gt;500,"BASIC")</f>
        <v>PLATINUM</v>
      </c>
    </row>
    <row r="1122" spans="1:10" ht="15.6" x14ac:dyDescent="0.3">
      <c r="A1122" s="6">
        <v>44358</v>
      </c>
      <c r="B1122" s="7" t="s">
        <v>733</v>
      </c>
      <c r="C1122" s="7" t="s">
        <v>807</v>
      </c>
      <c r="D1122" s="7" t="s">
        <v>816</v>
      </c>
      <c r="E1122" s="7">
        <v>8</v>
      </c>
      <c r="F1122" s="7" t="s">
        <v>845</v>
      </c>
      <c r="G1122" s="7" t="s">
        <v>832</v>
      </c>
      <c r="H1122" s="7">
        <v>1314</v>
      </c>
      <c r="I1122" s="7" t="s">
        <v>852</v>
      </c>
      <c r="J1122" s="8" t="str" cm="1">
        <f t="array" ref="J1122">_xlfn.IFS(H1122&gt;8000,"PLATINUM",H1122&gt;6000,"GOLD",H1122&gt;4000,"SILEVER",H1122&gt;2000,"NORMAL",H1122&gt;500,"BASIC")</f>
        <v>BASIC</v>
      </c>
    </row>
    <row r="1123" spans="1:10" ht="15.6" x14ac:dyDescent="0.3">
      <c r="A1123" s="6">
        <v>45511</v>
      </c>
      <c r="B1123" s="7" t="s">
        <v>734</v>
      </c>
      <c r="C1123" s="7" t="s">
        <v>805</v>
      </c>
      <c r="D1123" s="7" t="s">
        <v>812</v>
      </c>
      <c r="E1123" s="7">
        <v>6</v>
      </c>
      <c r="F1123" s="7" t="s">
        <v>846</v>
      </c>
      <c r="G1123" s="7" t="s">
        <v>831</v>
      </c>
      <c r="H1123" s="7">
        <v>5951</v>
      </c>
      <c r="I1123" s="7" t="s">
        <v>851</v>
      </c>
      <c r="J1123" s="8" t="str" cm="1">
        <f t="array" ref="J1123">_xlfn.IFS(H1123&gt;8000,"PLATINUM",H1123&gt;6000,"GOLD",H1123&gt;4000,"SILEVER",H1123&gt;2000,"NORMAL",H1123&gt;500,"BASIC")</f>
        <v>SILEVER</v>
      </c>
    </row>
    <row r="1124" spans="1:10" ht="15.6" x14ac:dyDescent="0.3">
      <c r="A1124" s="6">
        <v>44768</v>
      </c>
      <c r="B1124" s="7" t="s">
        <v>735</v>
      </c>
      <c r="C1124" s="7" t="s">
        <v>805</v>
      </c>
      <c r="D1124" s="7" t="s">
        <v>812</v>
      </c>
      <c r="E1124" s="7">
        <v>6</v>
      </c>
      <c r="F1124" s="7" t="s">
        <v>847</v>
      </c>
      <c r="G1124" s="7" t="s">
        <v>835</v>
      </c>
      <c r="H1124" s="7">
        <v>5951</v>
      </c>
      <c r="I1124" s="7" t="s">
        <v>851</v>
      </c>
      <c r="J1124" s="8" t="str" cm="1">
        <f t="array" ref="J1124">_xlfn.IFS(H1124&gt;8000,"PLATINUM",H1124&gt;6000,"GOLD",H1124&gt;4000,"SILEVER",H1124&gt;2000,"NORMAL",H1124&gt;500,"BASIC")</f>
        <v>SILEVER</v>
      </c>
    </row>
    <row r="1125" spans="1:10" ht="15.6" x14ac:dyDescent="0.3">
      <c r="A1125" s="6">
        <v>45304</v>
      </c>
      <c r="B1125" s="7" t="s">
        <v>736</v>
      </c>
      <c r="C1125" s="7" t="s">
        <v>805</v>
      </c>
      <c r="D1125" s="7" t="s">
        <v>819</v>
      </c>
      <c r="E1125" s="7">
        <v>6</v>
      </c>
      <c r="F1125" s="7" t="s">
        <v>845</v>
      </c>
      <c r="G1125" s="7" t="s">
        <v>827</v>
      </c>
      <c r="H1125" s="7">
        <v>992</v>
      </c>
      <c r="I1125" s="7" t="s">
        <v>850</v>
      </c>
      <c r="J1125" s="8" t="str" cm="1">
        <f t="array" ref="J1125">_xlfn.IFS(H1125&gt;8000,"PLATINUM",H1125&gt;6000,"GOLD",H1125&gt;4000,"SILEVER",H1125&gt;2000,"NORMAL",H1125&gt;500,"BASIC")</f>
        <v>BASIC</v>
      </c>
    </row>
    <row r="1126" spans="1:10" ht="15.6" x14ac:dyDescent="0.3">
      <c r="A1126" s="6">
        <v>45304</v>
      </c>
      <c r="B1126" s="7" t="s">
        <v>736</v>
      </c>
      <c r="C1126" s="7" t="s">
        <v>806</v>
      </c>
      <c r="D1126" s="7" t="s">
        <v>815</v>
      </c>
      <c r="E1126" s="7">
        <v>18</v>
      </c>
      <c r="F1126" s="7" t="s">
        <v>845</v>
      </c>
      <c r="G1126" s="7" t="s">
        <v>827</v>
      </c>
      <c r="H1126" s="7">
        <v>4699</v>
      </c>
      <c r="I1126" s="7" t="s">
        <v>852</v>
      </c>
      <c r="J1126" s="8" t="str" cm="1">
        <f t="array" ref="J1126">_xlfn.IFS(H1126&gt;8000,"PLATINUM",H1126&gt;6000,"GOLD",H1126&gt;4000,"SILEVER",H1126&gt;2000,"NORMAL",H1126&gt;500,"BASIC")</f>
        <v>SILEVER</v>
      </c>
    </row>
    <row r="1127" spans="1:10" ht="15.6" x14ac:dyDescent="0.3">
      <c r="A1127" s="6">
        <v>44344</v>
      </c>
      <c r="B1127" s="7" t="s">
        <v>737</v>
      </c>
      <c r="C1127" s="7" t="s">
        <v>805</v>
      </c>
      <c r="D1127" s="7" t="s">
        <v>812</v>
      </c>
      <c r="E1127" s="7">
        <v>17</v>
      </c>
      <c r="F1127" s="7" t="s">
        <v>847</v>
      </c>
      <c r="G1127" s="7" t="s">
        <v>837</v>
      </c>
      <c r="H1127" s="7">
        <v>5557</v>
      </c>
      <c r="I1127" s="7" t="s">
        <v>852</v>
      </c>
      <c r="J1127" s="8" t="str" cm="1">
        <f t="array" ref="J1127">_xlfn.IFS(H1127&gt;8000,"PLATINUM",H1127&gt;6000,"GOLD",H1127&gt;4000,"SILEVER",H1127&gt;2000,"NORMAL",H1127&gt;500,"BASIC")</f>
        <v>SILEVER</v>
      </c>
    </row>
    <row r="1128" spans="1:10" ht="15.6" x14ac:dyDescent="0.3">
      <c r="A1128" s="6">
        <v>44360</v>
      </c>
      <c r="B1128" s="7" t="s">
        <v>738</v>
      </c>
      <c r="C1128" s="7" t="s">
        <v>805</v>
      </c>
      <c r="D1128" s="7" t="s">
        <v>809</v>
      </c>
      <c r="E1128" s="7">
        <v>3</v>
      </c>
      <c r="F1128" s="7" t="s">
        <v>846</v>
      </c>
      <c r="G1128" s="7" t="s">
        <v>831</v>
      </c>
      <c r="H1128" s="7">
        <v>3436</v>
      </c>
      <c r="I1128" s="7" t="s">
        <v>853</v>
      </c>
      <c r="J1128" s="8" t="str" cm="1">
        <f t="array" ref="J1128">_xlfn.IFS(H1128&gt;8000,"PLATINUM",H1128&gt;6000,"GOLD",H1128&gt;4000,"SILEVER",H1128&gt;2000,"NORMAL",H1128&gt;500,"BASIC")</f>
        <v>NORMAL</v>
      </c>
    </row>
    <row r="1129" spans="1:10" ht="15.6" x14ac:dyDescent="0.3">
      <c r="A1129" s="6">
        <v>45041</v>
      </c>
      <c r="B1129" s="7" t="s">
        <v>739</v>
      </c>
      <c r="C1129" s="7" t="s">
        <v>805</v>
      </c>
      <c r="D1129" s="7" t="s">
        <v>810</v>
      </c>
      <c r="E1129" s="7">
        <v>11</v>
      </c>
      <c r="F1129" s="7" t="s">
        <v>846</v>
      </c>
      <c r="G1129" s="7" t="s">
        <v>833</v>
      </c>
      <c r="H1129" s="7">
        <v>9840</v>
      </c>
      <c r="I1129" s="7" t="s">
        <v>851</v>
      </c>
      <c r="J1129" s="8" t="str" cm="1">
        <f t="array" ref="J1129">_xlfn.IFS(H1129&gt;8000,"PLATINUM",H1129&gt;6000,"GOLD",H1129&gt;4000,"SILEVER",H1129&gt;2000,"NORMAL",H1129&gt;500,"BASIC")</f>
        <v>PLATINUM</v>
      </c>
    </row>
    <row r="1130" spans="1:10" ht="15.6" x14ac:dyDescent="0.3">
      <c r="A1130" s="6">
        <v>44382</v>
      </c>
      <c r="B1130" s="7" t="s">
        <v>740</v>
      </c>
      <c r="C1130" s="7" t="s">
        <v>806</v>
      </c>
      <c r="D1130" s="7" t="s">
        <v>817</v>
      </c>
      <c r="E1130" s="7">
        <v>4</v>
      </c>
      <c r="F1130" s="7" t="s">
        <v>845</v>
      </c>
      <c r="G1130" s="7" t="s">
        <v>834</v>
      </c>
      <c r="H1130" s="7">
        <v>7620</v>
      </c>
      <c r="I1130" s="7" t="s">
        <v>852</v>
      </c>
      <c r="J1130" s="8" t="str" cm="1">
        <f t="array" ref="J1130">_xlfn.IFS(H1130&gt;8000,"PLATINUM",H1130&gt;6000,"GOLD",H1130&gt;4000,"SILEVER",H1130&gt;2000,"NORMAL",H1130&gt;500,"BASIC")</f>
        <v>GOLD</v>
      </c>
    </row>
    <row r="1131" spans="1:10" ht="15.6" x14ac:dyDescent="0.3">
      <c r="A1131" s="6">
        <v>45577</v>
      </c>
      <c r="B1131" s="7" t="s">
        <v>741</v>
      </c>
      <c r="C1131" s="7" t="s">
        <v>806</v>
      </c>
      <c r="D1131" s="7" t="s">
        <v>817</v>
      </c>
      <c r="E1131" s="7">
        <v>4</v>
      </c>
      <c r="F1131" s="7" t="s">
        <v>845</v>
      </c>
      <c r="G1131" s="7" t="s">
        <v>834</v>
      </c>
      <c r="H1131" s="7">
        <v>7620</v>
      </c>
      <c r="I1131" s="7" t="s">
        <v>852</v>
      </c>
      <c r="J1131" s="8" t="str" cm="1">
        <f t="array" ref="J1131">_xlfn.IFS(H1131&gt;8000,"PLATINUM",H1131&gt;6000,"GOLD",H1131&gt;4000,"SILEVER",H1131&gt;2000,"NORMAL",H1131&gt;500,"BASIC")</f>
        <v>GOLD</v>
      </c>
    </row>
    <row r="1132" spans="1:10" ht="15.6" x14ac:dyDescent="0.3">
      <c r="A1132" s="6">
        <v>44473</v>
      </c>
      <c r="B1132" s="7" t="s">
        <v>742</v>
      </c>
      <c r="C1132" s="7" t="s">
        <v>807</v>
      </c>
      <c r="D1132" s="7" t="s">
        <v>813</v>
      </c>
      <c r="E1132" s="7">
        <v>5</v>
      </c>
      <c r="F1132" s="7" t="s">
        <v>844</v>
      </c>
      <c r="G1132" s="7" t="s">
        <v>825</v>
      </c>
      <c r="H1132" s="7">
        <v>4314</v>
      </c>
      <c r="I1132" s="7" t="s">
        <v>851</v>
      </c>
      <c r="J1132" s="8" t="str" cm="1">
        <f t="array" ref="J1132">_xlfn.IFS(H1132&gt;8000,"PLATINUM",H1132&gt;6000,"GOLD",H1132&gt;4000,"SILEVER",H1132&gt;2000,"NORMAL",H1132&gt;500,"BASIC")</f>
        <v>SILEVER</v>
      </c>
    </row>
    <row r="1133" spans="1:10" ht="15.6" x14ac:dyDescent="0.3">
      <c r="A1133" s="6">
        <v>45329</v>
      </c>
      <c r="B1133" s="7" t="s">
        <v>743</v>
      </c>
      <c r="C1133" s="7" t="s">
        <v>805</v>
      </c>
      <c r="D1133" s="7" t="s">
        <v>812</v>
      </c>
      <c r="E1133" s="7">
        <v>12</v>
      </c>
      <c r="F1133" s="7" t="s">
        <v>847</v>
      </c>
      <c r="G1133" s="7" t="s">
        <v>836</v>
      </c>
      <c r="H1133" s="7">
        <v>8851</v>
      </c>
      <c r="I1133" s="7" t="s">
        <v>850</v>
      </c>
      <c r="J1133" s="8" t="str" cm="1">
        <f t="array" ref="J1133">_xlfn.IFS(H1133&gt;8000,"PLATINUM",H1133&gt;6000,"GOLD",H1133&gt;4000,"SILEVER",H1133&gt;2000,"NORMAL",H1133&gt;500,"BASIC")</f>
        <v>PLATINUM</v>
      </c>
    </row>
    <row r="1134" spans="1:10" ht="15.6" x14ac:dyDescent="0.3">
      <c r="A1134" s="6">
        <v>44260</v>
      </c>
      <c r="B1134" s="7" t="s">
        <v>744</v>
      </c>
      <c r="C1134" s="7" t="s">
        <v>805</v>
      </c>
      <c r="D1134" s="7" t="s">
        <v>812</v>
      </c>
      <c r="E1134" s="7">
        <v>2</v>
      </c>
      <c r="F1134" s="7" t="s">
        <v>846</v>
      </c>
      <c r="G1134" s="7" t="s">
        <v>838</v>
      </c>
      <c r="H1134" s="7">
        <v>544</v>
      </c>
      <c r="I1134" s="7" t="s">
        <v>851</v>
      </c>
      <c r="J1134" s="8" t="str" cm="1">
        <f t="array" ref="J1134">_xlfn.IFS(H1134&gt;8000,"PLATINUM",H1134&gt;6000,"GOLD",H1134&gt;4000,"SILEVER",H1134&gt;2000,"NORMAL",H1134&gt;500,"BASIC")</f>
        <v>BASIC</v>
      </c>
    </row>
    <row r="1135" spans="1:10" ht="15.6" x14ac:dyDescent="0.3">
      <c r="A1135" s="6">
        <v>45102</v>
      </c>
      <c r="B1135" s="7" t="s">
        <v>745</v>
      </c>
      <c r="C1135" s="7" t="s">
        <v>805</v>
      </c>
      <c r="D1135" s="7" t="s">
        <v>812</v>
      </c>
      <c r="E1135" s="7">
        <v>2</v>
      </c>
      <c r="F1135" s="7" t="s">
        <v>844</v>
      </c>
      <c r="G1135" s="7" t="s">
        <v>825</v>
      </c>
      <c r="H1135" s="7">
        <v>544</v>
      </c>
      <c r="I1135" s="7" t="s">
        <v>851</v>
      </c>
      <c r="J1135" s="8" t="str" cm="1">
        <f t="array" ref="J1135">_xlfn.IFS(H1135&gt;8000,"PLATINUM",H1135&gt;6000,"GOLD",H1135&gt;4000,"SILEVER",H1135&gt;2000,"NORMAL",H1135&gt;500,"BASIC")</f>
        <v>BASIC</v>
      </c>
    </row>
    <row r="1136" spans="1:10" ht="15.6" x14ac:dyDescent="0.3">
      <c r="A1136" s="6">
        <v>44410</v>
      </c>
      <c r="B1136" s="7" t="s">
        <v>746</v>
      </c>
      <c r="C1136" s="7" t="s">
        <v>806</v>
      </c>
      <c r="D1136" s="7" t="s">
        <v>815</v>
      </c>
      <c r="E1136" s="7">
        <v>20</v>
      </c>
      <c r="F1136" s="7" t="s">
        <v>843</v>
      </c>
      <c r="G1136" s="7" t="s">
        <v>840</v>
      </c>
      <c r="H1136" s="7">
        <v>537</v>
      </c>
      <c r="I1136" s="7" t="s">
        <v>852</v>
      </c>
      <c r="J1136" s="8" t="str" cm="1">
        <f t="array" ref="J1136">_xlfn.IFS(H1136&gt;8000,"PLATINUM",H1136&gt;6000,"GOLD",H1136&gt;4000,"SILEVER",H1136&gt;2000,"NORMAL",H1136&gt;500,"BASIC")</f>
        <v>BASIC</v>
      </c>
    </row>
    <row r="1137" spans="1:10" ht="15.6" x14ac:dyDescent="0.3">
      <c r="A1137" s="6">
        <v>44637</v>
      </c>
      <c r="B1137" s="7" t="s">
        <v>747</v>
      </c>
      <c r="C1137" s="7" t="s">
        <v>805</v>
      </c>
      <c r="D1137" s="7" t="s">
        <v>812</v>
      </c>
      <c r="E1137" s="7">
        <v>7</v>
      </c>
      <c r="F1137" s="7" t="s">
        <v>846</v>
      </c>
      <c r="G1137" s="7" t="s">
        <v>833</v>
      </c>
      <c r="H1137" s="7">
        <v>5944</v>
      </c>
      <c r="I1137" s="7" t="s">
        <v>852</v>
      </c>
      <c r="J1137" s="8" t="str" cm="1">
        <f t="array" ref="J1137">_xlfn.IFS(H1137&gt;8000,"PLATINUM",H1137&gt;6000,"GOLD",H1137&gt;4000,"SILEVER",H1137&gt;2000,"NORMAL",H1137&gt;500,"BASIC")</f>
        <v>SILEVER</v>
      </c>
    </row>
    <row r="1138" spans="1:10" ht="15.6" x14ac:dyDescent="0.3">
      <c r="A1138" s="6">
        <v>45329</v>
      </c>
      <c r="B1138" s="7" t="s">
        <v>748</v>
      </c>
      <c r="C1138" s="7" t="s">
        <v>805</v>
      </c>
      <c r="D1138" s="7" t="s">
        <v>810</v>
      </c>
      <c r="E1138" s="7">
        <v>18</v>
      </c>
      <c r="F1138" s="7" t="s">
        <v>842</v>
      </c>
      <c r="G1138" s="7" t="s">
        <v>823</v>
      </c>
      <c r="H1138" s="7">
        <v>2258</v>
      </c>
      <c r="I1138" s="7" t="s">
        <v>853</v>
      </c>
      <c r="J1138" s="8" t="str" cm="1">
        <f t="array" ref="J1138">_xlfn.IFS(H1138&gt;8000,"PLATINUM",H1138&gt;6000,"GOLD",H1138&gt;4000,"SILEVER",H1138&gt;2000,"NORMAL",H1138&gt;500,"BASIC")</f>
        <v>NORMAL</v>
      </c>
    </row>
    <row r="1139" spans="1:10" ht="15.6" x14ac:dyDescent="0.3">
      <c r="A1139" s="6">
        <v>44792</v>
      </c>
      <c r="B1139" s="7" t="s">
        <v>749</v>
      </c>
      <c r="C1139" s="7" t="s">
        <v>805</v>
      </c>
      <c r="D1139" s="7" t="s">
        <v>810</v>
      </c>
      <c r="E1139" s="7">
        <v>18</v>
      </c>
      <c r="F1139" s="7" t="s">
        <v>845</v>
      </c>
      <c r="G1139" s="7" t="s">
        <v>832</v>
      </c>
      <c r="H1139" s="7">
        <v>2258</v>
      </c>
      <c r="I1139" s="7" t="s">
        <v>853</v>
      </c>
      <c r="J1139" s="8" t="str" cm="1">
        <f t="array" ref="J1139">_xlfn.IFS(H1139&gt;8000,"PLATINUM",H1139&gt;6000,"GOLD",H1139&gt;4000,"SILEVER",H1139&gt;2000,"NORMAL",H1139&gt;500,"BASIC")</f>
        <v>NORMAL</v>
      </c>
    </row>
    <row r="1140" spans="1:10" ht="15.6" x14ac:dyDescent="0.3">
      <c r="A1140" s="6">
        <v>45554</v>
      </c>
      <c r="B1140" s="7" t="s">
        <v>750</v>
      </c>
      <c r="C1140" s="7" t="s">
        <v>807</v>
      </c>
      <c r="D1140" s="7" t="s">
        <v>816</v>
      </c>
      <c r="E1140" s="7">
        <v>3</v>
      </c>
      <c r="F1140" s="7" t="s">
        <v>846</v>
      </c>
      <c r="G1140" s="7" t="s">
        <v>838</v>
      </c>
      <c r="H1140" s="7">
        <v>9609</v>
      </c>
      <c r="I1140" s="7" t="s">
        <v>851</v>
      </c>
      <c r="J1140" s="8" t="str" cm="1">
        <f t="array" ref="J1140">_xlfn.IFS(H1140&gt;8000,"PLATINUM",H1140&gt;6000,"GOLD",H1140&gt;4000,"SILEVER",H1140&gt;2000,"NORMAL",H1140&gt;500,"BASIC")</f>
        <v>PLATINUM</v>
      </c>
    </row>
    <row r="1141" spans="1:10" ht="15.6" x14ac:dyDescent="0.3">
      <c r="A1141" s="6">
        <v>43926</v>
      </c>
      <c r="B1141" s="7" t="s">
        <v>751</v>
      </c>
      <c r="C1141" s="7" t="s">
        <v>807</v>
      </c>
      <c r="D1141" s="7" t="s">
        <v>816</v>
      </c>
      <c r="E1141" s="7">
        <v>3</v>
      </c>
      <c r="F1141" s="7" t="s">
        <v>847</v>
      </c>
      <c r="G1141" s="7" t="s">
        <v>836</v>
      </c>
      <c r="H1141" s="7">
        <v>9609</v>
      </c>
      <c r="I1141" s="7" t="s">
        <v>851</v>
      </c>
      <c r="J1141" s="8" t="str" cm="1">
        <f t="array" ref="J1141">_xlfn.IFS(H1141&gt;8000,"PLATINUM",H1141&gt;6000,"GOLD",H1141&gt;4000,"SILEVER",H1141&gt;2000,"NORMAL",H1141&gt;500,"BASIC")</f>
        <v>PLATINUM</v>
      </c>
    </row>
    <row r="1142" spans="1:10" ht="15.6" x14ac:dyDescent="0.3">
      <c r="A1142" s="6">
        <v>44995</v>
      </c>
      <c r="B1142" s="7" t="s">
        <v>752</v>
      </c>
      <c r="C1142" s="7" t="s">
        <v>805</v>
      </c>
      <c r="D1142" s="7" t="s">
        <v>809</v>
      </c>
      <c r="E1142" s="7">
        <v>15</v>
      </c>
      <c r="F1142" s="7" t="s">
        <v>846</v>
      </c>
      <c r="G1142" s="7" t="s">
        <v>831</v>
      </c>
      <c r="H1142" s="7">
        <v>9952</v>
      </c>
      <c r="I1142" s="7" t="s">
        <v>851</v>
      </c>
      <c r="J1142" s="8" t="str" cm="1">
        <f t="array" ref="J1142">_xlfn.IFS(H1142&gt;8000,"PLATINUM",H1142&gt;6000,"GOLD",H1142&gt;4000,"SILEVER",H1142&gt;2000,"NORMAL",H1142&gt;500,"BASIC")</f>
        <v>PLATINUM</v>
      </c>
    </row>
    <row r="1143" spans="1:10" ht="15.6" x14ac:dyDescent="0.3">
      <c r="A1143" s="6">
        <v>44053</v>
      </c>
      <c r="B1143" s="7" t="s">
        <v>753</v>
      </c>
      <c r="C1143" s="7" t="s">
        <v>806</v>
      </c>
      <c r="D1143" s="7" t="s">
        <v>817</v>
      </c>
      <c r="E1143" s="7">
        <v>7</v>
      </c>
      <c r="F1143" s="7" t="s">
        <v>847</v>
      </c>
      <c r="G1143" s="7" t="s">
        <v>835</v>
      </c>
      <c r="H1143" s="7">
        <v>9873</v>
      </c>
      <c r="I1143" s="7" t="s">
        <v>853</v>
      </c>
      <c r="J1143" s="8" t="str" cm="1">
        <f t="array" ref="J1143">_xlfn.IFS(H1143&gt;8000,"PLATINUM",H1143&gt;6000,"GOLD",H1143&gt;4000,"SILEVER",H1143&gt;2000,"NORMAL",H1143&gt;500,"BASIC")</f>
        <v>PLATINUM</v>
      </c>
    </row>
    <row r="1144" spans="1:10" ht="15.6" x14ac:dyDescent="0.3">
      <c r="A1144" s="6">
        <v>43950</v>
      </c>
      <c r="B1144" s="7" t="s">
        <v>754</v>
      </c>
      <c r="C1144" s="7" t="s">
        <v>805</v>
      </c>
      <c r="D1144" s="7" t="s">
        <v>809</v>
      </c>
      <c r="E1144" s="7">
        <v>15</v>
      </c>
      <c r="F1144" s="7" t="s">
        <v>844</v>
      </c>
      <c r="G1144" s="7" t="s">
        <v>828</v>
      </c>
      <c r="H1144" s="7">
        <v>3560</v>
      </c>
      <c r="I1144" s="7" t="s">
        <v>854</v>
      </c>
      <c r="J1144" s="8" t="str" cm="1">
        <f t="array" ref="J1144">_xlfn.IFS(H1144&gt;8000,"PLATINUM",H1144&gt;6000,"GOLD",H1144&gt;4000,"SILEVER",H1144&gt;2000,"NORMAL",H1144&gt;500,"BASIC")</f>
        <v>NORMAL</v>
      </c>
    </row>
    <row r="1145" spans="1:10" ht="15.6" x14ac:dyDescent="0.3">
      <c r="A1145" s="6">
        <v>45001</v>
      </c>
      <c r="B1145" s="7" t="s">
        <v>755</v>
      </c>
      <c r="C1145" s="7" t="s">
        <v>805</v>
      </c>
      <c r="D1145" s="7" t="s">
        <v>809</v>
      </c>
      <c r="E1145" s="7">
        <v>15</v>
      </c>
      <c r="F1145" s="7" t="s">
        <v>843</v>
      </c>
      <c r="G1145" s="7" t="s">
        <v>829</v>
      </c>
      <c r="H1145" s="7">
        <v>3560</v>
      </c>
      <c r="I1145" s="7" t="s">
        <v>854</v>
      </c>
      <c r="J1145" s="8" t="str" cm="1">
        <f t="array" ref="J1145">_xlfn.IFS(H1145&gt;8000,"PLATINUM",H1145&gt;6000,"GOLD",H1145&gt;4000,"SILEVER",H1145&gt;2000,"NORMAL",H1145&gt;500,"BASIC")</f>
        <v>NORMAL</v>
      </c>
    </row>
    <row r="1146" spans="1:10" ht="15.6" x14ac:dyDescent="0.3">
      <c r="A1146" s="6">
        <v>43955</v>
      </c>
      <c r="B1146" s="7" t="s">
        <v>756</v>
      </c>
      <c r="C1146" s="7" t="s">
        <v>805</v>
      </c>
      <c r="D1146" s="7" t="s">
        <v>819</v>
      </c>
      <c r="E1146" s="7">
        <v>9</v>
      </c>
      <c r="F1146" s="7" t="s">
        <v>844</v>
      </c>
      <c r="G1146" s="7" t="s">
        <v>825</v>
      </c>
      <c r="H1146" s="7">
        <v>6528</v>
      </c>
      <c r="I1146" s="7" t="s">
        <v>851</v>
      </c>
      <c r="J1146" s="8" t="str" cm="1">
        <f t="array" ref="J1146">_xlfn.IFS(H1146&gt;8000,"PLATINUM",H1146&gt;6000,"GOLD",H1146&gt;4000,"SILEVER",H1146&gt;2000,"NORMAL",H1146&gt;500,"BASIC")</f>
        <v>GOLD</v>
      </c>
    </row>
    <row r="1147" spans="1:10" ht="15.6" x14ac:dyDescent="0.3">
      <c r="A1147" s="6">
        <v>43955</v>
      </c>
      <c r="B1147" s="7" t="s">
        <v>756</v>
      </c>
      <c r="C1147" s="7" t="s">
        <v>807</v>
      </c>
      <c r="D1147" s="7" t="s">
        <v>816</v>
      </c>
      <c r="E1147" s="7">
        <v>12</v>
      </c>
      <c r="F1147" s="7" t="s">
        <v>844</v>
      </c>
      <c r="G1147" s="7" t="s">
        <v>825</v>
      </c>
      <c r="H1147" s="7">
        <v>8930</v>
      </c>
      <c r="I1147" s="7" t="s">
        <v>851</v>
      </c>
      <c r="J1147" s="8" t="str" cm="1">
        <f t="array" ref="J1147">_xlfn.IFS(H1147&gt;8000,"PLATINUM",H1147&gt;6000,"GOLD",H1147&gt;4000,"SILEVER",H1147&gt;2000,"NORMAL",H1147&gt;500,"BASIC")</f>
        <v>PLATINUM</v>
      </c>
    </row>
    <row r="1148" spans="1:10" ht="15.6" x14ac:dyDescent="0.3">
      <c r="A1148" s="6">
        <v>45580</v>
      </c>
      <c r="B1148" s="7" t="s">
        <v>757</v>
      </c>
      <c r="C1148" s="7" t="s">
        <v>806</v>
      </c>
      <c r="D1148" s="7" t="s">
        <v>817</v>
      </c>
      <c r="E1148" s="7">
        <v>9</v>
      </c>
      <c r="F1148" s="7" t="s">
        <v>842</v>
      </c>
      <c r="G1148" s="7" t="s">
        <v>839</v>
      </c>
      <c r="H1148" s="7">
        <v>4521</v>
      </c>
      <c r="I1148" s="7" t="s">
        <v>851</v>
      </c>
      <c r="J1148" s="8" t="str" cm="1">
        <f t="array" ref="J1148">_xlfn.IFS(H1148&gt;8000,"PLATINUM",H1148&gt;6000,"GOLD",H1148&gt;4000,"SILEVER",H1148&gt;2000,"NORMAL",H1148&gt;500,"BASIC")</f>
        <v>SILEVER</v>
      </c>
    </row>
    <row r="1149" spans="1:10" ht="15.6" x14ac:dyDescent="0.3">
      <c r="A1149" s="6">
        <v>44721</v>
      </c>
      <c r="B1149" s="7" t="s">
        <v>758</v>
      </c>
      <c r="C1149" s="7" t="s">
        <v>807</v>
      </c>
      <c r="D1149" s="7" t="s">
        <v>816</v>
      </c>
      <c r="E1149" s="7">
        <v>10</v>
      </c>
      <c r="F1149" s="7" t="s">
        <v>845</v>
      </c>
      <c r="G1149" s="7" t="s">
        <v>832</v>
      </c>
      <c r="H1149" s="7">
        <v>7091</v>
      </c>
      <c r="I1149" s="7" t="s">
        <v>853</v>
      </c>
      <c r="J1149" s="8" t="str" cm="1">
        <f t="array" ref="J1149">_xlfn.IFS(H1149&gt;8000,"PLATINUM",H1149&gt;6000,"GOLD",H1149&gt;4000,"SILEVER",H1149&gt;2000,"NORMAL",H1149&gt;500,"BASIC")</f>
        <v>GOLD</v>
      </c>
    </row>
    <row r="1150" spans="1:10" ht="15.6" x14ac:dyDescent="0.3">
      <c r="A1150" s="6">
        <v>44016</v>
      </c>
      <c r="B1150" s="7" t="s">
        <v>351</v>
      </c>
      <c r="C1150" s="7" t="s">
        <v>806</v>
      </c>
      <c r="D1150" s="7" t="s">
        <v>811</v>
      </c>
      <c r="E1150" s="7">
        <v>8</v>
      </c>
      <c r="F1150" s="7" t="s">
        <v>847</v>
      </c>
      <c r="G1150" s="7" t="s">
        <v>837</v>
      </c>
      <c r="H1150" s="7">
        <v>2101</v>
      </c>
      <c r="I1150" s="7" t="s">
        <v>854</v>
      </c>
      <c r="J1150" s="8" t="str" cm="1">
        <f t="array" ref="J1150">_xlfn.IFS(H1150&gt;8000,"PLATINUM",H1150&gt;6000,"GOLD",H1150&gt;4000,"SILEVER",H1150&gt;2000,"NORMAL",H1150&gt;500,"BASIC")</f>
        <v>NORMAL</v>
      </c>
    </row>
    <row r="1151" spans="1:10" ht="15.6" x14ac:dyDescent="0.3">
      <c r="A1151" s="6">
        <v>45025</v>
      </c>
      <c r="B1151" s="7" t="s">
        <v>759</v>
      </c>
      <c r="C1151" s="7" t="s">
        <v>806</v>
      </c>
      <c r="D1151" s="7" t="s">
        <v>811</v>
      </c>
      <c r="E1151" s="7">
        <v>8</v>
      </c>
      <c r="F1151" s="7" t="s">
        <v>843</v>
      </c>
      <c r="G1151" s="7" t="s">
        <v>824</v>
      </c>
      <c r="H1151" s="7">
        <v>2101</v>
      </c>
      <c r="I1151" s="7" t="s">
        <v>854</v>
      </c>
      <c r="J1151" s="8" t="str" cm="1">
        <f t="array" ref="J1151">_xlfn.IFS(H1151&gt;8000,"PLATINUM",H1151&gt;6000,"GOLD",H1151&gt;4000,"SILEVER",H1151&gt;2000,"NORMAL",H1151&gt;500,"BASIC")</f>
        <v>NORMAL</v>
      </c>
    </row>
    <row r="1152" spans="1:10" ht="15.6" x14ac:dyDescent="0.3">
      <c r="A1152" s="6">
        <v>45254</v>
      </c>
      <c r="B1152" s="7" t="s">
        <v>760</v>
      </c>
      <c r="C1152" s="7" t="s">
        <v>806</v>
      </c>
      <c r="D1152" s="7" t="s">
        <v>817</v>
      </c>
      <c r="E1152" s="7">
        <v>9</v>
      </c>
      <c r="F1152" s="7" t="s">
        <v>843</v>
      </c>
      <c r="G1152" s="7" t="s">
        <v>824</v>
      </c>
      <c r="H1152" s="7">
        <v>8644</v>
      </c>
      <c r="I1152" s="7" t="s">
        <v>851</v>
      </c>
      <c r="J1152" s="8" t="str" cm="1">
        <f t="array" ref="J1152">_xlfn.IFS(H1152&gt;8000,"PLATINUM",H1152&gt;6000,"GOLD",H1152&gt;4000,"SILEVER",H1152&gt;2000,"NORMAL",H1152&gt;500,"BASIC")</f>
        <v>PLATINUM</v>
      </c>
    </row>
    <row r="1153" spans="1:10" ht="15.6" x14ac:dyDescent="0.3">
      <c r="A1153" s="6">
        <v>45259</v>
      </c>
      <c r="B1153" s="7" t="s">
        <v>761</v>
      </c>
      <c r="C1153" s="7" t="s">
        <v>807</v>
      </c>
      <c r="D1153" s="7" t="s">
        <v>813</v>
      </c>
      <c r="E1153" s="7">
        <v>4</v>
      </c>
      <c r="F1153" s="7" t="s">
        <v>846</v>
      </c>
      <c r="G1153" s="7" t="s">
        <v>831</v>
      </c>
      <c r="H1153" s="7">
        <v>6672</v>
      </c>
      <c r="I1153" s="7" t="s">
        <v>850</v>
      </c>
      <c r="J1153" s="8" t="str" cm="1">
        <f t="array" ref="J1153">_xlfn.IFS(H1153&gt;8000,"PLATINUM",H1153&gt;6000,"GOLD",H1153&gt;4000,"SILEVER",H1153&gt;2000,"NORMAL",H1153&gt;500,"BASIC")</f>
        <v>GOLD</v>
      </c>
    </row>
    <row r="1154" spans="1:10" ht="15.6" x14ac:dyDescent="0.3">
      <c r="A1154" s="6">
        <v>45432</v>
      </c>
      <c r="B1154" s="7" t="s">
        <v>762</v>
      </c>
      <c r="C1154" s="7" t="s">
        <v>807</v>
      </c>
      <c r="D1154" s="7" t="s">
        <v>813</v>
      </c>
      <c r="E1154" s="7">
        <v>4</v>
      </c>
      <c r="F1154" s="7" t="s">
        <v>845</v>
      </c>
      <c r="G1154" s="7" t="s">
        <v>832</v>
      </c>
      <c r="H1154" s="7">
        <v>6672</v>
      </c>
      <c r="I1154" s="7" t="s">
        <v>850</v>
      </c>
      <c r="J1154" s="8" t="str" cm="1">
        <f t="array" ref="J1154">_xlfn.IFS(H1154&gt;8000,"PLATINUM",H1154&gt;6000,"GOLD",H1154&gt;4000,"SILEVER",H1154&gt;2000,"NORMAL",H1154&gt;500,"BASIC")</f>
        <v>GOLD</v>
      </c>
    </row>
    <row r="1155" spans="1:10" ht="15.6" x14ac:dyDescent="0.3">
      <c r="A1155" s="6">
        <v>45433</v>
      </c>
      <c r="B1155" s="7" t="s">
        <v>763</v>
      </c>
      <c r="C1155" s="7" t="s">
        <v>806</v>
      </c>
      <c r="D1155" s="7" t="s">
        <v>818</v>
      </c>
      <c r="E1155" s="7">
        <v>12</v>
      </c>
      <c r="F1155" s="7" t="s">
        <v>847</v>
      </c>
      <c r="G1155" s="7" t="s">
        <v>836</v>
      </c>
      <c r="H1155" s="7">
        <v>4699</v>
      </c>
      <c r="I1155" s="7" t="s">
        <v>850</v>
      </c>
      <c r="J1155" s="8" t="str" cm="1">
        <f t="array" ref="J1155">_xlfn.IFS(H1155&gt;8000,"PLATINUM",H1155&gt;6000,"GOLD",H1155&gt;4000,"SILEVER",H1155&gt;2000,"NORMAL",H1155&gt;500,"BASIC")</f>
        <v>SILEVER</v>
      </c>
    </row>
    <row r="1156" spans="1:10" ht="15.6" x14ac:dyDescent="0.3">
      <c r="A1156" s="6">
        <v>44537</v>
      </c>
      <c r="B1156" s="7" t="s">
        <v>764</v>
      </c>
      <c r="C1156" s="7" t="s">
        <v>807</v>
      </c>
      <c r="D1156" s="7" t="s">
        <v>816</v>
      </c>
      <c r="E1156" s="7">
        <v>14</v>
      </c>
      <c r="F1156" s="7" t="s">
        <v>846</v>
      </c>
      <c r="G1156" s="7" t="s">
        <v>838</v>
      </c>
      <c r="H1156" s="7">
        <v>4897</v>
      </c>
      <c r="I1156" s="7" t="s">
        <v>851</v>
      </c>
      <c r="J1156" s="8" t="str" cm="1">
        <f t="array" ref="J1156">_xlfn.IFS(H1156&gt;8000,"PLATINUM",H1156&gt;6000,"GOLD",H1156&gt;4000,"SILEVER",H1156&gt;2000,"NORMAL",H1156&gt;500,"BASIC")</f>
        <v>SILEVER</v>
      </c>
    </row>
    <row r="1157" spans="1:10" ht="15.6" x14ac:dyDescent="0.3">
      <c r="A1157" s="6">
        <v>45663</v>
      </c>
      <c r="B1157" s="7" t="s">
        <v>765</v>
      </c>
      <c r="C1157" s="7" t="s">
        <v>807</v>
      </c>
      <c r="D1157" s="7" t="s">
        <v>816</v>
      </c>
      <c r="E1157" s="7">
        <v>14</v>
      </c>
      <c r="F1157" s="7" t="s">
        <v>847</v>
      </c>
      <c r="G1157" s="7" t="s">
        <v>836</v>
      </c>
      <c r="H1157" s="7">
        <v>4897</v>
      </c>
      <c r="I1157" s="7" t="s">
        <v>851</v>
      </c>
      <c r="J1157" s="8" t="str" cm="1">
        <f t="array" ref="J1157">_xlfn.IFS(H1157&gt;8000,"PLATINUM",H1157&gt;6000,"GOLD",H1157&gt;4000,"SILEVER",H1157&gt;2000,"NORMAL",H1157&gt;500,"BASIC")</f>
        <v>SILEVER</v>
      </c>
    </row>
    <row r="1158" spans="1:10" ht="15.6" x14ac:dyDescent="0.3">
      <c r="A1158" s="6">
        <v>44755</v>
      </c>
      <c r="B1158" s="7" t="s">
        <v>766</v>
      </c>
      <c r="C1158" s="7" t="s">
        <v>807</v>
      </c>
      <c r="D1158" s="7" t="s">
        <v>813</v>
      </c>
      <c r="E1158" s="7">
        <v>14</v>
      </c>
      <c r="F1158" s="7" t="s">
        <v>844</v>
      </c>
      <c r="G1158" s="7" t="s">
        <v>825</v>
      </c>
      <c r="H1158" s="7">
        <v>5460</v>
      </c>
      <c r="I1158" s="7" t="s">
        <v>851</v>
      </c>
      <c r="J1158" s="8" t="str" cm="1">
        <f t="array" ref="J1158">_xlfn.IFS(H1158&gt;8000,"PLATINUM",H1158&gt;6000,"GOLD",H1158&gt;4000,"SILEVER",H1158&gt;2000,"NORMAL",H1158&gt;500,"BASIC")</f>
        <v>SILEVER</v>
      </c>
    </row>
    <row r="1159" spans="1:10" ht="15.6" x14ac:dyDescent="0.3">
      <c r="A1159" s="6">
        <v>43940</v>
      </c>
      <c r="B1159" s="7" t="s">
        <v>767</v>
      </c>
      <c r="C1159" s="7" t="s">
        <v>807</v>
      </c>
      <c r="D1159" s="7" t="s">
        <v>813</v>
      </c>
      <c r="E1159" s="7">
        <v>14</v>
      </c>
      <c r="F1159" s="7" t="s">
        <v>847</v>
      </c>
      <c r="G1159" s="7" t="s">
        <v>836</v>
      </c>
      <c r="H1159" s="7">
        <v>5460</v>
      </c>
      <c r="I1159" s="7" t="s">
        <v>851</v>
      </c>
      <c r="J1159" s="8" t="str" cm="1">
        <f t="array" ref="J1159">_xlfn.IFS(H1159&gt;8000,"PLATINUM",H1159&gt;6000,"GOLD",H1159&gt;4000,"SILEVER",H1159&gt;2000,"NORMAL",H1159&gt;500,"BASIC")</f>
        <v>SILEVER</v>
      </c>
    </row>
    <row r="1160" spans="1:10" ht="15.6" x14ac:dyDescent="0.3">
      <c r="A1160" s="6">
        <v>45610</v>
      </c>
      <c r="B1160" s="7" t="s">
        <v>768</v>
      </c>
      <c r="C1160" s="7" t="s">
        <v>806</v>
      </c>
      <c r="D1160" s="7" t="s">
        <v>815</v>
      </c>
      <c r="E1160" s="7">
        <v>19</v>
      </c>
      <c r="F1160" s="7" t="s">
        <v>843</v>
      </c>
      <c r="G1160" s="7" t="s">
        <v>829</v>
      </c>
      <c r="H1160" s="7">
        <v>9272</v>
      </c>
      <c r="I1160" s="7" t="s">
        <v>850</v>
      </c>
      <c r="J1160" s="8" t="str" cm="1">
        <f t="array" ref="J1160">_xlfn.IFS(H1160&gt;8000,"PLATINUM",H1160&gt;6000,"GOLD",H1160&gt;4000,"SILEVER",H1160&gt;2000,"NORMAL",H1160&gt;500,"BASIC")</f>
        <v>PLATINUM</v>
      </c>
    </row>
    <row r="1161" spans="1:10" ht="15.6" x14ac:dyDescent="0.3">
      <c r="A1161" s="6">
        <v>43939</v>
      </c>
      <c r="B1161" s="7" t="s">
        <v>769</v>
      </c>
      <c r="C1161" s="7" t="s">
        <v>806</v>
      </c>
      <c r="D1161" s="7" t="s">
        <v>815</v>
      </c>
      <c r="E1161" s="7">
        <v>19</v>
      </c>
      <c r="F1161" s="7" t="s">
        <v>846</v>
      </c>
      <c r="G1161" s="7" t="s">
        <v>831</v>
      </c>
      <c r="H1161" s="7">
        <v>9272</v>
      </c>
      <c r="I1161" s="7" t="s">
        <v>850</v>
      </c>
      <c r="J1161" s="8" t="str" cm="1">
        <f t="array" ref="J1161">_xlfn.IFS(H1161&gt;8000,"PLATINUM",H1161&gt;6000,"GOLD",H1161&gt;4000,"SILEVER",H1161&gt;2000,"NORMAL",H1161&gt;500,"BASIC")</f>
        <v>PLATINUM</v>
      </c>
    </row>
    <row r="1162" spans="1:10" ht="15.6" x14ac:dyDescent="0.3">
      <c r="A1162" s="6">
        <v>45217</v>
      </c>
      <c r="B1162" s="7" t="s">
        <v>770</v>
      </c>
      <c r="C1162" s="7" t="s">
        <v>806</v>
      </c>
      <c r="D1162" s="7" t="s">
        <v>811</v>
      </c>
      <c r="E1162" s="7">
        <v>15</v>
      </c>
      <c r="F1162" s="7" t="s">
        <v>846</v>
      </c>
      <c r="G1162" s="7" t="s">
        <v>838</v>
      </c>
      <c r="H1162" s="7">
        <v>7870</v>
      </c>
      <c r="I1162" s="7" t="s">
        <v>853</v>
      </c>
      <c r="J1162" s="8" t="str" cm="1">
        <f t="array" ref="J1162">_xlfn.IFS(H1162&gt;8000,"PLATINUM",H1162&gt;6000,"GOLD",H1162&gt;4000,"SILEVER",H1162&gt;2000,"NORMAL",H1162&gt;500,"BASIC")</f>
        <v>GOLD</v>
      </c>
    </row>
    <row r="1163" spans="1:10" ht="15.6" x14ac:dyDescent="0.3">
      <c r="A1163" s="6">
        <v>44276</v>
      </c>
      <c r="B1163" s="7" t="s">
        <v>771</v>
      </c>
      <c r="C1163" s="7" t="s">
        <v>806</v>
      </c>
      <c r="D1163" s="7" t="s">
        <v>811</v>
      </c>
      <c r="E1163" s="7">
        <v>15</v>
      </c>
      <c r="F1163" s="7" t="s">
        <v>847</v>
      </c>
      <c r="G1163" s="7" t="s">
        <v>837</v>
      </c>
      <c r="H1163" s="7">
        <v>7870</v>
      </c>
      <c r="I1163" s="7" t="s">
        <v>853</v>
      </c>
      <c r="J1163" s="8" t="str" cm="1">
        <f t="array" ref="J1163">_xlfn.IFS(H1163&gt;8000,"PLATINUM",H1163&gt;6000,"GOLD",H1163&gt;4000,"SILEVER",H1163&gt;2000,"NORMAL",H1163&gt;500,"BASIC")</f>
        <v>GOLD</v>
      </c>
    </row>
    <row r="1164" spans="1:10" ht="15.6" x14ac:dyDescent="0.3">
      <c r="A1164" s="6">
        <v>45548</v>
      </c>
      <c r="B1164" s="7" t="s">
        <v>772</v>
      </c>
      <c r="C1164" s="7" t="s">
        <v>805</v>
      </c>
      <c r="D1164" s="7" t="s">
        <v>812</v>
      </c>
      <c r="E1164" s="7">
        <v>12</v>
      </c>
      <c r="F1164" s="7" t="s">
        <v>847</v>
      </c>
      <c r="G1164" s="7" t="s">
        <v>837</v>
      </c>
      <c r="H1164" s="7">
        <v>7992</v>
      </c>
      <c r="I1164" s="7" t="s">
        <v>853</v>
      </c>
      <c r="J1164" s="8" t="str" cm="1">
        <f t="array" ref="J1164">_xlfn.IFS(H1164&gt;8000,"PLATINUM",H1164&gt;6000,"GOLD",H1164&gt;4000,"SILEVER",H1164&gt;2000,"NORMAL",H1164&gt;500,"BASIC")</f>
        <v>GOLD</v>
      </c>
    </row>
    <row r="1165" spans="1:10" ht="15.6" x14ac:dyDescent="0.3">
      <c r="A1165" s="6">
        <v>45050</v>
      </c>
      <c r="B1165" s="7" t="s">
        <v>773</v>
      </c>
      <c r="C1165" s="7" t="s">
        <v>805</v>
      </c>
      <c r="D1165" s="7" t="s">
        <v>812</v>
      </c>
      <c r="E1165" s="7">
        <v>12</v>
      </c>
      <c r="F1165" s="7" t="s">
        <v>844</v>
      </c>
      <c r="G1165" s="7" t="s">
        <v>828</v>
      </c>
      <c r="H1165" s="7">
        <v>7992</v>
      </c>
      <c r="I1165" s="7" t="s">
        <v>853</v>
      </c>
      <c r="J1165" s="8" t="str" cm="1">
        <f t="array" ref="J1165">_xlfn.IFS(H1165&gt;8000,"PLATINUM",H1165&gt;6000,"GOLD",H1165&gt;4000,"SILEVER",H1165&gt;2000,"NORMAL",H1165&gt;500,"BASIC")</f>
        <v>GOLD</v>
      </c>
    </row>
    <row r="1166" spans="1:10" ht="15.6" x14ac:dyDescent="0.3">
      <c r="A1166" s="6">
        <v>45077</v>
      </c>
      <c r="B1166" s="7" t="s">
        <v>774</v>
      </c>
      <c r="C1166" s="7" t="s">
        <v>805</v>
      </c>
      <c r="D1166" s="7" t="s">
        <v>812</v>
      </c>
      <c r="E1166" s="7">
        <v>12</v>
      </c>
      <c r="F1166" s="7" t="s">
        <v>843</v>
      </c>
      <c r="G1166" s="7" t="s">
        <v>824</v>
      </c>
      <c r="H1166" s="7">
        <v>7992</v>
      </c>
      <c r="I1166" s="7" t="s">
        <v>853</v>
      </c>
      <c r="J1166" s="8" t="str" cm="1">
        <f t="array" ref="J1166">_xlfn.IFS(H1166&gt;8000,"PLATINUM",H1166&gt;6000,"GOLD",H1166&gt;4000,"SILEVER",H1166&gt;2000,"NORMAL",H1166&gt;500,"BASIC")</f>
        <v>GOLD</v>
      </c>
    </row>
    <row r="1167" spans="1:10" ht="15.6" x14ac:dyDescent="0.3">
      <c r="A1167" s="6">
        <v>45458</v>
      </c>
      <c r="B1167" s="7" t="s">
        <v>775</v>
      </c>
      <c r="C1167" s="7" t="s">
        <v>805</v>
      </c>
      <c r="D1167" s="7" t="s">
        <v>809</v>
      </c>
      <c r="E1167" s="7">
        <v>18</v>
      </c>
      <c r="F1167" s="7" t="s">
        <v>844</v>
      </c>
      <c r="G1167" s="7" t="s">
        <v>828</v>
      </c>
      <c r="H1167" s="7">
        <v>6499</v>
      </c>
      <c r="I1167" s="7" t="s">
        <v>852</v>
      </c>
      <c r="J1167" s="8" t="str" cm="1">
        <f t="array" ref="J1167">_xlfn.IFS(H1167&gt;8000,"PLATINUM",H1167&gt;6000,"GOLD",H1167&gt;4000,"SILEVER",H1167&gt;2000,"NORMAL",H1167&gt;500,"BASIC")</f>
        <v>GOLD</v>
      </c>
    </row>
    <row r="1168" spans="1:10" ht="15.6" x14ac:dyDescent="0.3">
      <c r="A1168" s="6">
        <v>44289</v>
      </c>
      <c r="B1168" s="7" t="s">
        <v>776</v>
      </c>
      <c r="C1168" s="7" t="s">
        <v>805</v>
      </c>
      <c r="D1168" s="7" t="s">
        <v>809</v>
      </c>
      <c r="E1168" s="7">
        <v>18</v>
      </c>
      <c r="F1168" s="7" t="s">
        <v>842</v>
      </c>
      <c r="G1168" s="7" t="s">
        <v>826</v>
      </c>
      <c r="H1168" s="7">
        <v>6499</v>
      </c>
      <c r="I1168" s="7" t="s">
        <v>852</v>
      </c>
      <c r="J1168" s="8" t="str" cm="1">
        <f t="array" ref="J1168">_xlfn.IFS(H1168&gt;8000,"PLATINUM",H1168&gt;6000,"GOLD",H1168&gt;4000,"SILEVER",H1168&gt;2000,"NORMAL",H1168&gt;500,"BASIC")</f>
        <v>GOLD</v>
      </c>
    </row>
    <row r="1169" spans="1:10" ht="15.6" x14ac:dyDescent="0.3">
      <c r="A1169" s="6">
        <v>45671</v>
      </c>
      <c r="B1169" s="7" t="s">
        <v>777</v>
      </c>
      <c r="C1169" s="7" t="s">
        <v>806</v>
      </c>
      <c r="D1169" s="7" t="s">
        <v>811</v>
      </c>
      <c r="E1169" s="7">
        <v>9</v>
      </c>
      <c r="F1169" s="7" t="s">
        <v>845</v>
      </c>
      <c r="G1169" s="7" t="s">
        <v>832</v>
      </c>
      <c r="H1169" s="7">
        <v>8848</v>
      </c>
      <c r="I1169" s="7" t="s">
        <v>851</v>
      </c>
      <c r="J1169" s="8" t="str" cm="1">
        <f t="array" ref="J1169">_xlfn.IFS(H1169&gt;8000,"PLATINUM",H1169&gt;6000,"GOLD",H1169&gt;4000,"SILEVER",H1169&gt;2000,"NORMAL",H1169&gt;500,"BASIC")</f>
        <v>PLATINUM</v>
      </c>
    </row>
    <row r="1170" spans="1:10" ht="15.6" x14ac:dyDescent="0.3">
      <c r="A1170" s="6">
        <v>44189</v>
      </c>
      <c r="B1170" s="7" t="s">
        <v>778</v>
      </c>
      <c r="C1170" s="7" t="s">
        <v>806</v>
      </c>
      <c r="D1170" s="7" t="s">
        <v>815</v>
      </c>
      <c r="E1170" s="7">
        <v>3</v>
      </c>
      <c r="F1170" s="7" t="s">
        <v>842</v>
      </c>
      <c r="G1170" s="7" t="s">
        <v>826</v>
      </c>
      <c r="H1170" s="7">
        <v>8044</v>
      </c>
      <c r="I1170" s="7" t="s">
        <v>854</v>
      </c>
      <c r="J1170" s="8" t="str" cm="1">
        <f t="array" ref="J1170">_xlfn.IFS(H1170&gt;8000,"PLATINUM",H1170&gt;6000,"GOLD",H1170&gt;4000,"SILEVER",H1170&gt;2000,"NORMAL",H1170&gt;500,"BASIC")</f>
        <v>PLATINUM</v>
      </c>
    </row>
    <row r="1171" spans="1:10" ht="15.6" x14ac:dyDescent="0.3">
      <c r="A1171" s="6">
        <v>44841</v>
      </c>
      <c r="B1171" s="7" t="s">
        <v>779</v>
      </c>
      <c r="C1171" s="7" t="s">
        <v>806</v>
      </c>
      <c r="D1171" s="7" t="s">
        <v>815</v>
      </c>
      <c r="E1171" s="7">
        <v>3</v>
      </c>
      <c r="F1171" s="7" t="s">
        <v>845</v>
      </c>
      <c r="G1171" s="7" t="s">
        <v>832</v>
      </c>
      <c r="H1171" s="7">
        <v>8044</v>
      </c>
      <c r="I1171" s="7" t="s">
        <v>854</v>
      </c>
      <c r="J1171" s="8" t="str" cm="1">
        <f t="array" ref="J1171">_xlfn.IFS(H1171&gt;8000,"PLATINUM",H1171&gt;6000,"GOLD",H1171&gt;4000,"SILEVER",H1171&gt;2000,"NORMAL",H1171&gt;500,"BASIC")</f>
        <v>PLATINUM</v>
      </c>
    </row>
    <row r="1172" spans="1:10" ht="15.6" x14ac:dyDescent="0.3">
      <c r="A1172" s="6">
        <v>44474</v>
      </c>
      <c r="B1172" s="7" t="s">
        <v>780</v>
      </c>
      <c r="C1172" s="7" t="s">
        <v>807</v>
      </c>
      <c r="D1172" s="7" t="s">
        <v>820</v>
      </c>
      <c r="E1172" s="7">
        <v>16</v>
      </c>
      <c r="F1172" s="7" t="s">
        <v>842</v>
      </c>
      <c r="G1172" s="7" t="s">
        <v>839</v>
      </c>
      <c r="H1172" s="7">
        <v>7417</v>
      </c>
      <c r="I1172" s="7" t="s">
        <v>854</v>
      </c>
      <c r="J1172" s="8" t="str" cm="1">
        <f t="array" ref="J1172">_xlfn.IFS(H1172&gt;8000,"PLATINUM",H1172&gt;6000,"GOLD",H1172&gt;4000,"SILEVER",H1172&gt;2000,"NORMAL",H1172&gt;500,"BASIC")</f>
        <v>GOLD</v>
      </c>
    </row>
    <row r="1173" spans="1:10" ht="15.6" x14ac:dyDescent="0.3">
      <c r="A1173" s="6">
        <v>45654</v>
      </c>
      <c r="B1173" s="7" t="s">
        <v>781</v>
      </c>
      <c r="C1173" s="7" t="s">
        <v>806</v>
      </c>
      <c r="D1173" s="7" t="s">
        <v>815</v>
      </c>
      <c r="E1173" s="7">
        <v>3</v>
      </c>
      <c r="F1173" s="7" t="s">
        <v>843</v>
      </c>
      <c r="G1173" s="7" t="s">
        <v>824</v>
      </c>
      <c r="H1173" s="7">
        <v>3451</v>
      </c>
      <c r="I1173" s="7" t="s">
        <v>850</v>
      </c>
      <c r="J1173" s="8" t="str" cm="1">
        <f t="array" ref="J1173">_xlfn.IFS(H1173&gt;8000,"PLATINUM",H1173&gt;6000,"GOLD",H1173&gt;4000,"SILEVER",H1173&gt;2000,"NORMAL",H1173&gt;500,"BASIC")</f>
        <v>NORMAL</v>
      </c>
    </row>
    <row r="1174" spans="1:10" ht="15.6" x14ac:dyDescent="0.3">
      <c r="A1174" s="6">
        <v>44695</v>
      </c>
      <c r="B1174" s="7" t="s">
        <v>782</v>
      </c>
      <c r="C1174" s="7" t="s">
        <v>805</v>
      </c>
      <c r="D1174" s="7" t="s">
        <v>812</v>
      </c>
      <c r="E1174" s="7">
        <v>4</v>
      </c>
      <c r="F1174" s="7" t="s">
        <v>846</v>
      </c>
      <c r="G1174" s="7" t="s">
        <v>833</v>
      </c>
      <c r="H1174" s="7">
        <v>8531</v>
      </c>
      <c r="I1174" s="7" t="s">
        <v>852</v>
      </c>
      <c r="J1174" s="8" t="str" cm="1">
        <f t="array" ref="J1174">_xlfn.IFS(H1174&gt;8000,"PLATINUM",H1174&gt;6000,"GOLD",H1174&gt;4000,"SILEVER",H1174&gt;2000,"NORMAL",H1174&gt;500,"BASIC")</f>
        <v>PLATINUM</v>
      </c>
    </row>
    <row r="1175" spans="1:10" ht="15.6" x14ac:dyDescent="0.3">
      <c r="A1175" s="6">
        <v>45157</v>
      </c>
      <c r="B1175" s="7" t="s">
        <v>783</v>
      </c>
      <c r="C1175" s="7" t="s">
        <v>807</v>
      </c>
      <c r="D1175" s="7" t="s">
        <v>816</v>
      </c>
      <c r="E1175" s="7">
        <v>15</v>
      </c>
      <c r="F1175" s="7" t="s">
        <v>844</v>
      </c>
      <c r="G1175" s="7" t="s">
        <v>828</v>
      </c>
      <c r="H1175" s="7">
        <v>6646</v>
      </c>
      <c r="I1175" s="7" t="s">
        <v>851</v>
      </c>
      <c r="J1175" s="8" t="str" cm="1">
        <f t="array" ref="J1175">_xlfn.IFS(H1175&gt;8000,"PLATINUM",H1175&gt;6000,"GOLD",H1175&gt;4000,"SILEVER",H1175&gt;2000,"NORMAL",H1175&gt;500,"BASIC")</f>
        <v>GOLD</v>
      </c>
    </row>
    <row r="1176" spans="1:10" ht="15.6" x14ac:dyDescent="0.3">
      <c r="A1176" s="6">
        <v>45121</v>
      </c>
      <c r="B1176" s="7" t="s">
        <v>784</v>
      </c>
      <c r="C1176" s="7" t="s">
        <v>807</v>
      </c>
      <c r="D1176" s="7" t="s">
        <v>816</v>
      </c>
      <c r="E1176" s="7">
        <v>15</v>
      </c>
      <c r="F1176" s="7" t="s">
        <v>844</v>
      </c>
      <c r="G1176" s="7" t="s">
        <v>825</v>
      </c>
      <c r="H1176" s="7">
        <v>6646</v>
      </c>
      <c r="I1176" s="7" t="s">
        <v>851</v>
      </c>
      <c r="J1176" s="8" t="str" cm="1">
        <f t="array" ref="J1176">_xlfn.IFS(H1176&gt;8000,"PLATINUM",H1176&gt;6000,"GOLD",H1176&gt;4000,"SILEVER",H1176&gt;2000,"NORMAL",H1176&gt;500,"BASIC")</f>
        <v>GOLD</v>
      </c>
    </row>
    <row r="1177" spans="1:10" ht="15.6" x14ac:dyDescent="0.3">
      <c r="A1177" s="6">
        <v>45099</v>
      </c>
      <c r="B1177" s="7" t="s">
        <v>785</v>
      </c>
      <c r="C1177" s="7" t="s">
        <v>805</v>
      </c>
      <c r="D1177" s="7" t="s">
        <v>812</v>
      </c>
      <c r="E1177" s="7">
        <v>6</v>
      </c>
      <c r="F1177" s="7" t="s">
        <v>846</v>
      </c>
      <c r="G1177" s="7" t="s">
        <v>831</v>
      </c>
      <c r="H1177" s="7">
        <v>2553</v>
      </c>
      <c r="I1177" s="7" t="s">
        <v>853</v>
      </c>
      <c r="J1177" s="8" t="str" cm="1">
        <f t="array" ref="J1177">_xlfn.IFS(H1177&gt;8000,"PLATINUM",H1177&gt;6000,"GOLD",H1177&gt;4000,"SILEVER",H1177&gt;2000,"NORMAL",H1177&gt;500,"BASIC")</f>
        <v>NORMAL</v>
      </c>
    </row>
    <row r="1178" spans="1:10" ht="15.6" x14ac:dyDescent="0.3">
      <c r="A1178" s="6">
        <v>45006</v>
      </c>
      <c r="B1178" s="7" t="s">
        <v>786</v>
      </c>
      <c r="C1178" s="7" t="s">
        <v>805</v>
      </c>
      <c r="D1178" s="7" t="s">
        <v>819</v>
      </c>
      <c r="E1178" s="7">
        <v>3</v>
      </c>
      <c r="F1178" s="7" t="s">
        <v>844</v>
      </c>
      <c r="G1178" s="7" t="s">
        <v>828</v>
      </c>
      <c r="H1178" s="7">
        <v>8490</v>
      </c>
      <c r="I1178" s="7" t="s">
        <v>853</v>
      </c>
      <c r="J1178" s="8" t="str" cm="1">
        <f t="array" ref="J1178">_xlfn.IFS(H1178&gt;8000,"PLATINUM",H1178&gt;6000,"GOLD",H1178&gt;4000,"SILEVER",H1178&gt;2000,"NORMAL",H1178&gt;500,"BASIC")</f>
        <v>PLATINUM</v>
      </c>
    </row>
    <row r="1179" spans="1:10" ht="15.6" x14ac:dyDescent="0.3">
      <c r="A1179" s="6">
        <v>44178</v>
      </c>
      <c r="B1179" s="7" t="s">
        <v>787</v>
      </c>
      <c r="C1179" s="7" t="s">
        <v>807</v>
      </c>
      <c r="D1179" s="7" t="s">
        <v>813</v>
      </c>
      <c r="E1179" s="7">
        <v>3</v>
      </c>
      <c r="F1179" s="7" t="s">
        <v>845</v>
      </c>
      <c r="G1179" s="7" t="s">
        <v>827</v>
      </c>
      <c r="H1179" s="7">
        <v>2689</v>
      </c>
      <c r="I1179" s="7" t="s">
        <v>850</v>
      </c>
      <c r="J1179" s="8" t="str" cm="1">
        <f t="array" ref="J1179">_xlfn.IFS(H1179&gt;8000,"PLATINUM",H1179&gt;6000,"GOLD",H1179&gt;4000,"SILEVER",H1179&gt;2000,"NORMAL",H1179&gt;500,"BASIC")</f>
        <v>NORMAL</v>
      </c>
    </row>
    <row r="1180" spans="1:10" ht="15.6" x14ac:dyDescent="0.3">
      <c r="A1180" s="6">
        <v>45441</v>
      </c>
      <c r="B1180" s="7" t="s">
        <v>788</v>
      </c>
      <c r="C1180" s="7" t="s">
        <v>807</v>
      </c>
      <c r="D1180" s="7" t="s">
        <v>813</v>
      </c>
      <c r="E1180" s="7">
        <v>3</v>
      </c>
      <c r="F1180" s="7" t="s">
        <v>842</v>
      </c>
      <c r="G1180" s="7" t="s">
        <v>823</v>
      </c>
      <c r="H1180" s="7">
        <v>2689</v>
      </c>
      <c r="I1180" s="7" t="s">
        <v>850</v>
      </c>
      <c r="J1180" s="8" t="str" cm="1">
        <f t="array" ref="J1180">_xlfn.IFS(H1180&gt;8000,"PLATINUM",H1180&gt;6000,"GOLD",H1180&gt;4000,"SILEVER",H1180&gt;2000,"NORMAL",H1180&gt;500,"BASIC")</f>
        <v>NORMAL</v>
      </c>
    </row>
    <row r="1181" spans="1:10" ht="15.6" x14ac:dyDescent="0.3">
      <c r="A1181" s="6">
        <v>44341</v>
      </c>
      <c r="B1181" s="7" t="s">
        <v>789</v>
      </c>
      <c r="C1181" s="7" t="s">
        <v>807</v>
      </c>
      <c r="D1181" s="7" t="s">
        <v>813</v>
      </c>
      <c r="E1181" s="7">
        <v>14</v>
      </c>
      <c r="F1181" s="7" t="s">
        <v>845</v>
      </c>
      <c r="G1181" s="7" t="s">
        <v>834</v>
      </c>
      <c r="H1181" s="7">
        <v>815</v>
      </c>
      <c r="I1181" s="7" t="s">
        <v>851</v>
      </c>
      <c r="J1181" s="8" t="str" cm="1">
        <f t="array" ref="J1181">_xlfn.IFS(H1181&gt;8000,"PLATINUM",H1181&gt;6000,"GOLD",H1181&gt;4000,"SILEVER",H1181&gt;2000,"NORMAL",H1181&gt;500,"BASIC")</f>
        <v>BASIC</v>
      </c>
    </row>
    <row r="1182" spans="1:10" ht="15.6" x14ac:dyDescent="0.3">
      <c r="A1182" s="6">
        <v>45384</v>
      </c>
      <c r="B1182" s="7" t="s">
        <v>790</v>
      </c>
      <c r="C1182" s="7" t="s">
        <v>806</v>
      </c>
      <c r="D1182" s="7" t="s">
        <v>817</v>
      </c>
      <c r="E1182" s="7">
        <v>2</v>
      </c>
      <c r="F1182" s="7" t="s">
        <v>846</v>
      </c>
      <c r="G1182" s="7" t="s">
        <v>831</v>
      </c>
      <c r="H1182" s="7">
        <v>5024</v>
      </c>
      <c r="I1182" s="7" t="s">
        <v>850</v>
      </c>
      <c r="J1182" s="8" t="str" cm="1">
        <f t="array" ref="J1182">_xlfn.IFS(H1182&gt;8000,"PLATINUM",H1182&gt;6000,"GOLD",H1182&gt;4000,"SILEVER",H1182&gt;2000,"NORMAL",H1182&gt;500,"BASIC")</f>
        <v>SILEVER</v>
      </c>
    </row>
    <row r="1183" spans="1:10" ht="15.6" x14ac:dyDescent="0.3">
      <c r="A1183" s="6">
        <v>44898</v>
      </c>
      <c r="B1183" s="7" t="s">
        <v>791</v>
      </c>
      <c r="C1183" s="7" t="s">
        <v>806</v>
      </c>
      <c r="D1183" s="7" t="s">
        <v>817</v>
      </c>
      <c r="E1183" s="7">
        <v>2</v>
      </c>
      <c r="F1183" s="7" t="s">
        <v>843</v>
      </c>
      <c r="G1183" s="7" t="s">
        <v>840</v>
      </c>
      <c r="H1183" s="7">
        <v>5024</v>
      </c>
      <c r="I1183" s="7" t="s">
        <v>850</v>
      </c>
      <c r="J1183" s="8" t="str" cm="1">
        <f t="array" ref="J1183">_xlfn.IFS(H1183&gt;8000,"PLATINUM",H1183&gt;6000,"GOLD",H1183&gt;4000,"SILEVER",H1183&gt;2000,"NORMAL",H1183&gt;500,"BASIC")</f>
        <v>SILEVER</v>
      </c>
    </row>
    <row r="1184" spans="1:10" ht="15.6" x14ac:dyDescent="0.3">
      <c r="A1184" s="6">
        <v>44389</v>
      </c>
      <c r="B1184" s="7" t="s">
        <v>792</v>
      </c>
      <c r="C1184" s="7" t="s">
        <v>805</v>
      </c>
      <c r="D1184" s="7" t="s">
        <v>809</v>
      </c>
      <c r="E1184" s="7">
        <v>18</v>
      </c>
      <c r="F1184" s="7" t="s">
        <v>847</v>
      </c>
      <c r="G1184" s="7" t="s">
        <v>837</v>
      </c>
      <c r="H1184" s="7">
        <v>8962</v>
      </c>
      <c r="I1184" s="7" t="s">
        <v>851</v>
      </c>
      <c r="J1184" s="8" t="str" cm="1">
        <f t="array" ref="J1184">_xlfn.IFS(H1184&gt;8000,"PLATINUM",H1184&gt;6000,"GOLD",H1184&gt;4000,"SILEVER",H1184&gt;2000,"NORMAL",H1184&gt;500,"BASIC")</f>
        <v>PLATINUM</v>
      </c>
    </row>
    <row r="1185" spans="1:10" ht="15.6" x14ac:dyDescent="0.3">
      <c r="A1185" s="6">
        <v>43912</v>
      </c>
      <c r="B1185" s="7" t="s">
        <v>793</v>
      </c>
      <c r="C1185" s="7" t="s">
        <v>805</v>
      </c>
      <c r="D1185" s="7" t="s">
        <v>809</v>
      </c>
      <c r="E1185" s="7">
        <v>18</v>
      </c>
      <c r="F1185" s="7" t="s">
        <v>843</v>
      </c>
      <c r="G1185" s="7" t="s">
        <v>840</v>
      </c>
      <c r="H1185" s="7">
        <v>8962</v>
      </c>
      <c r="I1185" s="7" t="s">
        <v>851</v>
      </c>
      <c r="J1185" s="8" t="str" cm="1">
        <f t="array" ref="J1185">_xlfn.IFS(H1185&gt;8000,"PLATINUM",H1185&gt;6000,"GOLD",H1185&gt;4000,"SILEVER",H1185&gt;2000,"NORMAL",H1185&gt;500,"BASIC")</f>
        <v>PLATINUM</v>
      </c>
    </row>
    <row r="1186" spans="1:10" ht="15.6" x14ac:dyDescent="0.3">
      <c r="A1186" s="6">
        <v>44052</v>
      </c>
      <c r="B1186" s="7" t="s">
        <v>794</v>
      </c>
      <c r="C1186" s="7" t="s">
        <v>806</v>
      </c>
      <c r="D1186" s="7" t="s">
        <v>818</v>
      </c>
      <c r="E1186" s="7">
        <v>12</v>
      </c>
      <c r="F1186" s="7" t="s">
        <v>842</v>
      </c>
      <c r="G1186" s="7" t="s">
        <v>826</v>
      </c>
      <c r="H1186" s="7">
        <v>1961</v>
      </c>
      <c r="I1186" s="7" t="s">
        <v>850</v>
      </c>
      <c r="J1186" s="8" t="str" cm="1">
        <f t="array" ref="J1186">_xlfn.IFS(H1186&gt;8000,"PLATINUM",H1186&gt;6000,"GOLD",H1186&gt;4000,"SILEVER",H1186&gt;2000,"NORMAL",H1186&gt;500,"BASIC")</f>
        <v>BASIC</v>
      </c>
    </row>
    <row r="1187" spans="1:10" ht="15.6" x14ac:dyDescent="0.3">
      <c r="A1187" s="6">
        <v>44610</v>
      </c>
      <c r="B1187" s="7" t="s">
        <v>795</v>
      </c>
      <c r="C1187" s="7" t="s">
        <v>807</v>
      </c>
      <c r="D1187" s="7" t="s">
        <v>816</v>
      </c>
      <c r="E1187" s="7">
        <v>4</v>
      </c>
      <c r="F1187" s="7" t="s">
        <v>843</v>
      </c>
      <c r="G1187" s="7" t="s">
        <v>824</v>
      </c>
      <c r="H1187" s="7">
        <v>526</v>
      </c>
      <c r="I1187" s="7" t="s">
        <v>853</v>
      </c>
      <c r="J1187" s="8" t="str" cm="1">
        <f t="array" ref="J1187">_xlfn.IFS(H1187&gt;8000,"PLATINUM",H1187&gt;6000,"GOLD",H1187&gt;4000,"SILEVER",H1187&gt;2000,"NORMAL",H1187&gt;500,"BASIC")</f>
        <v>BASIC</v>
      </c>
    </row>
    <row r="1188" spans="1:10" ht="15.6" x14ac:dyDescent="0.3">
      <c r="A1188" s="6">
        <v>44361</v>
      </c>
      <c r="B1188" s="7" t="s">
        <v>796</v>
      </c>
      <c r="C1188" s="7" t="s">
        <v>807</v>
      </c>
      <c r="D1188" s="7" t="s">
        <v>820</v>
      </c>
      <c r="E1188" s="7">
        <v>9</v>
      </c>
      <c r="F1188" s="7" t="s">
        <v>845</v>
      </c>
      <c r="G1188" s="7" t="s">
        <v>834</v>
      </c>
      <c r="H1188" s="7">
        <v>6093</v>
      </c>
      <c r="I1188" s="7" t="s">
        <v>851</v>
      </c>
      <c r="J1188" s="8" t="str" cm="1">
        <f t="array" ref="J1188">_xlfn.IFS(H1188&gt;8000,"PLATINUM",H1188&gt;6000,"GOLD",H1188&gt;4000,"SILEVER",H1188&gt;2000,"NORMAL",H1188&gt;500,"BASIC")</f>
        <v>GOLD</v>
      </c>
    </row>
    <row r="1189" spans="1:10" ht="15.6" x14ac:dyDescent="0.3">
      <c r="A1189" s="6">
        <v>44256</v>
      </c>
      <c r="B1189" s="7" t="s">
        <v>797</v>
      </c>
      <c r="C1189" s="7" t="s">
        <v>807</v>
      </c>
      <c r="D1189" s="7" t="s">
        <v>820</v>
      </c>
      <c r="E1189" s="7">
        <v>9</v>
      </c>
      <c r="F1189" s="7" t="s">
        <v>845</v>
      </c>
      <c r="G1189" s="7" t="s">
        <v>832</v>
      </c>
      <c r="H1189" s="7">
        <v>6093</v>
      </c>
      <c r="I1189" s="7" t="s">
        <v>851</v>
      </c>
      <c r="J1189" s="8" t="str" cm="1">
        <f t="array" ref="J1189">_xlfn.IFS(H1189&gt;8000,"PLATINUM",H1189&gt;6000,"GOLD",H1189&gt;4000,"SILEVER",H1189&gt;2000,"NORMAL",H1189&gt;500,"BASIC")</f>
        <v>GOLD</v>
      </c>
    </row>
    <row r="1190" spans="1:10" ht="15.6" x14ac:dyDescent="0.3">
      <c r="A1190" s="6">
        <v>45192</v>
      </c>
      <c r="B1190" s="7" t="s">
        <v>798</v>
      </c>
      <c r="C1190" s="7" t="s">
        <v>805</v>
      </c>
      <c r="D1190" s="7" t="s">
        <v>809</v>
      </c>
      <c r="E1190" s="7">
        <v>5</v>
      </c>
      <c r="F1190" s="7" t="s">
        <v>846</v>
      </c>
      <c r="G1190" s="7" t="s">
        <v>833</v>
      </c>
      <c r="H1190" s="7">
        <v>7699</v>
      </c>
      <c r="I1190" s="7" t="s">
        <v>851</v>
      </c>
      <c r="J1190" s="8" t="str" cm="1">
        <f t="array" ref="J1190">_xlfn.IFS(H1190&gt;8000,"PLATINUM",H1190&gt;6000,"GOLD",H1190&gt;4000,"SILEVER",H1190&gt;2000,"NORMAL",H1190&gt;500,"BASIC")</f>
        <v>GOLD</v>
      </c>
    </row>
    <row r="1191" spans="1:10" ht="15.6" x14ac:dyDescent="0.3">
      <c r="A1191" s="6">
        <v>45504</v>
      </c>
      <c r="B1191" s="7" t="s">
        <v>799</v>
      </c>
      <c r="C1191" s="7" t="s">
        <v>807</v>
      </c>
      <c r="D1191" s="7" t="s">
        <v>813</v>
      </c>
      <c r="E1191" s="7">
        <v>15</v>
      </c>
      <c r="F1191" s="7" t="s">
        <v>844</v>
      </c>
      <c r="G1191" s="7" t="s">
        <v>828</v>
      </c>
      <c r="H1191" s="7">
        <v>8825</v>
      </c>
      <c r="I1191" s="7" t="s">
        <v>851</v>
      </c>
      <c r="J1191" s="8" t="str" cm="1">
        <f t="array" ref="J1191">_xlfn.IFS(H1191&gt;8000,"PLATINUM",H1191&gt;6000,"GOLD",H1191&gt;4000,"SILEVER",H1191&gt;2000,"NORMAL",H1191&gt;500,"BASIC")</f>
        <v>PLATINUM</v>
      </c>
    </row>
    <row r="1192" spans="1:10" ht="15.6" x14ac:dyDescent="0.3">
      <c r="A1192" s="6">
        <v>43984</v>
      </c>
      <c r="B1192" s="7" t="s">
        <v>800</v>
      </c>
      <c r="C1192" s="7" t="s">
        <v>805</v>
      </c>
      <c r="D1192" s="7" t="s">
        <v>819</v>
      </c>
      <c r="E1192" s="7">
        <v>8</v>
      </c>
      <c r="F1192" s="7" t="s">
        <v>844</v>
      </c>
      <c r="G1192" s="7" t="s">
        <v>830</v>
      </c>
      <c r="H1192" s="7">
        <v>2082</v>
      </c>
      <c r="I1192" s="7" t="s">
        <v>852</v>
      </c>
      <c r="J1192" s="8" t="str" cm="1">
        <f t="array" ref="J1192">_xlfn.IFS(H1192&gt;8000,"PLATINUM",H1192&gt;6000,"GOLD",H1192&gt;4000,"SILEVER",H1192&gt;2000,"NORMAL",H1192&gt;500,"BASIC")</f>
        <v>NORMAL</v>
      </c>
    </row>
    <row r="1193" spans="1:10" ht="15.6" x14ac:dyDescent="0.3">
      <c r="A1193" s="6">
        <v>44910</v>
      </c>
      <c r="B1193" s="7" t="s">
        <v>801</v>
      </c>
      <c r="C1193" s="7" t="s">
        <v>805</v>
      </c>
      <c r="D1193" s="7" t="s">
        <v>819</v>
      </c>
      <c r="E1193" s="7">
        <v>8</v>
      </c>
      <c r="F1193" s="7" t="s">
        <v>846</v>
      </c>
      <c r="G1193" s="7" t="s">
        <v>833</v>
      </c>
      <c r="H1193" s="7">
        <v>2082</v>
      </c>
      <c r="I1193" s="7" t="s">
        <v>852</v>
      </c>
      <c r="J1193" s="8" t="str" cm="1">
        <f t="array" ref="J1193">_xlfn.IFS(H1193&gt;8000,"PLATINUM",H1193&gt;6000,"GOLD",H1193&gt;4000,"SILEVER",H1193&gt;2000,"NORMAL",H1193&gt;500,"BASIC")</f>
        <v>NORMAL</v>
      </c>
    </row>
    <row r="1194" spans="1:10" ht="15.6" x14ac:dyDescent="0.3">
      <c r="A1194" s="6">
        <v>44050</v>
      </c>
      <c r="B1194" s="7" t="s">
        <v>802</v>
      </c>
      <c r="C1194" s="7" t="s">
        <v>805</v>
      </c>
      <c r="D1194" s="7" t="s">
        <v>819</v>
      </c>
      <c r="E1194" s="7">
        <v>8</v>
      </c>
      <c r="F1194" s="7" t="s">
        <v>844</v>
      </c>
      <c r="G1194" s="7" t="s">
        <v>825</v>
      </c>
      <c r="H1194" s="7">
        <v>2082</v>
      </c>
      <c r="I1194" s="7" t="s">
        <v>852</v>
      </c>
      <c r="J1194" s="8" t="str" cm="1">
        <f t="array" ref="J1194">_xlfn.IFS(H1194&gt;8000,"PLATINUM",H1194&gt;6000,"GOLD",H1194&gt;4000,"SILEVER",H1194&gt;2000,"NORMAL",H1194&gt;500,"BASIC")</f>
        <v>NORMAL</v>
      </c>
    </row>
    <row r="1195" spans="1:10" ht="15.6" x14ac:dyDescent="0.3">
      <c r="A1195" s="9">
        <v>45591</v>
      </c>
      <c r="B1195" s="10" t="s">
        <v>803</v>
      </c>
      <c r="C1195" s="10" t="s">
        <v>806</v>
      </c>
      <c r="D1195" s="10" t="s">
        <v>815</v>
      </c>
      <c r="E1195" s="10">
        <v>13</v>
      </c>
      <c r="F1195" s="10" t="s">
        <v>843</v>
      </c>
      <c r="G1195" s="10" t="s">
        <v>824</v>
      </c>
      <c r="H1195" s="10">
        <v>914</v>
      </c>
      <c r="I1195" s="10" t="s">
        <v>850</v>
      </c>
      <c r="J1195" s="11" t="str" cm="1">
        <f t="array" ref="J1195">_xlfn.IFS(H1195&gt;8000,"PLATINUM",H1195&gt;6000,"GOLD",H1195&gt;4000,"SILEVER",H1195&gt;2000,"NORMAL",H1195&gt;500,"BASIC")</f>
        <v>BASIC</v>
      </c>
    </row>
    <row r="1198" spans="1:10" ht="15.6" x14ac:dyDescent="0.3">
      <c r="A1198" s="2" t="s">
        <v>855</v>
      </c>
      <c r="B1198" s="2">
        <f>SUM(H1:H1195)</f>
        <v>6182639</v>
      </c>
      <c r="C1198" s="2" t="s">
        <v>856</v>
      </c>
      <c r="D1198" s="2">
        <f>SUM(E1:E1195)</f>
        <v>12745</v>
      </c>
    </row>
    <row r="1199" spans="1:10" ht="15.6" x14ac:dyDescent="0.3">
      <c r="A1199" s="2" t="s">
        <v>857</v>
      </c>
      <c r="B1199" s="2">
        <f>AVERAGE(H1:H1195)</f>
        <v>5178.0896147403682</v>
      </c>
      <c r="C1199" s="2" t="s">
        <v>858</v>
      </c>
      <c r="D1199" s="2">
        <f>AVERAGE(E1:E1195)</f>
        <v>10.674204355108877</v>
      </c>
    </row>
    <row r="1200" spans="1:10" ht="15.6" x14ac:dyDescent="0.3">
      <c r="A1200" s="2" t="s">
        <v>859</v>
      </c>
      <c r="B1200" s="2">
        <f>MAX(H1:H11950)</f>
        <v>9992</v>
      </c>
      <c r="C1200" s="2" t="s">
        <v>860</v>
      </c>
      <c r="D1200" s="2">
        <f>MAX(E1:E1195)</f>
        <v>20</v>
      </c>
    </row>
    <row r="1201" spans="1:4" ht="15.6" x14ac:dyDescent="0.3">
      <c r="A1201" s="2" t="s">
        <v>861</v>
      </c>
      <c r="B1201" s="2">
        <f>MIN(H1:H1195)</f>
        <v>508</v>
      </c>
      <c r="C1201" s="2" t="s">
        <v>862</v>
      </c>
      <c r="D1201" s="2">
        <f>MIN(E1:E1195)</f>
        <v>1</v>
      </c>
    </row>
    <row r="1202" spans="1:4" ht="15.6" x14ac:dyDescent="0.3">
      <c r="A1202" s="2" t="s">
        <v>863</v>
      </c>
      <c r="B1202" s="2">
        <f>COUNT(H1:H1195)</f>
        <v>1194</v>
      </c>
      <c r="C1202" s="2" t="s">
        <v>864</v>
      </c>
      <c r="D1202" s="2">
        <f>COUNT(E1:E1195)</f>
        <v>1194</v>
      </c>
    </row>
    <row r="1203" spans="1:4" ht="15.6" x14ac:dyDescent="0.3">
      <c r="A1203" s="2" t="s">
        <v>865</v>
      </c>
      <c r="B1203" s="2">
        <f>_xlfn.QUARTILE.INC(H1:H1195,1)</f>
        <v>2799</v>
      </c>
      <c r="C1203" s="2"/>
      <c r="D1203" s="2"/>
    </row>
    <row r="1204" spans="1:4" ht="15.6" x14ac:dyDescent="0.3">
      <c r="A1204" s="2" t="s">
        <v>866</v>
      </c>
      <c r="B1204" s="2">
        <f>_xlfn.QUARTILE.INC(H1:H1195,3)</f>
        <v>7626</v>
      </c>
      <c r="C1204" s="2"/>
      <c r="D1204" s="2"/>
    </row>
    <row r="1205" spans="1:4" ht="15.6" x14ac:dyDescent="0.3">
      <c r="A1205" s="2" t="s">
        <v>867</v>
      </c>
      <c r="B1205" s="2">
        <f>B1204-B1203</f>
        <v>4827</v>
      </c>
      <c r="C1205" s="2"/>
      <c r="D1205" s="2"/>
    </row>
    <row r="1206" spans="1:4" ht="15.6" x14ac:dyDescent="0.3">
      <c r="A1206" s="2" t="s">
        <v>868</v>
      </c>
      <c r="B1206" s="2">
        <f>_xlfn.STDEV.P(H1:H1195)</f>
        <v>2803.7471187153351</v>
      </c>
      <c r="C1206" s="2" t="s">
        <v>868</v>
      </c>
      <c r="D1206" s="2">
        <f>_xlfn.STDEV.P(E1:E1195)</f>
        <v>5.7746823311105748</v>
      </c>
    </row>
    <row r="1207" spans="1:4" ht="15.6" x14ac:dyDescent="0.3">
      <c r="A1207" s="2" t="s">
        <v>869</v>
      </c>
      <c r="B1207" s="2">
        <f>_xlfn.VAR.P(H1:H1195)</f>
        <v>7860997.9057045421</v>
      </c>
      <c r="C1207" s="2" t="s">
        <v>869</v>
      </c>
      <c r="D1207" s="2">
        <f>_xlfn.VAR.P(E1:E1195)</f>
        <v>33.346956025240665</v>
      </c>
    </row>
    <row r="1208" spans="1:4" ht="15.6" x14ac:dyDescent="0.3">
      <c r="A1208" s="2" t="s">
        <v>870</v>
      </c>
      <c r="B1208" s="2">
        <f>_xlfn.STDEV.P(H1:H1195)/SQRT(COUNT(H1:H1195))</f>
        <v>81.140312667539376</v>
      </c>
      <c r="C1208" s="2"/>
      <c r="D1208" s="2"/>
    </row>
    <row r="1209" spans="1:4" ht="15.6" x14ac:dyDescent="0.3">
      <c r="A1209" s="2" t="s">
        <v>871</v>
      </c>
      <c r="B1209" s="2">
        <f>MEDIAN(H1:H1195)</f>
        <v>5152</v>
      </c>
      <c r="C1209" s="2" t="s">
        <v>871</v>
      </c>
      <c r="D1209" s="2">
        <f>MEDIAN(E1:E1195)</f>
        <v>11</v>
      </c>
    </row>
    <row r="1210" spans="1:4" ht="15.6" x14ac:dyDescent="0.3">
      <c r="A1210" s="2" t="s">
        <v>872</v>
      </c>
      <c r="B1210" s="2">
        <f>SUMIF(D1:D1195,"Electronic Games",H1:H1195)</f>
        <v>565092</v>
      </c>
      <c r="C1210" s="2"/>
      <c r="D1210" s="2"/>
    </row>
    <row r="1211" spans="1:4" ht="15.6" x14ac:dyDescent="0.3">
      <c r="A1211" s="2" t="s">
        <v>873</v>
      </c>
      <c r="B1211" s="2">
        <f>SUMIFS(H2:H1195,C2:C1195,"Office Supplies",F2:F1195,"New York")</f>
        <v>393585</v>
      </c>
      <c r="C1211" s="2" t="s">
        <v>892</v>
      </c>
      <c r="D1211" s="2" t="b">
        <f>AND(C1194="Electronics",D1194="Phones")</f>
        <v>1</v>
      </c>
    </row>
    <row r="1212" spans="1:4" ht="15.6" x14ac:dyDescent="0.3">
      <c r="A1212" s="2" t="s">
        <v>874</v>
      </c>
      <c r="B1212" s="2">
        <f>COUNTBLANK(C2:C1195)</f>
        <v>0</v>
      </c>
      <c r="C1212" s="2" t="s">
        <v>893</v>
      </c>
      <c r="D1212" s="2" t="b">
        <f>OR(F1195="Illinois",H1195&gt;1000)</f>
        <v>1</v>
      </c>
    </row>
    <row r="1213" spans="1:4" ht="15.6" x14ac:dyDescent="0.3">
      <c r="A1213" s="2" t="s">
        <v>875</v>
      </c>
      <c r="B1213" s="2">
        <f>COUNTIF(D2:D1195,"Phones")</f>
        <v>101</v>
      </c>
      <c r="C1213" s="2" t="s">
        <v>894</v>
      </c>
      <c r="D1213" s="2" t="b">
        <f>NOT(I1195="UPI")</f>
        <v>0</v>
      </c>
    </row>
    <row r="1214" spans="1:4" ht="15.6" x14ac:dyDescent="0.3">
      <c r="A1214" s="2" t="s">
        <v>876</v>
      </c>
      <c r="B1214" s="2">
        <f>COUNTIFS(D2:D1195,"Markers",I2:I1195,"UPI")</f>
        <v>25</v>
      </c>
      <c r="C1214" s="2"/>
      <c r="D1214" s="2"/>
    </row>
    <row r="1215" spans="1:4" ht="15.6" x14ac:dyDescent="0.3">
      <c r="A1215" s="2" t="s">
        <v>877</v>
      </c>
      <c r="B1215" s="2">
        <f>AVERAGEIF(I2:I1195,"UPI",H2:H1195)</f>
        <v>4962.1944444444443</v>
      </c>
      <c r="C1215" s="2"/>
      <c r="D1215" s="2"/>
    </row>
    <row r="1216" spans="1:4" ht="15.6" x14ac:dyDescent="0.3">
      <c r="A1216" s="2" t="s">
        <v>880</v>
      </c>
      <c r="B1216" s="2">
        <f>LEN(C1195)</f>
        <v>15</v>
      </c>
      <c r="C1216" s="2"/>
      <c r="D1216" s="2"/>
    </row>
    <row r="1217" spans="1:4" ht="15.6" x14ac:dyDescent="0.3">
      <c r="A1217" s="2" t="s">
        <v>878</v>
      </c>
      <c r="B1217" s="2" t="str">
        <f>TRIM(C1195)</f>
        <v>Office Supplies</v>
      </c>
      <c r="C1217" s="2"/>
      <c r="D1217" s="2"/>
    </row>
    <row r="1218" spans="1:4" ht="15.6" x14ac:dyDescent="0.3">
      <c r="A1218" s="2" t="s">
        <v>879</v>
      </c>
      <c r="B1218" s="2" t="str">
        <f>UPPER(C1195)</f>
        <v>OFFICE SUPPLIES</v>
      </c>
      <c r="C1218" s="2"/>
      <c r="D1218" s="2"/>
    </row>
    <row r="1219" spans="1:4" ht="15.6" x14ac:dyDescent="0.3">
      <c r="A1219" s="2" t="s">
        <v>881</v>
      </c>
      <c r="B1219" s="2" t="str">
        <f>REPLACE(B1195,3,6," ")</f>
        <v>An ill</v>
      </c>
      <c r="C1219" s="2"/>
      <c r="D1219" s="2"/>
    </row>
    <row r="1220" spans="1:4" ht="15.6" x14ac:dyDescent="0.3">
      <c r="A1220" s="2" t="s">
        <v>882</v>
      </c>
      <c r="B1220" s="2" t="str">
        <f>_xlfn.CONCAT(B1195,"|",C1195,"(",D1195,")")</f>
        <v>Andrea Hill|Office Supplies(Markers)</v>
      </c>
      <c r="C1220" s="2"/>
      <c r="D1220" s="2"/>
    </row>
    <row r="1221" spans="1:4" ht="15.6" x14ac:dyDescent="0.3">
      <c r="A1221" s="2" t="s">
        <v>883</v>
      </c>
      <c r="B1221" s="2" t="str">
        <f>_xlfn.TEXTJOIN("|",TRUE,B1194,C1194,IF(H1195&gt;500,"NORMAL","BASIC"))</f>
        <v>Stephanie Oconnell|Electronics|NORMAL</v>
      </c>
      <c r="C1221" s="2"/>
      <c r="D1221" s="2"/>
    </row>
    <row r="1222" spans="1:4" ht="15.6" x14ac:dyDescent="0.3">
      <c r="A1222" s="2" t="s">
        <v>884</v>
      </c>
      <c r="B1222" s="2">
        <f>MONTH(A1100)</f>
        <v>5</v>
      </c>
      <c r="C1222" s="2"/>
      <c r="D1222" s="2"/>
    </row>
    <row r="1223" spans="1:4" ht="15.6" x14ac:dyDescent="0.3">
      <c r="A1223" s="2" t="s">
        <v>885</v>
      </c>
      <c r="B1223" s="2">
        <f>YEAR(A1194)</f>
        <v>2020</v>
      </c>
      <c r="C1223" s="2"/>
      <c r="D1223" s="2"/>
    </row>
    <row r="1224" spans="1:4" ht="15.6" x14ac:dyDescent="0.3">
      <c r="A1224" s="2" t="s">
        <v>886</v>
      </c>
      <c r="B1224" s="2" t="str">
        <f>TEXT(H1195,"$#,##0.00")</f>
        <v>$914.00</v>
      </c>
      <c r="C1224" s="2"/>
      <c r="D1224" s="2"/>
    </row>
    <row r="1225" spans="1:4" ht="15.6" x14ac:dyDescent="0.3">
      <c r="A1225" s="2" t="s">
        <v>887</v>
      </c>
      <c r="B1225" s="2" t="str">
        <f>"Q"&amp;INT((MONTH(A1195)-1/3)+1)</f>
        <v>Q10</v>
      </c>
      <c r="C1225" s="2"/>
      <c r="D1225" s="2"/>
    </row>
    <row r="1226" spans="1:4" ht="15.6" x14ac:dyDescent="0.3">
      <c r="A1226" s="2" t="s">
        <v>888</v>
      </c>
      <c r="B1226" s="2">
        <f ca="1">NETWORKDAYS(A2,TODAY())</f>
        <v>642</v>
      </c>
      <c r="C1226" s="2"/>
      <c r="D1226" s="2"/>
    </row>
    <row r="1227" spans="1:4" ht="15.6" x14ac:dyDescent="0.3">
      <c r="A1227" s="2" t="s">
        <v>889</v>
      </c>
      <c r="B1227" s="2" t="str">
        <f>IF(WEEKDAY(A2,3)&gt;5,"WEEKEND","WEEKDAYS")</f>
        <v>WEEKDAYS</v>
      </c>
      <c r="C1227" s="2"/>
      <c r="D1227" s="2"/>
    </row>
    <row r="1228" spans="1:4" ht="15.6" x14ac:dyDescent="0.3">
      <c r="A1228" s="2" t="s">
        <v>890</v>
      </c>
      <c r="B1228" s="2" t="str">
        <f>IF(E2&gt;10,"PREMIUM","NORMAL")</f>
        <v>NORMAL</v>
      </c>
      <c r="C1228" s="2"/>
      <c r="D122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09E5-5D8A-442C-92F7-47915AA48D46}">
  <dimension ref="A3:N51"/>
  <sheetViews>
    <sheetView topLeftCell="A34" workbookViewId="0">
      <selection activeCell="I38" sqref="I38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10.33203125" bestFit="1" customWidth="1"/>
    <col min="4" max="4" width="9.77734375" bestFit="1" customWidth="1"/>
    <col min="5" max="6" width="8" bestFit="1" customWidth="1"/>
    <col min="7" max="7" width="10.77734375" bestFit="1" customWidth="1"/>
    <col min="8" max="8" width="14.44140625" bestFit="1" customWidth="1"/>
    <col min="9" max="9" width="15.21875" bestFit="1" customWidth="1"/>
    <col min="10" max="10" width="14.44140625" bestFit="1" customWidth="1"/>
    <col min="11" max="11" width="8.6640625" bestFit="1" customWidth="1"/>
    <col min="12" max="12" width="10.21875" bestFit="1" customWidth="1"/>
    <col min="13" max="13" width="8" bestFit="1" customWidth="1"/>
    <col min="14" max="14" width="10.77734375" bestFit="1" customWidth="1"/>
    <col min="15" max="16" width="9.33203125" bestFit="1" customWidth="1"/>
    <col min="17" max="17" width="12.33203125" bestFit="1" customWidth="1"/>
    <col min="18" max="18" width="10" bestFit="1" customWidth="1"/>
    <col min="19" max="19" width="6.77734375" bestFit="1" customWidth="1"/>
    <col min="20" max="20" width="10.77734375" bestFit="1" customWidth="1"/>
    <col min="21" max="21" width="7" bestFit="1" customWidth="1"/>
    <col min="22" max="22" width="10.77734375" bestFit="1" customWidth="1"/>
  </cols>
  <sheetData>
    <row r="3" spans="1:9" x14ac:dyDescent="0.3">
      <c r="A3" s="12" t="s">
        <v>897</v>
      </c>
      <c r="B3" s="12" t="s">
        <v>895</v>
      </c>
      <c r="H3" s="12" t="s">
        <v>898</v>
      </c>
      <c r="I3" t="s">
        <v>897</v>
      </c>
    </row>
    <row r="4" spans="1:9" x14ac:dyDescent="0.3">
      <c r="A4" s="12" t="s">
        <v>898</v>
      </c>
      <c r="B4" t="s">
        <v>805</v>
      </c>
      <c r="C4" t="s">
        <v>807</v>
      </c>
      <c r="D4" t="s">
        <v>806</v>
      </c>
      <c r="E4" t="s">
        <v>896</v>
      </c>
      <c r="H4" s="14" t="s">
        <v>818</v>
      </c>
      <c r="I4" s="13">
        <v>384611</v>
      </c>
    </row>
    <row r="5" spans="1:9" x14ac:dyDescent="0.3">
      <c r="A5" s="14" t="s">
        <v>899</v>
      </c>
      <c r="B5" s="13">
        <v>66764</v>
      </c>
      <c r="C5" s="13">
        <v>78034</v>
      </c>
      <c r="D5" s="13">
        <v>70807</v>
      </c>
      <c r="E5" s="13">
        <v>215605</v>
      </c>
      <c r="H5" s="14" t="s">
        <v>820</v>
      </c>
      <c r="I5" s="13">
        <v>413165</v>
      </c>
    </row>
    <row r="6" spans="1:9" x14ac:dyDescent="0.3">
      <c r="A6" s="14" t="s">
        <v>900</v>
      </c>
      <c r="B6" s="13">
        <v>577070</v>
      </c>
      <c r="C6" s="13">
        <v>622930</v>
      </c>
      <c r="D6" s="13">
        <v>475198</v>
      </c>
      <c r="E6" s="13">
        <v>1675198</v>
      </c>
      <c r="H6" s="14" t="s">
        <v>814</v>
      </c>
      <c r="I6" s="13">
        <v>431964</v>
      </c>
    </row>
    <row r="7" spans="1:9" x14ac:dyDescent="0.3">
      <c r="A7" s="14" t="s">
        <v>901</v>
      </c>
      <c r="B7" s="13">
        <v>255768</v>
      </c>
      <c r="C7" s="13">
        <v>250486</v>
      </c>
      <c r="D7" s="13">
        <v>317773</v>
      </c>
      <c r="E7" s="13">
        <v>824027</v>
      </c>
      <c r="H7" s="14" t="s">
        <v>809</v>
      </c>
      <c r="I7" s="13">
        <v>565092</v>
      </c>
    </row>
    <row r="8" spans="1:9" x14ac:dyDescent="0.3">
      <c r="A8" s="14" t="s">
        <v>902</v>
      </c>
      <c r="B8" s="13">
        <v>771010</v>
      </c>
      <c r="C8" s="13">
        <v>620847</v>
      </c>
      <c r="D8" s="13">
        <v>885430</v>
      </c>
      <c r="E8" s="13">
        <v>2277287</v>
      </c>
      <c r="H8" s="14" t="s">
        <v>812</v>
      </c>
      <c r="I8" s="13">
        <v>419950</v>
      </c>
    </row>
    <row r="9" spans="1:9" x14ac:dyDescent="0.3">
      <c r="A9" s="14" t="s">
        <v>903</v>
      </c>
      <c r="B9" s="13">
        <v>383844</v>
      </c>
      <c r="C9" s="13">
        <v>466376</v>
      </c>
      <c r="D9" s="13">
        <v>340302</v>
      </c>
      <c r="E9" s="13">
        <v>1190522</v>
      </c>
      <c r="H9" s="14" t="s">
        <v>815</v>
      </c>
      <c r="I9" s="13">
        <v>627875</v>
      </c>
    </row>
    <row r="10" spans="1:9" x14ac:dyDescent="0.3">
      <c r="A10" s="14" t="s">
        <v>896</v>
      </c>
      <c r="B10" s="13">
        <v>2054456</v>
      </c>
      <c r="C10" s="13">
        <v>2038673</v>
      </c>
      <c r="D10" s="13">
        <v>2089510</v>
      </c>
      <c r="E10" s="13">
        <v>6182639</v>
      </c>
      <c r="H10" s="14" t="s">
        <v>817</v>
      </c>
      <c r="I10" s="13">
        <v>524755</v>
      </c>
    </row>
    <row r="11" spans="1:9" x14ac:dyDescent="0.3">
      <c r="H11" s="14" t="s">
        <v>811</v>
      </c>
      <c r="I11" s="13">
        <v>552269</v>
      </c>
    </row>
    <row r="12" spans="1:9" x14ac:dyDescent="0.3">
      <c r="H12" s="14" t="s">
        <v>819</v>
      </c>
      <c r="I12" s="13">
        <v>503055</v>
      </c>
    </row>
    <row r="13" spans="1:9" x14ac:dyDescent="0.3">
      <c r="A13" s="12" t="s">
        <v>897</v>
      </c>
      <c r="B13" s="12" t="s">
        <v>895</v>
      </c>
      <c r="H13" s="14" t="s">
        <v>810</v>
      </c>
      <c r="I13" s="13">
        <v>566359</v>
      </c>
    </row>
    <row r="14" spans="1:9" x14ac:dyDescent="0.3">
      <c r="A14" s="12" t="s">
        <v>898</v>
      </c>
      <c r="B14" t="s">
        <v>805</v>
      </c>
      <c r="C14" t="s">
        <v>807</v>
      </c>
      <c r="D14" t="s">
        <v>806</v>
      </c>
      <c r="E14" t="s">
        <v>896</v>
      </c>
      <c r="H14" s="14" t="s">
        <v>816</v>
      </c>
      <c r="I14" s="13">
        <v>568367</v>
      </c>
    </row>
    <row r="15" spans="1:9" x14ac:dyDescent="0.3">
      <c r="A15" s="14" t="s">
        <v>845</v>
      </c>
      <c r="B15" s="13">
        <v>300653</v>
      </c>
      <c r="C15" s="13">
        <v>416016</v>
      </c>
      <c r="D15" s="13">
        <v>369767</v>
      </c>
      <c r="E15" s="13">
        <v>1086436</v>
      </c>
      <c r="H15" s="14" t="s">
        <v>813</v>
      </c>
      <c r="I15" s="13">
        <v>625177</v>
      </c>
    </row>
    <row r="16" spans="1:9" x14ac:dyDescent="0.3">
      <c r="A16" s="14" t="s">
        <v>842</v>
      </c>
      <c r="B16" s="13">
        <v>400174</v>
      </c>
      <c r="C16" s="13">
        <v>325014</v>
      </c>
      <c r="D16" s="13">
        <v>365986</v>
      </c>
      <c r="E16" s="13">
        <v>1091174</v>
      </c>
      <c r="H16" s="14" t="s">
        <v>896</v>
      </c>
      <c r="I16" s="13">
        <v>6182639</v>
      </c>
    </row>
    <row r="17" spans="1:14" x14ac:dyDescent="0.3">
      <c r="A17" s="14" t="s">
        <v>843</v>
      </c>
      <c r="B17" s="13">
        <v>285385</v>
      </c>
      <c r="C17" s="13">
        <v>305640</v>
      </c>
      <c r="D17" s="13">
        <v>387713</v>
      </c>
      <c r="E17" s="13">
        <v>978738</v>
      </c>
    </row>
    <row r="18" spans="1:14" x14ac:dyDescent="0.3">
      <c r="A18" s="14" t="s">
        <v>844</v>
      </c>
      <c r="B18" s="13">
        <v>371830</v>
      </c>
      <c r="C18" s="13">
        <v>364633</v>
      </c>
      <c r="D18" s="13">
        <v>393585</v>
      </c>
      <c r="E18" s="13">
        <v>1130048</v>
      </c>
    </row>
    <row r="19" spans="1:14" x14ac:dyDescent="0.3">
      <c r="A19" s="14" t="s">
        <v>847</v>
      </c>
      <c r="B19" s="13">
        <v>284610</v>
      </c>
      <c r="C19" s="13">
        <v>312828</v>
      </c>
      <c r="D19" s="13">
        <v>287330</v>
      </c>
      <c r="E19" s="13">
        <v>884768</v>
      </c>
    </row>
    <row r="20" spans="1:14" x14ac:dyDescent="0.3">
      <c r="A20" s="14" t="s">
        <v>846</v>
      </c>
      <c r="B20" s="13">
        <v>411804</v>
      </c>
      <c r="C20" s="13">
        <v>314542</v>
      </c>
      <c r="D20" s="13">
        <v>285129</v>
      </c>
      <c r="E20" s="13">
        <v>1011475</v>
      </c>
      <c r="H20" s="12" t="s">
        <v>897</v>
      </c>
      <c r="I20" s="12" t="s">
        <v>895</v>
      </c>
    </row>
    <row r="21" spans="1:14" x14ac:dyDescent="0.3">
      <c r="A21" s="14" t="s">
        <v>896</v>
      </c>
      <c r="B21" s="13">
        <v>2054456</v>
      </c>
      <c r="C21" s="13">
        <v>2038673</v>
      </c>
      <c r="D21" s="13">
        <v>2089510</v>
      </c>
      <c r="E21" s="13">
        <v>6182639</v>
      </c>
      <c r="H21" s="12" t="s">
        <v>898</v>
      </c>
      <c r="I21" t="s">
        <v>899</v>
      </c>
      <c r="J21" t="s">
        <v>900</v>
      </c>
      <c r="K21" t="s">
        <v>901</v>
      </c>
      <c r="L21" t="s">
        <v>902</v>
      </c>
      <c r="M21" t="s">
        <v>903</v>
      </c>
      <c r="N21" t="s">
        <v>896</v>
      </c>
    </row>
    <row r="22" spans="1:14" x14ac:dyDescent="0.3">
      <c r="H22" s="14" t="s">
        <v>845</v>
      </c>
      <c r="I22" s="13">
        <v>43312</v>
      </c>
      <c r="J22" s="13">
        <v>251232</v>
      </c>
      <c r="K22" s="13">
        <v>172123</v>
      </c>
      <c r="L22" s="13">
        <v>386456</v>
      </c>
      <c r="M22" s="13">
        <v>233313</v>
      </c>
      <c r="N22" s="13">
        <v>1086436</v>
      </c>
    </row>
    <row r="23" spans="1:14" x14ac:dyDescent="0.3">
      <c r="H23" s="14" t="s">
        <v>842</v>
      </c>
      <c r="I23" s="13">
        <v>32387</v>
      </c>
      <c r="J23" s="13">
        <v>319819</v>
      </c>
      <c r="K23" s="13">
        <v>108219</v>
      </c>
      <c r="L23" s="13">
        <v>409025</v>
      </c>
      <c r="M23" s="13">
        <v>221724</v>
      </c>
      <c r="N23" s="13">
        <v>1091174</v>
      </c>
    </row>
    <row r="24" spans="1:14" x14ac:dyDescent="0.3">
      <c r="H24" s="14" t="s">
        <v>843</v>
      </c>
      <c r="I24" s="13">
        <v>21953</v>
      </c>
      <c r="J24" s="13">
        <v>278188</v>
      </c>
      <c r="K24" s="13">
        <v>129533</v>
      </c>
      <c r="L24" s="13">
        <v>357422</v>
      </c>
      <c r="M24" s="13">
        <v>191642</v>
      </c>
      <c r="N24" s="13">
        <v>978738</v>
      </c>
    </row>
    <row r="25" spans="1:14" x14ac:dyDescent="0.3">
      <c r="A25" s="12" t="s">
        <v>904</v>
      </c>
      <c r="B25" s="12" t="s">
        <v>895</v>
      </c>
      <c r="H25" s="14" t="s">
        <v>844</v>
      </c>
      <c r="I25" s="13">
        <v>50588</v>
      </c>
      <c r="J25" s="13">
        <v>215898</v>
      </c>
      <c r="K25" s="13">
        <v>139514</v>
      </c>
      <c r="L25" s="13">
        <v>520668</v>
      </c>
      <c r="M25" s="13">
        <v>203380</v>
      </c>
      <c r="N25" s="13">
        <v>1130048</v>
      </c>
    </row>
    <row r="26" spans="1:14" x14ac:dyDescent="0.3">
      <c r="A26" s="12" t="s">
        <v>898</v>
      </c>
      <c r="B26" t="s">
        <v>805</v>
      </c>
      <c r="C26" t="s">
        <v>807</v>
      </c>
      <c r="D26" t="s">
        <v>806</v>
      </c>
      <c r="E26" t="s">
        <v>896</v>
      </c>
      <c r="H26" s="14" t="s">
        <v>847</v>
      </c>
      <c r="I26" s="13">
        <v>42866</v>
      </c>
      <c r="J26" s="13">
        <v>289943</v>
      </c>
      <c r="K26" s="13">
        <v>136533</v>
      </c>
      <c r="L26" s="13">
        <v>282326</v>
      </c>
      <c r="M26" s="13">
        <v>133100</v>
      </c>
      <c r="N26" s="13">
        <v>884768</v>
      </c>
    </row>
    <row r="27" spans="1:14" x14ac:dyDescent="0.3">
      <c r="A27" s="14" t="s">
        <v>845</v>
      </c>
      <c r="B27" s="13">
        <v>547</v>
      </c>
      <c r="C27" s="13">
        <v>887</v>
      </c>
      <c r="D27" s="13">
        <v>885</v>
      </c>
      <c r="E27" s="13">
        <v>2319</v>
      </c>
      <c r="H27" s="14" t="s">
        <v>846</v>
      </c>
      <c r="I27" s="13">
        <v>24499</v>
      </c>
      <c r="J27" s="13">
        <v>320118</v>
      </c>
      <c r="K27" s="13">
        <v>138105</v>
      </c>
      <c r="L27" s="13">
        <v>321390</v>
      </c>
      <c r="M27" s="13">
        <v>207363</v>
      </c>
      <c r="N27" s="13">
        <v>1011475</v>
      </c>
    </row>
    <row r="28" spans="1:14" x14ac:dyDescent="0.3">
      <c r="A28" s="14" t="s">
        <v>842</v>
      </c>
      <c r="B28" s="13">
        <v>813</v>
      </c>
      <c r="C28" s="13">
        <v>678</v>
      </c>
      <c r="D28" s="13">
        <v>654</v>
      </c>
      <c r="E28" s="13">
        <v>2145</v>
      </c>
      <c r="H28" s="14" t="s">
        <v>896</v>
      </c>
      <c r="I28" s="13">
        <v>215605</v>
      </c>
      <c r="J28" s="13">
        <v>1675198</v>
      </c>
      <c r="K28" s="13">
        <v>824027</v>
      </c>
      <c r="L28" s="13">
        <v>2277287</v>
      </c>
      <c r="M28" s="13">
        <v>1190522</v>
      </c>
      <c r="N28" s="13">
        <v>6182639</v>
      </c>
    </row>
    <row r="29" spans="1:14" x14ac:dyDescent="0.3">
      <c r="A29" s="14" t="s">
        <v>843</v>
      </c>
      <c r="B29" s="13">
        <v>589</v>
      </c>
      <c r="C29" s="13">
        <v>534</v>
      </c>
      <c r="D29" s="13">
        <v>697</v>
      </c>
      <c r="E29" s="13">
        <v>1820</v>
      </c>
    </row>
    <row r="30" spans="1:14" x14ac:dyDescent="0.3">
      <c r="A30" s="14" t="s">
        <v>844</v>
      </c>
      <c r="B30" s="13">
        <v>760</v>
      </c>
      <c r="C30" s="13">
        <v>939</v>
      </c>
      <c r="D30" s="13">
        <v>780</v>
      </c>
      <c r="E30" s="13">
        <v>2479</v>
      </c>
    </row>
    <row r="31" spans="1:14" x14ac:dyDescent="0.3">
      <c r="A31" s="14" t="s">
        <v>847</v>
      </c>
      <c r="B31" s="13">
        <v>693</v>
      </c>
      <c r="C31" s="13">
        <v>776</v>
      </c>
      <c r="D31" s="13">
        <v>572</v>
      </c>
      <c r="E31" s="13">
        <v>2041</v>
      </c>
      <c r="I31" s="12" t="s">
        <v>898</v>
      </c>
      <c r="J31" t="s">
        <v>897</v>
      </c>
    </row>
    <row r="32" spans="1:14" x14ac:dyDescent="0.3">
      <c r="A32" s="14" t="s">
        <v>846</v>
      </c>
      <c r="B32" s="13">
        <v>856</v>
      </c>
      <c r="C32" s="13">
        <v>627</v>
      </c>
      <c r="D32" s="13">
        <v>458</v>
      </c>
      <c r="E32" s="13">
        <v>1941</v>
      </c>
      <c r="I32" s="14" t="s">
        <v>805</v>
      </c>
      <c r="J32" s="13">
        <v>2054456</v>
      </c>
    </row>
    <row r="33" spans="1:10" x14ac:dyDescent="0.3">
      <c r="A33" s="14" t="s">
        <v>896</v>
      </c>
      <c r="B33" s="13">
        <v>4258</v>
      </c>
      <c r="C33" s="13">
        <v>4441</v>
      </c>
      <c r="D33" s="13">
        <v>4046</v>
      </c>
      <c r="E33" s="13">
        <v>12745</v>
      </c>
      <c r="I33" s="14" t="s">
        <v>807</v>
      </c>
      <c r="J33" s="13">
        <v>2038673</v>
      </c>
    </row>
    <row r="34" spans="1:10" x14ac:dyDescent="0.3">
      <c r="I34" s="14" t="s">
        <v>806</v>
      </c>
      <c r="J34" s="13">
        <v>2089510</v>
      </c>
    </row>
    <row r="35" spans="1:10" x14ac:dyDescent="0.3">
      <c r="I35" s="14" t="s">
        <v>896</v>
      </c>
      <c r="J35" s="13">
        <v>6182639</v>
      </c>
    </row>
    <row r="36" spans="1:10" x14ac:dyDescent="0.3">
      <c r="A36" s="12" t="s">
        <v>897</v>
      </c>
      <c r="B36" s="12" t="s">
        <v>895</v>
      </c>
    </row>
    <row r="37" spans="1:10" x14ac:dyDescent="0.3">
      <c r="A37" s="12" t="s">
        <v>898</v>
      </c>
      <c r="B37" t="s">
        <v>854</v>
      </c>
      <c r="C37" t="s">
        <v>853</v>
      </c>
      <c r="D37" t="s">
        <v>851</v>
      </c>
      <c r="E37" t="s">
        <v>852</v>
      </c>
      <c r="F37" t="s">
        <v>850</v>
      </c>
      <c r="G37" t="s">
        <v>896</v>
      </c>
    </row>
    <row r="38" spans="1:10" x14ac:dyDescent="0.3">
      <c r="A38" s="14" t="s">
        <v>845</v>
      </c>
      <c r="B38" s="13">
        <v>199548</v>
      </c>
      <c r="C38" s="13">
        <v>245405</v>
      </c>
      <c r="D38" s="13">
        <v>207853</v>
      </c>
      <c r="E38" s="13">
        <v>207959</v>
      </c>
      <c r="F38" s="13">
        <v>225671</v>
      </c>
      <c r="G38" s="13">
        <v>1086436</v>
      </c>
      <c r="I38" s="12" t="s">
        <v>898</v>
      </c>
      <c r="J38" t="s">
        <v>897</v>
      </c>
    </row>
    <row r="39" spans="1:10" x14ac:dyDescent="0.3">
      <c r="A39" s="14" t="s">
        <v>842</v>
      </c>
      <c r="B39" s="13">
        <v>249028</v>
      </c>
      <c r="C39" s="13">
        <v>202495</v>
      </c>
      <c r="D39" s="13">
        <v>213473</v>
      </c>
      <c r="E39" s="13">
        <v>189329</v>
      </c>
      <c r="F39" s="13">
        <v>236849</v>
      </c>
      <c r="G39" s="13">
        <v>1091174</v>
      </c>
      <c r="I39" s="14" t="s">
        <v>818</v>
      </c>
      <c r="J39" s="13">
        <v>384611</v>
      </c>
    </row>
    <row r="40" spans="1:10" x14ac:dyDescent="0.3">
      <c r="A40" s="14" t="s">
        <v>843</v>
      </c>
      <c r="B40" s="13">
        <v>160622</v>
      </c>
      <c r="C40" s="13">
        <v>196845</v>
      </c>
      <c r="D40" s="13">
        <v>175120</v>
      </c>
      <c r="E40" s="13">
        <v>206884</v>
      </c>
      <c r="F40" s="13">
        <v>239267</v>
      </c>
      <c r="G40" s="13">
        <v>978738</v>
      </c>
      <c r="I40" s="14" t="s">
        <v>820</v>
      </c>
      <c r="J40" s="13">
        <v>413165</v>
      </c>
    </row>
    <row r="41" spans="1:10" x14ac:dyDescent="0.3">
      <c r="A41" s="14" t="s">
        <v>844</v>
      </c>
      <c r="B41" s="13">
        <v>199036</v>
      </c>
      <c r="C41" s="13">
        <v>212694</v>
      </c>
      <c r="D41" s="13">
        <v>298681</v>
      </c>
      <c r="E41" s="13">
        <v>180554</v>
      </c>
      <c r="F41" s="13">
        <v>239083</v>
      </c>
      <c r="G41" s="13">
        <v>1130048</v>
      </c>
      <c r="I41" s="14" t="s">
        <v>814</v>
      </c>
      <c r="J41" s="13">
        <v>431964</v>
      </c>
    </row>
    <row r="42" spans="1:10" x14ac:dyDescent="0.3">
      <c r="A42" s="14" t="s">
        <v>847</v>
      </c>
      <c r="B42" s="13">
        <v>153970</v>
      </c>
      <c r="C42" s="13">
        <v>192973</v>
      </c>
      <c r="D42" s="13">
        <v>219084</v>
      </c>
      <c r="E42" s="13">
        <v>162126</v>
      </c>
      <c r="F42" s="13">
        <v>156615</v>
      </c>
      <c r="G42" s="13">
        <v>884768</v>
      </c>
      <c r="I42" s="14" t="s">
        <v>809</v>
      </c>
      <c r="J42" s="13">
        <v>565092</v>
      </c>
    </row>
    <row r="43" spans="1:10" x14ac:dyDescent="0.3">
      <c r="A43" s="14" t="s">
        <v>846</v>
      </c>
      <c r="B43" s="13">
        <v>179586</v>
      </c>
      <c r="C43" s="13">
        <v>230632</v>
      </c>
      <c r="D43" s="13">
        <v>280824</v>
      </c>
      <c r="E43" s="13">
        <v>167445</v>
      </c>
      <c r="F43" s="13">
        <v>152988</v>
      </c>
      <c r="G43" s="13">
        <v>1011475</v>
      </c>
      <c r="I43" s="14" t="s">
        <v>812</v>
      </c>
      <c r="J43" s="13">
        <v>419950</v>
      </c>
    </row>
    <row r="44" spans="1:10" x14ac:dyDescent="0.3">
      <c r="A44" s="14" t="s">
        <v>896</v>
      </c>
      <c r="B44" s="13">
        <v>1141790</v>
      </c>
      <c r="C44" s="13">
        <v>1281044</v>
      </c>
      <c r="D44" s="13">
        <v>1395035</v>
      </c>
      <c r="E44" s="13">
        <v>1114297</v>
      </c>
      <c r="F44" s="13">
        <v>1250473</v>
      </c>
      <c r="G44" s="13">
        <v>6182639</v>
      </c>
      <c r="I44" s="14" t="s">
        <v>815</v>
      </c>
      <c r="J44" s="13">
        <v>627875</v>
      </c>
    </row>
    <row r="45" spans="1:10" x14ac:dyDescent="0.3">
      <c r="I45" s="14" t="s">
        <v>817</v>
      </c>
      <c r="J45" s="13">
        <v>524755</v>
      </c>
    </row>
    <row r="46" spans="1:10" x14ac:dyDescent="0.3">
      <c r="I46" s="14" t="s">
        <v>811</v>
      </c>
      <c r="J46" s="13">
        <v>552269</v>
      </c>
    </row>
    <row r="47" spans="1:10" x14ac:dyDescent="0.3">
      <c r="I47" s="14" t="s">
        <v>819</v>
      </c>
      <c r="J47" s="13">
        <v>503055</v>
      </c>
    </row>
    <row r="48" spans="1:10" x14ac:dyDescent="0.3">
      <c r="I48" s="14" t="s">
        <v>810</v>
      </c>
      <c r="J48" s="13">
        <v>566359</v>
      </c>
    </row>
    <row r="49" spans="9:10" x14ac:dyDescent="0.3">
      <c r="I49" s="14" t="s">
        <v>816</v>
      </c>
      <c r="J49" s="13">
        <v>568367</v>
      </c>
    </row>
    <row r="50" spans="9:10" x14ac:dyDescent="0.3">
      <c r="I50" s="14" t="s">
        <v>813</v>
      </c>
      <c r="J50" s="13">
        <v>625177</v>
      </c>
    </row>
    <row r="51" spans="9:10" x14ac:dyDescent="0.3">
      <c r="I51" s="14" t="s">
        <v>896</v>
      </c>
      <c r="J51" s="13">
        <v>6182639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23F8-E54E-4831-AB79-F80305506C47}">
  <dimension ref="A1"/>
  <sheetViews>
    <sheetView topLeftCell="A60" workbookViewId="0">
      <selection activeCell="A70" sqref="A7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DAVE</dc:creator>
  <cp:lastModifiedBy>RADHIKA DAVE</cp:lastModifiedBy>
  <dcterms:created xsi:type="dcterms:W3CDTF">2025-11-25T05:08:55Z</dcterms:created>
  <dcterms:modified xsi:type="dcterms:W3CDTF">2025-12-10T06:36:34Z</dcterms:modified>
</cp:coreProperties>
</file>
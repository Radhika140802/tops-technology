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66925"/>
  <mc:AlternateContent xmlns:mc="http://schemas.openxmlformats.org/markup-compatibility/2006">
    <mc:Choice Requires="x15">
      <x15ac:absPath xmlns:x15ac="http://schemas.microsoft.com/office/spreadsheetml/2010/11/ac" url="C:\DATA ANALAYSIS\EXCEL\PROJECT\"/>
    </mc:Choice>
  </mc:AlternateContent>
  <xr:revisionPtr revIDLastSave="0" documentId="13_ncr:1_{39CDAFE5-1CD0-4A29-A88E-F26A50DB474A}" xr6:coauthVersionLast="47" xr6:coauthVersionMax="47" xr10:uidLastSave="{00000000-0000-0000-0000-000000000000}"/>
  <bookViews>
    <workbookView xWindow="-108" yWindow="-108" windowWidth="23256" windowHeight="12456" xr2:uid="{192CDCF9-33F0-416F-A156-AA73FD2A3326}"/>
  </bookViews>
  <sheets>
    <sheet name="Sales_Data" sheetId="5" r:id="rId1"/>
    <sheet name="PIVOT TABLE" sheetId="3" r:id="rId2"/>
    <sheet name="CHARTS" sheetId="11" r:id="rId3"/>
    <sheet name="Sheet1" sheetId="12" r:id="rId4"/>
  </sheets>
  <definedNames>
    <definedName name="ExternalData_1" localSheetId="0" hidden="1">Sales_Data!$A$1:$N$1195</definedName>
    <definedName name="Slicer_Category">#N/A</definedName>
    <definedName name="Slicer_MEMBERSHIP">#N/A</definedName>
    <definedName name="Slicer_Order_Date">#N/A</definedName>
    <definedName name="Slicer_State">#N/A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4" i="11" l="1"/>
  <c r="C4" i="11"/>
  <c r="C112" i="3"/>
  <c r="C111" i="3"/>
  <c r="A4" i="11"/>
  <c r="C113" i="3" l="1"/>
  <c r="G4" i="1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172801D-1372-4F0A-B927-959A893BF1A2}" keepAlive="1" name="Query - Sales_Data" description="Connection to the 'Sales_Data' query in the workbook." type="5" refreshedVersion="8" background="1" saveData="1">
    <dbPr connection="Provider=Microsoft.Mashup.OleDb.1;Data Source=$Workbook$;Location=Sales_Data;Extended Properties=&quot;&quot;" command="SELECT * FROM [Sales_Data]"/>
  </connection>
</connections>
</file>

<file path=xl/sharedStrings.xml><?xml version="1.0" encoding="utf-8"?>
<sst xmlns="http://schemas.openxmlformats.org/spreadsheetml/2006/main" count="10811" uniqueCount="1538">
  <si>
    <t>Order Date</t>
  </si>
  <si>
    <t>CustomerName</t>
  </si>
  <si>
    <t>David Padilla</t>
  </si>
  <si>
    <t>Connor Morgan</t>
  </si>
  <si>
    <t>Robert Stone</t>
  </si>
  <si>
    <t>John Fields</t>
  </si>
  <si>
    <t>Clayton Smith</t>
  </si>
  <si>
    <t>Richard Kelley</t>
  </si>
  <si>
    <t>Jacqueline Hubbard</t>
  </si>
  <si>
    <t>Jessica Anderson</t>
  </si>
  <si>
    <t>Mary Taylor</t>
  </si>
  <si>
    <t>Walter Crawford</t>
  </si>
  <si>
    <t>Lawrence Robinson</t>
  </si>
  <si>
    <t>Douglas Pennington</t>
  </si>
  <si>
    <t>Ricardo Andrews</t>
  </si>
  <si>
    <t>Paul Raymond</t>
  </si>
  <si>
    <t>Karen Johnson</t>
  </si>
  <si>
    <t>Juan Erickson</t>
  </si>
  <si>
    <t>Alexander Reed</t>
  </si>
  <si>
    <t>Jacqueline Harris</t>
  </si>
  <si>
    <t>Tyler Park</t>
  </si>
  <si>
    <t>Richard Wolfe</t>
  </si>
  <si>
    <t>Sierra Rios</t>
  </si>
  <si>
    <t>Jessica Richardson</t>
  </si>
  <si>
    <t>Kimberly Warren</t>
  </si>
  <si>
    <t>Casey Garcia</t>
  </si>
  <si>
    <t>Denise Hampton</t>
  </si>
  <si>
    <t>Justin Rodriguez</t>
  </si>
  <si>
    <t>Ms. Emily Baxter</t>
  </si>
  <si>
    <t>Austin White</t>
  </si>
  <si>
    <t>Morgan Montes</t>
  </si>
  <si>
    <t>Christine Mosley</t>
  </si>
  <si>
    <t>Ashley Rodriguez</t>
  </si>
  <si>
    <t>Elizabeth King</t>
  </si>
  <si>
    <t>Connie Holmes</t>
  </si>
  <si>
    <t>Melissa Peck</t>
  </si>
  <si>
    <t>David Smith</t>
  </si>
  <si>
    <t>Heather Jenkins</t>
  </si>
  <si>
    <t>Kelsey Castaneda</t>
  </si>
  <si>
    <t>Katherine Harris</t>
  </si>
  <si>
    <t>Paul Rogers</t>
  </si>
  <si>
    <t>Jon Banks</t>
  </si>
  <si>
    <t>Michelle Williams</t>
  </si>
  <si>
    <t>Andrew Allen</t>
  </si>
  <si>
    <t>Vanessa Bauer</t>
  </si>
  <si>
    <t>Sean Smith</t>
  </si>
  <si>
    <t>Shelly Sweeney</t>
  </si>
  <si>
    <t>Emily Gill</t>
  </si>
  <si>
    <t>Brian Patrick</t>
  </si>
  <si>
    <t>Dr. Sarah Booth</t>
  </si>
  <si>
    <t>Douglas Mcfarland</t>
  </si>
  <si>
    <t>Kayla Ross</t>
  </si>
  <si>
    <t>Marc Strickland</t>
  </si>
  <si>
    <t>Charlene Brown</t>
  </si>
  <si>
    <t>Charles Smith</t>
  </si>
  <si>
    <t>Karen Townsend</t>
  </si>
  <si>
    <t>Steven Cox</t>
  </si>
  <si>
    <t>Cynthia Rodriguez</t>
  </si>
  <si>
    <t>Jessica Baker</t>
  </si>
  <si>
    <t>Mark Blackburn</t>
  </si>
  <si>
    <t>Zachary Perez</t>
  </si>
  <si>
    <t>Brian Green</t>
  </si>
  <si>
    <t>Becky Leach</t>
  </si>
  <si>
    <t>Bryan Russell</t>
  </si>
  <si>
    <t>Tony Maddox</t>
  </si>
  <si>
    <t>Jason Randolph</t>
  </si>
  <si>
    <t>Laura Andrews</t>
  </si>
  <si>
    <t>Mrs. Stephanie Hooper</t>
  </si>
  <si>
    <t>Anthony Evans</t>
  </si>
  <si>
    <t>Patrick Williams</t>
  </si>
  <si>
    <t>Susan Burke</t>
  </si>
  <si>
    <t>Brent Hernandez</t>
  </si>
  <si>
    <t>Sean Elliott</t>
  </si>
  <si>
    <t>Wanda West</t>
  </si>
  <si>
    <t>Renee Solomon</t>
  </si>
  <si>
    <t>Daryl Miles</t>
  </si>
  <si>
    <t>Michael Hunt</t>
  </si>
  <si>
    <t>Adam Clark</t>
  </si>
  <si>
    <t>Amy Olsen</t>
  </si>
  <si>
    <t>Stacey Miller</t>
  </si>
  <si>
    <t>Daniel Mosley</t>
  </si>
  <si>
    <t>Monica Gibson</t>
  </si>
  <si>
    <t>Christopher Jordan</t>
  </si>
  <si>
    <t>Christina Davis</t>
  </si>
  <si>
    <t>Claudia Curry</t>
  </si>
  <si>
    <t>Brandon Anderson</t>
  </si>
  <si>
    <t>George Foster</t>
  </si>
  <si>
    <t>Nicholas Anderson</t>
  </si>
  <si>
    <t>Emily Ellison</t>
  </si>
  <si>
    <t>Darren Perez</t>
  </si>
  <si>
    <t>Michelle Hunter</t>
  </si>
  <si>
    <t>Janet Guerrero</t>
  </si>
  <si>
    <t>Jeffrey Kline</t>
  </si>
  <si>
    <t>Ryan Bullock</t>
  </si>
  <si>
    <t>Tom Lawson</t>
  </si>
  <si>
    <t>Rebecca Smith</t>
  </si>
  <si>
    <t>William Welch</t>
  </si>
  <si>
    <t>Mr. Curtis Bailey</t>
  </si>
  <si>
    <t>Janet Carlson</t>
  </si>
  <si>
    <t>Spencer Spears</t>
  </si>
  <si>
    <t>Jeffrey Middleton</t>
  </si>
  <si>
    <t>Veronica Kelley</t>
  </si>
  <si>
    <t>Leslie Bean</t>
  </si>
  <si>
    <t>Amy Wilson</t>
  </si>
  <si>
    <t>Susan Ramirez</t>
  </si>
  <si>
    <t>Jacob Meyer</t>
  </si>
  <si>
    <t>Scott Lewis</t>
  </si>
  <si>
    <t>Eric Griffith</t>
  </si>
  <si>
    <t>Anna Ferguson</t>
  </si>
  <si>
    <t>David Figueroa</t>
  </si>
  <si>
    <t>Theresa Medina</t>
  </si>
  <si>
    <t>Mary Smith</t>
  </si>
  <si>
    <t>Lance Cain</t>
  </si>
  <si>
    <t>Alexandra Moran</t>
  </si>
  <si>
    <t>Sara Castro</t>
  </si>
  <si>
    <t>Shawn Leach</t>
  </si>
  <si>
    <t>Mark Boyle</t>
  </si>
  <si>
    <t>John Stevens</t>
  </si>
  <si>
    <t>Lisa Graham</t>
  </si>
  <si>
    <t>Nancy Jones</t>
  </si>
  <si>
    <t>Darryl Robbins</t>
  </si>
  <si>
    <t>Kimberly Smith</t>
  </si>
  <si>
    <t>Maria Thomas</t>
  </si>
  <si>
    <t>Nicholas Johnson</t>
  </si>
  <si>
    <t>Dawn Howard</t>
  </si>
  <si>
    <t>Jennifer Marshall</t>
  </si>
  <si>
    <t>Frank Garcia</t>
  </si>
  <si>
    <t>Terri Madden</t>
  </si>
  <si>
    <t>James Gutierrez</t>
  </si>
  <si>
    <t>Morgan Sellers</t>
  </si>
  <si>
    <t>Caitlin Thomas</t>
  </si>
  <si>
    <t>Kimberly Greene</t>
  </si>
  <si>
    <t>Tammy Anthony</t>
  </si>
  <si>
    <t>Jennifer Chase</t>
  </si>
  <si>
    <t>Cassandra Farley</t>
  </si>
  <si>
    <t>Justin Vasquez</t>
  </si>
  <si>
    <t>Melissa Morales</t>
  </si>
  <si>
    <t>Tyler Thompson</t>
  </si>
  <si>
    <t>Heidi Davis</t>
  </si>
  <si>
    <t>Charles Lane</t>
  </si>
  <si>
    <t>Joyce Good MD</t>
  </si>
  <si>
    <t>Maria Miller</t>
  </si>
  <si>
    <t>Terry Mcdaniel</t>
  </si>
  <si>
    <t>Lisa Jacobs</t>
  </si>
  <si>
    <t>Jeff Duncan</t>
  </si>
  <si>
    <t>Pamela Jones</t>
  </si>
  <si>
    <t>Renee Robinson</t>
  </si>
  <si>
    <t>Jessica Kidd</t>
  </si>
  <si>
    <t>Nicholas Martin</t>
  </si>
  <si>
    <t>David Brown</t>
  </si>
  <si>
    <t>Amber Moore</t>
  </si>
  <si>
    <t>James Williams</t>
  </si>
  <si>
    <t>Karina Barr</t>
  </si>
  <si>
    <t>Meghan Rush</t>
  </si>
  <si>
    <t>Bianca Brown</t>
  </si>
  <si>
    <t>Timothy Jensen</t>
  </si>
  <si>
    <t>Melinda Montoya</t>
  </si>
  <si>
    <t>Tammy Bell</t>
  </si>
  <si>
    <t>Connie Richards</t>
  </si>
  <si>
    <t>Peter Ward</t>
  </si>
  <si>
    <t>Jonathan Alvarez</t>
  </si>
  <si>
    <t>Becky Hodges</t>
  </si>
  <si>
    <t>Larry Hill</t>
  </si>
  <si>
    <t>Amber Moon</t>
  </si>
  <si>
    <t>Cynthia Wilcox</t>
  </si>
  <si>
    <t>Rebecca Wright</t>
  </si>
  <si>
    <t>Sarah Flores</t>
  </si>
  <si>
    <t>Carol Norman</t>
  </si>
  <si>
    <t>Stephanie Gardner</t>
  </si>
  <si>
    <t>Philip Baker</t>
  </si>
  <si>
    <t>Randall Dennis</t>
  </si>
  <si>
    <t>Suzanne Cross</t>
  </si>
  <si>
    <t>Jasmine Delgado</t>
  </si>
  <si>
    <t>Kristen Harper</t>
  </si>
  <si>
    <t>Kaitlyn Graham MD</t>
  </si>
  <si>
    <t>Dean Avila</t>
  </si>
  <si>
    <t>Megan Mack</t>
  </si>
  <si>
    <t>Heather Johnson</t>
  </si>
  <si>
    <t>Tina Davies</t>
  </si>
  <si>
    <t>Matthew Harris</t>
  </si>
  <si>
    <t>Christopher Kirk</t>
  </si>
  <si>
    <t>Eric Stevens</t>
  </si>
  <si>
    <t>James Dickerson</t>
  </si>
  <si>
    <t>James Jones</t>
  </si>
  <si>
    <t>Hannah Hendricks</t>
  </si>
  <si>
    <t>Brett Mullins</t>
  </si>
  <si>
    <t>Ms. Kim Jordan</t>
  </si>
  <si>
    <t>Marcus Santiago</t>
  </si>
  <si>
    <t>Jill Perez</t>
  </si>
  <si>
    <t>Courtney Williams</t>
  </si>
  <si>
    <t>Jordan Hahn</t>
  </si>
  <si>
    <t>William Cook</t>
  </si>
  <si>
    <t>Stephanie Hayes</t>
  </si>
  <si>
    <t>Melissa Wise</t>
  </si>
  <si>
    <t>Elizabeth Gonzalez</t>
  </si>
  <si>
    <t>Mr. Eric Lopez</t>
  </si>
  <si>
    <t>Benjamin Higgins</t>
  </si>
  <si>
    <t>Brett Sutton</t>
  </si>
  <si>
    <t>Anna Blackburn</t>
  </si>
  <si>
    <t>Michelle Bailey</t>
  </si>
  <si>
    <t>Sara Peterson</t>
  </si>
  <si>
    <t>Katherine Williams</t>
  </si>
  <si>
    <t>Cory Evans</t>
  </si>
  <si>
    <t>Michael Rodriguez</t>
  </si>
  <si>
    <t>John Munoz</t>
  </si>
  <si>
    <t>David Clark</t>
  </si>
  <si>
    <t>April Welch</t>
  </si>
  <si>
    <t>Alan Livingston</t>
  </si>
  <si>
    <t>Angela Jackson</t>
  </si>
  <si>
    <t>Amy Williams</t>
  </si>
  <si>
    <t>Laura Jordan</t>
  </si>
  <si>
    <t>Richard Maynard</t>
  </si>
  <si>
    <t>Lawrence Oliver</t>
  </si>
  <si>
    <t>Anthony Williams</t>
  </si>
  <si>
    <t>Lynn Matthews</t>
  </si>
  <si>
    <t>Andrew Griffin</t>
  </si>
  <si>
    <t>Megan Williams</t>
  </si>
  <si>
    <t>Alison Martin</t>
  </si>
  <si>
    <t>Samuel Wallace</t>
  </si>
  <si>
    <t>Manuel Stark</t>
  </si>
  <si>
    <t>William Villarreal</t>
  </si>
  <si>
    <t>Brandon Kirk</t>
  </si>
  <si>
    <t>Abigail Brown</t>
  </si>
  <si>
    <t>Kristine Carter</t>
  </si>
  <si>
    <t>Wesley Deleon</t>
  </si>
  <si>
    <t>Laura Cole</t>
  </si>
  <si>
    <t>Lauren Harris</t>
  </si>
  <si>
    <t>Cameron Miller</t>
  </si>
  <si>
    <t>Jacob Carpenter</t>
  </si>
  <si>
    <t>Pamela Callahan DVM</t>
  </si>
  <si>
    <t>William Ruiz</t>
  </si>
  <si>
    <t>Paula Marshall</t>
  </si>
  <si>
    <t>Natalie Cox</t>
  </si>
  <si>
    <t>Andrew Fernandez</t>
  </si>
  <si>
    <t>Alisha Saunders</t>
  </si>
  <si>
    <t>Travis Chandler DDS</t>
  </si>
  <si>
    <t>Russell Austin</t>
  </si>
  <si>
    <t>Collin Cameron</t>
  </si>
  <si>
    <t>Elizabeth Hernandez</t>
  </si>
  <si>
    <t>William Russell</t>
  </si>
  <si>
    <t>Sheri Berg</t>
  </si>
  <si>
    <t>Anthony Barnett</t>
  </si>
  <si>
    <t>Kaitlyn Flores</t>
  </si>
  <si>
    <t>Rebecca Owen</t>
  </si>
  <si>
    <t>Michael Bell</t>
  </si>
  <si>
    <t>Willie Huynh</t>
  </si>
  <si>
    <t>Samuel Hayes</t>
  </si>
  <si>
    <t>Sherry Tran</t>
  </si>
  <si>
    <t>Heather Gray</t>
  </si>
  <si>
    <t>Benjamin Meadows</t>
  </si>
  <si>
    <t>Micheal Graham</t>
  </si>
  <si>
    <t>Jean Jackson</t>
  </si>
  <si>
    <t>Timothy Murphy</t>
  </si>
  <si>
    <t>Mrs. Jennifer Lewis</t>
  </si>
  <si>
    <t>Bryan Brown</t>
  </si>
  <si>
    <t>Christopher Johnson</t>
  </si>
  <si>
    <t>Christina Conner</t>
  </si>
  <si>
    <t>Luis Luna</t>
  </si>
  <si>
    <t>Julie Chavez</t>
  </si>
  <si>
    <t>Richard Blair</t>
  </si>
  <si>
    <t>Mitchell Lester</t>
  </si>
  <si>
    <t>Mr. John Tyler PhD</t>
  </si>
  <si>
    <t>Juan Kelly</t>
  </si>
  <si>
    <t>Morgan Mccarthy</t>
  </si>
  <si>
    <t>Morgan Sullivan</t>
  </si>
  <si>
    <t>Eric Clark</t>
  </si>
  <si>
    <t>Mark Padilla</t>
  </si>
  <si>
    <t>Anthony Lane</t>
  </si>
  <si>
    <t>Jeffrey Henderson</t>
  </si>
  <si>
    <t>Michelle Hardy</t>
  </si>
  <si>
    <t>Ms. Barbara Cervantes</t>
  </si>
  <si>
    <t>Steven Proctor</t>
  </si>
  <si>
    <t>Shannon Patterson</t>
  </si>
  <si>
    <t>William Valdez</t>
  </si>
  <si>
    <t>Laura Yu</t>
  </si>
  <si>
    <t>Jonathan Mcmillan</t>
  </si>
  <si>
    <t>Austin Davis</t>
  </si>
  <si>
    <t>Mark Roy</t>
  </si>
  <si>
    <t>Jillian Williams</t>
  </si>
  <si>
    <t>Rebekah Carter</t>
  </si>
  <si>
    <t>Jonathan Reed</t>
  </si>
  <si>
    <t>Roger Harris</t>
  </si>
  <si>
    <t>Louis Jimenez</t>
  </si>
  <si>
    <t>Jessica Jones</t>
  </si>
  <si>
    <t>Renee Gomez</t>
  </si>
  <si>
    <t>Connie Olson</t>
  </si>
  <si>
    <t>Christian Jones</t>
  </si>
  <si>
    <t>Matthew Kelley</t>
  </si>
  <si>
    <t>Candace Martinez</t>
  </si>
  <si>
    <t>Jacob Mann</t>
  </si>
  <si>
    <t>Keith Reese</t>
  </si>
  <si>
    <t>Aaron Jones</t>
  </si>
  <si>
    <t>Christopher Brooks</t>
  </si>
  <si>
    <t>Charles Moore</t>
  </si>
  <si>
    <t>Manuel Walls</t>
  </si>
  <si>
    <t>Darren Moore</t>
  </si>
  <si>
    <t>Stephanie Thomas</t>
  </si>
  <si>
    <t>Kristy Hernandez</t>
  </si>
  <si>
    <t>Randy Johnson</t>
  </si>
  <si>
    <t>James Benitez</t>
  </si>
  <si>
    <t>Donald York</t>
  </si>
  <si>
    <t>Tiffany Parker</t>
  </si>
  <si>
    <t>Melissa Mcknight</t>
  </si>
  <si>
    <t>Mr. Jack Mercado</t>
  </si>
  <si>
    <t>Rachel Fisher</t>
  </si>
  <si>
    <t>Donald Moore</t>
  </si>
  <si>
    <t>William Wu</t>
  </si>
  <si>
    <t>Jesus Zuniga</t>
  </si>
  <si>
    <t>Michael Gallegos</t>
  </si>
  <si>
    <t>Robert Daniels</t>
  </si>
  <si>
    <t>Jill Jones</t>
  </si>
  <si>
    <t>Elizabeth Miller</t>
  </si>
  <si>
    <t>Sabrina Clark</t>
  </si>
  <si>
    <t>Larry Casey</t>
  </si>
  <si>
    <t>Daniel Burns</t>
  </si>
  <si>
    <t>James Tanner</t>
  </si>
  <si>
    <t>Leonard Gonzalez</t>
  </si>
  <si>
    <t>Richard Lee</t>
  </si>
  <si>
    <t>Matthew Schroeder</t>
  </si>
  <si>
    <t>Marcus Flores</t>
  </si>
  <si>
    <t>Tonya Long</t>
  </si>
  <si>
    <t>Michael Chambers</t>
  </si>
  <si>
    <t>Kaylee Glover</t>
  </si>
  <si>
    <t>Pamela Patterson</t>
  </si>
  <si>
    <t>Ronald Mckinney</t>
  </si>
  <si>
    <t>James Hart</t>
  </si>
  <si>
    <t>Rhonda Harris</t>
  </si>
  <si>
    <t>Randy Fisher</t>
  </si>
  <si>
    <t>James Hernandez</t>
  </si>
  <si>
    <t>Brenda Murphy</t>
  </si>
  <si>
    <t>Andrew Kirby</t>
  </si>
  <si>
    <t>Justin Thomas</t>
  </si>
  <si>
    <t>Jillian Johnson MD</t>
  </si>
  <si>
    <t>William Martin</t>
  </si>
  <si>
    <t>Mark Dixon</t>
  </si>
  <si>
    <t>Alicia Allen</t>
  </si>
  <si>
    <t>Cynthia Meyer</t>
  </si>
  <si>
    <t>Brandon Norton</t>
  </si>
  <si>
    <t>Christina Scott</t>
  </si>
  <si>
    <t>Andrew Macias</t>
  </si>
  <si>
    <t>Alejandro Williams</t>
  </si>
  <si>
    <t>Mark Rodriguez</t>
  </si>
  <si>
    <t>Sarah Montgomery</t>
  </si>
  <si>
    <t>Marisa Prince</t>
  </si>
  <si>
    <t>James Bonilla</t>
  </si>
  <si>
    <t>Robin Myers</t>
  </si>
  <si>
    <t>Nancy Sanchez</t>
  </si>
  <si>
    <t>Sydney Walls</t>
  </si>
  <si>
    <t>Deborah Hoffman</t>
  </si>
  <si>
    <t>Shane Clark</t>
  </si>
  <si>
    <t>Steven Haynes</t>
  </si>
  <si>
    <t>Kimberly Fuller</t>
  </si>
  <si>
    <t>Angela Lyons</t>
  </si>
  <si>
    <t>Betty Tucker</t>
  </si>
  <si>
    <t>Brianna Hunt</t>
  </si>
  <si>
    <t>Cathy Clark</t>
  </si>
  <si>
    <t>Nicole Warren</t>
  </si>
  <si>
    <t>Richard Castaneda</t>
  </si>
  <si>
    <t>Sarah Torres</t>
  </si>
  <si>
    <t>Vanessa Deleon</t>
  </si>
  <si>
    <t>Richard Lyons</t>
  </si>
  <si>
    <t>Eric Adams</t>
  </si>
  <si>
    <t>Chad Brown</t>
  </si>
  <si>
    <t>Kayla Becker</t>
  </si>
  <si>
    <t>Ashley Freeman</t>
  </si>
  <si>
    <t>Scott Harris</t>
  </si>
  <si>
    <t>John James</t>
  </si>
  <si>
    <t>Jesse Bond</t>
  </si>
  <si>
    <t>Brandon Hughes</t>
  </si>
  <si>
    <t>Lynn Reynolds</t>
  </si>
  <si>
    <t>Ronald Good</t>
  </si>
  <si>
    <t>Kyle Baker</t>
  </si>
  <si>
    <t>Michael Rivera</t>
  </si>
  <si>
    <t>Lori Adkins</t>
  </si>
  <si>
    <t>Luis Warner</t>
  </si>
  <si>
    <t>Donald Perry</t>
  </si>
  <si>
    <t>Adam Stevens</t>
  </si>
  <si>
    <t>Kimberly Johnson</t>
  </si>
  <si>
    <t>Kelly Jones</t>
  </si>
  <si>
    <t>Ashley Petty</t>
  </si>
  <si>
    <t>Crystal Ross</t>
  </si>
  <si>
    <t>Alexis Duffy</t>
  </si>
  <si>
    <t>Stephanie Sanchez</t>
  </si>
  <si>
    <t>Reginald Espinoza</t>
  </si>
  <si>
    <t>Sandra Hicks</t>
  </si>
  <si>
    <t>Olivia Orozco</t>
  </si>
  <si>
    <t>Larry Moore</t>
  </si>
  <si>
    <t>Mrs. Rachel Cannon DDS</t>
  </si>
  <si>
    <t>Daniel Flowers</t>
  </si>
  <si>
    <t>Randy Acosta</t>
  </si>
  <si>
    <t>Deborah Williams</t>
  </si>
  <si>
    <t>Robert Michael</t>
  </si>
  <si>
    <t>Danny Ramirez</t>
  </si>
  <si>
    <t>Stephen Baker</t>
  </si>
  <si>
    <t>Jeffrey Wilcox</t>
  </si>
  <si>
    <t>James Clarke</t>
  </si>
  <si>
    <t>Julia Gallagher</t>
  </si>
  <si>
    <t>Ronald Frey Jr.</t>
  </si>
  <si>
    <t>Megan Charles</t>
  </si>
  <si>
    <t>Amy Duran MD</t>
  </si>
  <si>
    <t>Christopher Thomas</t>
  </si>
  <si>
    <t>Peter Castro</t>
  </si>
  <si>
    <t>Steven Acosta</t>
  </si>
  <si>
    <t>Lindsay Jackson</t>
  </si>
  <si>
    <t>Kelly Smith</t>
  </si>
  <si>
    <t>Sabrina Hartman</t>
  </si>
  <si>
    <t>Cynthia Smith</t>
  </si>
  <si>
    <t>Olivia Dickerson</t>
  </si>
  <si>
    <t>Whitney Stout</t>
  </si>
  <si>
    <t>Stephanie Flores</t>
  </si>
  <si>
    <t>Gregory English</t>
  </si>
  <si>
    <t>Natalie Maxwell</t>
  </si>
  <si>
    <t>Tina Blake</t>
  </si>
  <si>
    <t>Clarence Cooke</t>
  </si>
  <si>
    <t>Tamara Guzman</t>
  </si>
  <si>
    <t>Marissa Hartman</t>
  </si>
  <si>
    <t>Sara Garcia</t>
  </si>
  <si>
    <t>Kathryn Rogers</t>
  </si>
  <si>
    <t>Kyle Dickson</t>
  </si>
  <si>
    <t>Jacob Decker</t>
  </si>
  <si>
    <t>Aaron Johnson</t>
  </si>
  <si>
    <t>William Morse</t>
  </si>
  <si>
    <t>Carrie Smith</t>
  </si>
  <si>
    <t>Vincent Roth</t>
  </si>
  <si>
    <t>Andrew Benson</t>
  </si>
  <si>
    <t>Jason Wilson</t>
  </si>
  <si>
    <t>Colin Patterson</t>
  </si>
  <si>
    <t>Eric Bates</t>
  </si>
  <si>
    <t>Steven Keith</t>
  </si>
  <si>
    <t>Seth Rodriguez</t>
  </si>
  <si>
    <t>Lauren Jones</t>
  </si>
  <si>
    <t>Thomas Wallace</t>
  </si>
  <si>
    <t>Mr. Daniel Wilson</t>
  </si>
  <si>
    <t>Julie Smith MD</t>
  </si>
  <si>
    <t>Carol Mitchell</t>
  </si>
  <si>
    <t>John Thompson</t>
  </si>
  <si>
    <t>Debra Rodriguez</t>
  </si>
  <si>
    <t>Erin Vasquez</t>
  </si>
  <si>
    <t>Clayton Lara</t>
  </si>
  <si>
    <t>Tony Ray</t>
  </si>
  <si>
    <t>Steven Frey</t>
  </si>
  <si>
    <t>Stephanie Leonard</t>
  </si>
  <si>
    <t>Crystal Chambers</t>
  </si>
  <si>
    <t>Robert White</t>
  </si>
  <si>
    <t>Sylvia Barron</t>
  </si>
  <si>
    <t>Marcus Brown</t>
  </si>
  <si>
    <t>Annette Pierce</t>
  </si>
  <si>
    <t>Donald Hernandez</t>
  </si>
  <si>
    <t>Megan Davis</t>
  </si>
  <si>
    <t>Robert Brooks</t>
  </si>
  <si>
    <t>Miguel Alvarez</t>
  </si>
  <si>
    <t>Jennifer Arnold</t>
  </si>
  <si>
    <t>Jessica Blankenship</t>
  </si>
  <si>
    <t>Peggy Campos</t>
  </si>
  <si>
    <t>Craig Ortega</t>
  </si>
  <si>
    <t>Johnny Simon</t>
  </si>
  <si>
    <t>Keith Brooks</t>
  </si>
  <si>
    <t>Jason Martinez</t>
  </si>
  <si>
    <t>Steven Herrera</t>
  </si>
  <si>
    <t>Beverly Lamb</t>
  </si>
  <si>
    <t>Michael Williams</t>
  </si>
  <si>
    <t>Zachary Carpenter</t>
  </si>
  <si>
    <t>Timothy Baker</t>
  </si>
  <si>
    <t>Adam James</t>
  </si>
  <si>
    <t>Katrina Wood</t>
  </si>
  <si>
    <t>James Murray</t>
  </si>
  <si>
    <t>Mr. Nathaniel Reeves</t>
  </si>
  <si>
    <t>Jodi Wood</t>
  </si>
  <si>
    <t>Dr. Thomas Peterson</t>
  </si>
  <si>
    <t>Mario Hall</t>
  </si>
  <si>
    <t>Justin Rosales</t>
  </si>
  <si>
    <t>Autumn Lee</t>
  </si>
  <si>
    <t>Victoria Duran</t>
  </si>
  <si>
    <t>Barry Garcia</t>
  </si>
  <si>
    <t>Dawn Webb</t>
  </si>
  <si>
    <t>Patricia Sanford</t>
  </si>
  <si>
    <t>William Walters</t>
  </si>
  <si>
    <t>Emma Scott</t>
  </si>
  <si>
    <t>Sabrina Buckley</t>
  </si>
  <si>
    <t>Robert Rojas</t>
  </si>
  <si>
    <t>Eric Johnson</t>
  </si>
  <si>
    <t>Heather Parker</t>
  </si>
  <si>
    <t>Thomas Matthews</t>
  </si>
  <si>
    <t>Kimberly Beard</t>
  </si>
  <si>
    <t>Lydia Donovan</t>
  </si>
  <si>
    <t>Edward Johnson</t>
  </si>
  <si>
    <t>Ricky Smith</t>
  </si>
  <si>
    <t>Mr. Ralph Garcia Jr.</t>
  </si>
  <si>
    <t>Malik Walker</t>
  </si>
  <si>
    <t>Tanya Walker</t>
  </si>
  <si>
    <t>Sherri Ferguson DVM</t>
  </si>
  <si>
    <t>Kristin Hart</t>
  </si>
  <si>
    <t>Jim Johnson</t>
  </si>
  <si>
    <t>David Hamilton</t>
  </si>
  <si>
    <t>Michael Jimenez</t>
  </si>
  <si>
    <t>Angela Norman</t>
  </si>
  <si>
    <t>Denise Mcdaniel</t>
  </si>
  <si>
    <t>Matthew Huff</t>
  </si>
  <si>
    <t>Linda Little</t>
  </si>
  <si>
    <t>Kerri Andrews</t>
  </si>
  <si>
    <t>Jeffrey Johnson III</t>
  </si>
  <si>
    <t>Daniel Dixon</t>
  </si>
  <si>
    <t>Tiffany Robinson</t>
  </si>
  <si>
    <t>Mr. Gregg Sawyer</t>
  </si>
  <si>
    <t>John Silva</t>
  </si>
  <si>
    <t>Nathan Moss</t>
  </si>
  <si>
    <t>Donald Medina</t>
  </si>
  <si>
    <t>Charles Henderson</t>
  </si>
  <si>
    <t>Brenda Davis</t>
  </si>
  <si>
    <t>Leah Calderon</t>
  </si>
  <si>
    <t>Brandi Vasquez</t>
  </si>
  <si>
    <t>Debra Richards</t>
  </si>
  <si>
    <t>Tammy Day</t>
  </si>
  <si>
    <t>Sheila Clay</t>
  </si>
  <si>
    <t>Nicholas Flores</t>
  </si>
  <si>
    <t>Jasmin Jones</t>
  </si>
  <si>
    <t>Matthew Gardner</t>
  </si>
  <si>
    <t>Joseph Perkins</t>
  </si>
  <si>
    <t>Ashley Adams MD</t>
  </si>
  <si>
    <t>Cheryl Stevens</t>
  </si>
  <si>
    <t>Jorge George</t>
  </si>
  <si>
    <t>Ann Mooney</t>
  </si>
  <si>
    <t>James Mendoza</t>
  </si>
  <si>
    <t>Kaitlin Garrison</t>
  </si>
  <si>
    <t>Jeremy Jackson</t>
  </si>
  <si>
    <t>Dale Craig</t>
  </si>
  <si>
    <t>Joseph Hooper</t>
  </si>
  <si>
    <t>Alexander Adams</t>
  </si>
  <si>
    <t>Ashlee Mills</t>
  </si>
  <si>
    <t>Brittany Jenkins</t>
  </si>
  <si>
    <t>Eddie Gonzales</t>
  </si>
  <si>
    <t>Edward Valencia</t>
  </si>
  <si>
    <t>Emma Bruce</t>
  </si>
  <si>
    <t>Carl Wade DDS</t>
  </si>
  <si>
    <t>Brandon Alvarado</t>
  </si>
  <si>
    <t>Jennifer Clark</t>
  </si>
  <si>
    <t>David Johnson</t>
  </si>
  <si>
    <t>April Marquez</t>
  </si>
  <si>
    <t>Joseph Guerrero</t>
  </si>
  <si>
    <t>Michael Hanson</t>
  </si>
  <si>
    <t>William Hill</t>
  </si>
  <si>
    <t>Kelsey Huber</t>
  </si>
  <si>
    <t>Hailey Chandler</t>
  </si>
  <si>
    <t>Cheyenne Rose</t>
  </si>
  <si>
    <t>Richard Petersen</t>
  </si>
  <si>
    <t>Kathryn Gray</t>
  </si>
  <si>
    <t>Victor Collins</t>
  </si>
  <si>
    <t>Jason Hernandez</t>
  </si>
  <si>
    <t>Jacob Torres</t>
  </si>
  <si>
    <t>Erin Hernandez</t>
  </si>
  <si>
    <t>Jacob Guzman</t>
  </si>
  <si>
    <t>Mike Armstrong</t>
  </si>
  <si>
    <t>Cindy Rowland</t>
  </si>
  <si>
    <t>Kenneth Matthews</t>
  </si>
  <si>
    <t>Susan Valdez</t>
  </si>
  <si>
    <t>Stephanie Manning</t>
  </si>
  <si>
    <t>Logan Galloway</t>
  </si>
  <si>
    <t>Christopher Stone</t>
  </si>
  <si>
    <t>Megan Pitts</t>
  </si>
  <si>
    <t>Richard Gardner</t>
  </si>
  <si>
    <t>Samuel Moore</t>
  </si>
  <si>
    <t>Robert Stokes</t>
  </si>
  <si>
    <t>Danielle Ramirez</t>
  </si>
  <si>
    <t>Taylor White</t>
  </si>
  <si>
    <t>Jordan Krause</t>
  </si>
  <si>
    <t>Kimberly King</t>
  </si>
  <si>
    <t>Sharon Russell</t>
  </si>
  <si>
    <t>Kevin Cooper</t>
  </si>
  <si>
    <t>Darrell Ramos</t>
  </si>
  <si>
    <t>Dr. Terry Alvarado</t>
  </si>
  <si>
    <t>Kathy Wilson</t>
  </si>
  <si>
    <t>Brandon Le</t>
  </si>
  <si>
    <t>Mary Wright</t>
  </si>
  <si>
    <t>Douglas Reynolds</t>
  </si>
  <si>
    <t>Leroy Harris</t>
  </si>
  <si>
    <t>Ricardo Dixon</t>
  </si>
  <si>
    <t>Debra Smith</t>
  </si>
  <si>
    <t>Jasmine James</t>
  </si>
  <si>
    <t>Felicia Morton</t>
  </si>
  <si>
    <t>Sylvia Jenkins</t>
  </si>
  <si>
    <t>Elizabeth White</t>
  </si>
  <si>
    <t>Steven Steele</t>
  </si>
  <si>
    <t>Amanda Ramirez</t>
  </si>
  <si>
    <t>Kyle Jackson</t>
  </si>
  <si>
    <t>Sharon Wilkins</t>
  </si>
  <si>
    <t>Austin Hammond</t>
  </si>
  <si>
    <t>Jessica Barajas</t>
  </si>
  <si>
    <t>Jamie Jimenez</t>
  </si>
  <si>
    <t>James Carter</t>
  </si>
  <si>
    <t>John Williams</t>
  </si>
  <si>
    <t>Alicia Oneill</t>
  </si>
  <si>
    <t>Rebecca Huff</t>
  </si>
  <si>
    <t>Diana Scott</t>
  </si>
  <si>
    <t>Brian Young</t>
  </si>
  <si>
    <t>Susan Wright</t>
  </si>
  <si>
    <t>Kayla Banks</t>
  </si>
  <si>
    <t>Zachary Pierce</t>
  </si>
  <si>
    <t>Nicolas Owen</t>
  </si>
  <si>
    <t>Martha Carney</t>
  </si>
  <si>
    <t>Francisco Hicks</t>
  </si>
  <si>
    <t>Matthew Parker</t>
  </si>
  <si>
    <t>Paul Bryant</t>
  </si>
  <si>
    <t>Bruce Dennis</t>
  </si>
  <si>
    <t>Joseph Bates</t>
  </si>
  <si>
    <t>Kelly Pacheco</t>
  </si>
  <si>
    <t>Jeffrey Weber</t>
  </si>
  <si>
    <t>Andrew Krueger</t>
  </si>
  <si>
    <t>Kathleen Cox</t>
  </si>
  <si>
    <t>Jamie Bradley</t>
  </si>
  <si>
    <t>Robert Martinez</t>
  </si>
  <si>
    <t>Christopher Rogers</t>
  </si>
  <si>
    <t>Roberto Parrish</t>
  </si>
  <si>
    <t>Amber Kennedy</t>
  </si>
  <si>
    <t>Maria Davis</t>
  </si>
  <si>
    <t>Terry Gilbert</t>
  </si>
  <si>
    <t>Devon Schmitt</t>
  </si>
  <si>
    <t>Robert Mosley</t>
  </si>
  <si>
    <t>Paul Scott</t>
  </si>
  <si>
    <t>Kristin Alvarez</t>
  </si>
  <si>
    <t>Kevin Jackson</t>
  </si>
  <si>
    <t>Mrs. Lauren Potter DDS</t>
  </si>
  <si>
    <t>Jason Brown</t>
  </si>
  <si>
    <t>Jamie Santos</t>
  </si>
  <si>
    <t>James Taylor</t>
  </si>
  <si>
    <t>Alicia Vincent</t>
  </si>
  <si>
    <t>Kenneth Adams</t>
  </si>
  <si>
    <t>Shelby Browning</t>
  </si>
  <si>
    <t>Johnny Hill</t>
  </si>
  <si>
    <t>Nicholas Tucker</t>
  </si>
  <si>
    <t>Theresa Cline</t>
  </si>
  <si>
    <t>Christine Wheeler</t>
  </si>
  <si>
    <t>Carlos Wells</t>
  </si>
  <si>
    <t>Randall Bell</t>
  </si>
  <si>
    <t>Kendra Mckinney</t>
  </si>
  <si>
    <t>Amanda Kim</t>
  </si>
  <si>
    <t>Megan Morgan</t>
  </si>
  <si>
    <t>Vincent Kramer</t>
  </si>
  <si>
    <t>Raymond Bean</t>
  </si>
  <si>
    <t>Reginald Hebert</t>
  </si>
  <si>
    <t>Jeremy Vazquez</t>
  </si>
  <si>
    <t>Michael Stewart</t>
  </si>
  <si>
    <t>Kevin Johnson</t>
  </si>
  <si>
    <t>Tara Hughes</t>
  </si>
  <si>
    <t>Sandra Perkins</t>
  </si>
  <si>
    <t>Heather Bell</t>
  </si>
  <si>
    <t>Nancy Boyd</t>
  </si>
  <si>
    <t>Raymond Reyes</t>
  </si>
  <si>
    <t>Cassandra Jordan</t>
  </si>
  <si>
    <t>Evelyn Harris</t>
  </si>
  <si>
    <t>Shannon Maynard</t>
  </si>
  <si>
    <t>Marie James</t>
  </si>
  <si>
    <t>Maria Carroll</t>
  </si>
  <si>
    <t>Jessica Sloan</t>
  </si>
  <si>
    <t>Scott Craig</t>
  </si>
  <si>
    <t>Kaitlin Brown</t>
  </si>
  <si>
    <t>William Beck</t>
  </si>
  <si>
    <t>Eric Mason</t>
  </si>
  <si>
    <t>Lisa Lowe</t>
  </si>
  <si>
    <t>Roy Miller</t>
  </si>
  <si>
    <t>Christopher Espinoza</t>
  </si>
  <si>
    <t>Claire Cole</t>
  </si>
  <si>
    <t>Eric Nunez</t>
  </si>
  <si>
    <t>David Bell</t>
  </si>
  <si>
    <t>Patrick Hensley MD</t>
  </si>
  <si>
    <t>John Cox</t>
  </si>
  <si>
    <t>Michelle Sullivan</t>
  </si>
  <si>
    <t>Angela Todd</t>
  </si>
  <si>
    <t>Luke Saunders</t>
  </si>
  <si>
    <t>Dr. Jennifer Benton DVM</t>
  </si>
  <si>
    <t>Keith Smith</t>
  </si>
  <si>
    <t>Danielle Mitchell</t>
  </si>
  <si>
    <t>Jesus Hernandez</t>
  </si>
  <si>
    <t>Jason Norman</t>
  </si>
  <si>
    <t>Laura Poole</t>
  </si>
  <si>
    <t>Sarah Wagner</t>
  </si>
  <si>
    <t>Bryan Baird</t>
  </si>
  <si>
    <t>Amy Thompson</t>
  </si>
  <si>
    <t>Ashley Wright</t>
  </si>
  <si>
    <t>Michelle Lynch</t>
  </si>
  <si>
    <t>Ryan Hale</t>
  </si>
  <si>
    <t>Marie Jefferson</t>
  </si>
  <si>
    <t>Vanessa Smith</t>
  </si>
  <si>
    <t>Ryan Foster</t>
  </si>
  <si>
    <t>David Lara</t>
  </si>
  <si>
    <t>Jonathan Young</t>
  </si>
  <si>
    <t>Debra Townsend</t>
  </si>
  <si>
    <t>John Thomas</t>
  </si>
  <si>
    <t>Bryan Anderson</t>
  </si>
  <si>
    <t>Sarah Miller</t>
  </si>
  <si>
    <t>Robert Hill</t>
  </si>
  <si>
    <t>Joshua Rojas</t>
  </si>
  <si>
    <t>Angelica Lewis</t>
  </si>
  <si>
    <t>Jessica Russell</t>
  </si>
  <si>
    <t>Mary Johnson</t>
  </si>
  <si>
    <t>Joseph Knight</t>
  </si>
  <si>
    <t>Jessica Greene</t>
  </si>
  <si>
    <t>Vincent Perez</t>
  </si>
  <si>
    <t>Dennis Rivera</t>
  </si>
  <si>
    <t>Nancy Keller</t>
  </si>
  <si>
    <t>Michelle Anderson</t>
  </si>
  <si>
    <t>Anthony May</t>
  </si>
  <si>
    <t>Michelle Guerra</t>
  </si>
  <si>
    <t>Meghan Ballard</t>
  </si>
  <si>
    <t>Brian Wheeler</t>
  </si>
  <si>
    <t>William Rosario</t>
  </si>
  <si>
    <t>Jessica Hunt</t>
  </si>
  <si>
    <t>Tony Chavez</t>
  </si>
  <si>
    <t>Mary Crawford</t>
  </si>
  <si>
    <t>Roger Morrison</t>
  </si>
  <si>
    <t>Bethany Harrison</t>
  </si>
  <si>
    <t>Lisa Mcintyre</t>
  </si>
  <si>
    <t>Carolyn Gonzalez</t>
  </si>
  <si>
    <t>Christina Oconnell</t>
  </si>
  <si>
    <t>James Garcia</t>
  </si>
  <si>
    <t>Emily Frederick</t>
  </si>
  <si>
    <t>Shawn Wise</t>
  </si>
  <si>
    <t>Carrie Alvarez</t>
  </si>
  <si>
    <t>Matthew James</t>
  </si>
  <si>
    <t>Jerry Alvarado</t>
  </si>
  <si>
    <t>Paul Zimmerman</t>
  </si>
  <si>
    <t>Carl Ryan</t>
  </si>
  <si>
    <t>Kelly Roberts</t>
  </si>
  <si>
    <t>Jack Woods</t>
  </si>
  <si>
    <t>Albert Alexander Jr.</t>
  </si>
  <si>
    <t>Teresa Perez</t>
  </si>
  <si>
    <t>Amanda Williams</t>
  </si>
  <si>
    <t>Kristen Lawson</t>
  </si>
  <si>
    <t>Jacob Stewart</t>
  </si>
  <si>
    <t>Daniel Brooks</t>
  </si>
  <si>
    <t>Aaron Dunn</t>
  </si>
  <si>
    <t>Jacob Martinez</t>
  </si>
  <si>
    <t>Raymond Burgess</t>
  </si>
  <si>
    <t>Jennifer Cooke</t>
  </si>
  <si>
    <t>Tyrone White</t>
  </si>
  <si>
    <t>Charles Williams</t>
  </si>
  <si>
    <t>Amy Page</t>
  </si>
  <si>
    <t>Scott Gibbs</t>
  </si>
  <si>
    <t>Angela Roberts</t>
  </si>
  <si>
    <t>Kyle Hernandez</t>
  </si>
  <si>
    <t>Cynthia Ferguson</t>
  </si>
  <si>
    <t>Brandi Garcia</t>
  </si>
  <si>
    <t>Matthew Blake</t>
  </si>
  <si>
    <t>Lauren Howell</t>
  </si>
  <si>
    <t>Joseph Wilson</t>
  </si>
  <si>
    <t>Tanner Vance</t>
  </si>
  <si>
    <t>Michael Nash</t>
  </si>
  <si>
    <t>Brent Thomas</t>
  </si>
  <si>
    <t>Harold Mitchell</t>
  </si>
  <si>
    <t>Ashley Palmer</t>
  </si>
  <si>
    <t>Stephen Hogan</t>
  </si>
  <si>
    <t>George Ashley</t>
  </si>
  <si>
    <t>Sara Bailey</t>
  </si>
  <si>
    <t>Tanya Thomas MD</t>
  </si>
  <si>
    <t>Maria Galvan</t>
  </si>
  <si>
    <t>Duane Kelly</t>
  </si>
  <si>
    <t>Frank Reynolds</t>
  </si>
  <si>
    <t>Aaron Kim</t>
  </si>
  <si>
    <t>David Allen</t>
  </si>
  <si>
    <t>Monica Lee</t>
  </si>
  <si>
    <t>Erica Scott</t>
  </si>
  <si>
    <t>Melissa Mitchell</t>
  </si>
  <si>
    <t>Joshua Murray</t>
  </si>
  <si>
    <t>John Jones</t>
  </si>
  <si>
    <t>Cheryl Johnson</t>
  </si>
  <si>
    <t>Lisa Farmer</t>
  </si>
  <si>
    <t>Christopher Walker</t>
  </si>
  <si>
    <t>Elizabeth Coffey</t>
  </si>
  <si>
    <t>Joseph Clark</t>
  </si>
  <si>
    <t>Jamie Brewer</t>
  </si>
  <si>
    <t>Lauren Boyer</t>
  </si>
  <si>
    <t>Howard Esparza</t>
  </si>
  <si>
    <t>James Hickman</t>
  </si>
  <si>
    <t>Jennifer Hernandez</t>
  </si>
  <si>
    <t>Shannon Warren</t>
  </si>
  <si>
    <t>Ashley Aguilar</t>
  </si>
  <si>
    <t>Daniel Price</t>
  </si>
  <si>
    <t>James Perez</t>
  </si>
  <si>
    <t>Jerry Smith</t>
  </si>
  <si>
    <t>Andre Fernandez</t>
  </si>
  <si>
    <t>Anthony West</t>
  </si>
  <si>
    <t>Amber Flowers</t>
  </si>
  <si>
    <t>Patricia Davis</t>
  </si>
  <si>
    <t>Jasmine Gibbs</t>
  </si>
  <si>
    <t>Nicole Dudley</t>
  </si>
  <si>
    <t>Lori Colon</t>
  </si>
  <si>
    <t>William Carr</t>
  </si>
  <si>
    <t>Jeffrey Dixon</t>
  </si>
  <si>
    <t>Robert Sexton</t>
  </si>
  <si>
    <t>Brooke Gonzalez</t>
  </si>
  <si>
    <t>Victoria Bryant MD</t>
  </si>
  <si>
    <t>Nancy Kennedy</t>
  </si>
  <si>
    <t>Andrew Barry</t>
  </si>
  <si>
    <t>Carlos Wheeler</t>
  </si>
  <si>
    <t>Isabella Roach</t>
  </si>
  <si>
    <t>Samantha Williams</t>
  </si>
  <si>
    <t>Samuel Little MD</t>
  </si>
  <si>
    <t>Paul Taylor</t>
  </si>
  <si>
    <t>Susan Baker</t>
  </si>
  <si>
    <t>Mark Fry</t>
  </si>
  <si>
    <t>Megan Mclean</t>
  </si>
  <si>
    <t>Caitlin Hunt</t>
  </si>
  <si>
    <t>Jenna Holland</t>
  </si>
  <si>
    <t>Stephanie Oconnell</t>
  </si>
  <si>
    <t>Andrea Hill</t>
  </si>
  <si>
    <t>Category</t>
  </si>
  <si>
    <t>Electronics</t>
  </si>
  <si>
    <t>Office Supplies</t>
  </si>
  <si>
    <t>Furniture</t>
  </si>
  <si>
    <t>Sub-Category</t>
  </si>
  <si>
    <t>Electronic Games</t>
  </si>
  <si>
    <t>Printers</t>
  </si>
  <si>
    <t>Pens</t>
  </si>
  <si>
    <t>Laptops</t>
  </si>
  <si>
    <t>Tables</t>
  </si>
  <si>
    <t>Chairs</t>
  </si>
  <si>
    <t>Markers</t>
  </si>
  <si>
    <t>Sofas</t>
  </si>
  <si>
    <t>Paper</t>
  </si>
  <si>
    <t>Binders</t>
  </si>
  <si>
    <t>Phones</t>
  </si>
  <si>
    <t>Bookcases</t>
  </si>
  <si>
    <t>Quantity</t>
  </si>
  <si>
    <t>City</t>
  </si>
  <si>
    <t>State</t>
  </si>
  <si>
    <t>Florida</t>
  </si>
  <si>
    <t>Illinois</t>
  </si>
  <si>
    <t>New York</t>
  </si>
  <si>
    <t>California</t>
  </si>
  <si>
    <t>Texas</t>
  </si>
  <si>
    <t>Ohio</t>
  </si>
  <si>
    <t>Amount</t>
  </si>
  <si>
    <t>PaymentMode</t>
  </si>
  <si>
    <t>UPI</t>
  </si>
  <si>
    <t>Debit Card</t>
  </si>
  <si>
    <t>EMI</t>
  </si>
  <si>
    <t>Credit Card</t>
  </si>
  <si>
    <t>COD</t>
  </si>
  <si>
    <t>MEMBERSHIP</t>
  </si>
  <si>
    <t>Grand Total</t>
  </si>
  <si>
    <t>Row Labels</t>
  </si>
  <si>
    <t>BASIC</t>
  </si>
  <si>
    <t>GOLD</t>
  </si>
  <si>
    <t>NORMAL</t>
  </si>
  <si>
    <t>PLATINUM</t>
  </si>
  <si>
    <t>SILEVER</t>
  </si>
  <si>
    <t>Sum of Quantity</t>
  </si>
  <si>
    <t xml:space="preserve">Month </t>
  </si>
  <si>
    <t>Year</t>
  </si>
  <si>
    <t xml:space="preserve">Revenue </t>
  </si>
  <si>
    <t>Order Types</t>
  </si>
  <si>
    <t>27-06-2023</t>
  </si>
  <si>
    <t>MIAMI</t>
  </si>
  <si>
    <t>Low Bulk</t>
  </si>
  <si>
    <t>27-12-2024</t>
  </si>
  <si>
    <t>CHICAGO</t>
  </si>
  <si>
    <t>25-07-2021</t>
  </si>
  <si>
    <t>BUFFALO</t>
  </si>
  <si>
    <t>Medium Bulk</t>
  </si>
  <si>
    <t>11-05-2024</t>
  </si>
  <si>
    <t>ORLANDO</t>
  </si>
  <si>
    <t>09-10-2021</t>
  </si>
  <si>
    <t>18-11-2022</t>
  </si>
  <si>
    <t>LOS ANGELES</t>
  </si>
  <si>
    <t>High Bulk</t>
  </si>
  <si>
    <t>12-11-2023</t>
  </si>
  <si>
    <t>NEW YORK CITY</t>
  </si>
  <si>
    <t>23-03-2020</t>
  </si>
  <si>
    <t>04-05-2020</t>
  </si>
  <si>
    <t>Normal</t>
  </si>
  <si>
    <t>09-11-2023</t>
  </si>
  <si>
    <t>SPRINGFIELD</t>
  </si>
  <si>
    <t>30-12-2024</t>
  </si>
  <si>
    <t>ROCHESTER</t>
  </si>
  <si>
    <t>11-02-2025</t>
  </si>
  <si>
    <t>DALLAS</t>
  </si>
  <si>
    <t>23-01-2024</t>
  </si>
  <si>
    <t>SAN DIEGO</t>
  </si>
  <si>
    <t>28-11-2020</t>
  </si>
  <si>
    <t>30-05-2024</t>
  </si>
  <si>
    <t>23-01-2022</t>
  </si>
  <si>
    <t>AUSTIN</t>
  </si>
  <si>
    <t>17-12-2021</t>
  </si>
  <si>
    <t>03-02-2023</t>
  </si>
  <si>
    <t>SAN FRANCISCO</t>
  </si>
  <si>
    <t>30-10-2022</t>
  </si>
  <si>
    <t>15-01-2022</t>
  </si>
  <si>
    <t>COLUMBUS</t>
  </si>
  <si>
    <t>14-12-2023</t>
  </si>
  <si>
    <t>03-07-2023</t>
  </si>
  <si>
    <t>08-05-2021</t>
  </si>
  <si>
    <t>CINCINNATI</t>
  </si>
  <si>
    <t>07-10-2022</t>
  </si>
  <si>
    <t>06-08-2024</t>
  </si>
  <si>
    <t>05-01-2022</t>
  </si>
  <si>
    <t>CLEVELAND</t>
  </si>
  <si>
    <t>17-10-2020</t>
  </si>
  <si>
    <t>21-08-2023</t>
  </si>
  <si>
    <t>18-06-2021</t>
  </si>
  <si>
    <t>27-05-2023</t>
  </si>
  <si>
    <t>12-10-2021</t>
  </si>
  <si>
    <t>19-09-2022</t>
  </si>
  <si>
    <t>25-03-2022</t>
  </si>
  <si>
    <t>26-02-2022</t>
  </si>
  <si>
    <t>05-04-2021</t>
  </si>
  <si>
    <t>HOUSTON</t>
  </si>
  <si>
    <t>16-11-2020</t>
  </si>
  <si>
    <t>12-12-2024</t>
  </si>
  <si>
    <t>06-04-2023</t>
  </si>
  <si>
    <t>28-01-2024</t>
  </si>
  <si>
    <t>16-01-2022</t>
  </si>
  <si>
    <t>TAMPA</t>
  </si>
  <si>
    <t>16-12-2022</t>
  </si>
  <si>
    <t>13-07-2023</t>
  </si>
  <si>
    <t>10-03-2025</t>
  </si>
  <si>
    <t>24-09-2024</t>
  </si>
  <si>
    <t>13-04-2020</t>
  </si>
  <si>
    <t>27-06-2022</t>
  </si>
  <si>
    <t>14-03-2021</t>
  </si>
  <si>
    <t>23-02-2022</t>
  </si>
  <si>
    <t>29-03-2022</t>
  </si>
  <si>
    <t>20-11-2022</t>
  </si>
  <si>
    <t>PEORIA</t>
  </si>
  <si>
    <t>12-11-2021</t>
  </si>
  <si>
    <t>17-08-2021</t>
  </si>
  <si>
    <t>16-05-2022</t>
  </si>
  <si>
    <t>16-07-2023</t>
  </si>
  <si>
    <t>18-08-2020</t>
  </si>
  <si>
    <t>19-04-2022</t>
  </si>
  <si>
    <t>23-12-2022</t>
  </si>
  <si>
    <t>07-12-2024</t>
  </si>
  <si>
    <t>03-02-2022</t>
  </si>
  <si>
    <t>12-12-2021</t>
  </si>
  <si>
    <t>17-05-2020</t>
  </si>
  <si>
    <t>05-12-2022</t>
  </si>
  <si>
    <t>17-09-2024</t>
  </si>
  <si>
    <t>08-05-2023</t>
  </si>
  <si>
    <t>03-03-2021</t>
  </si>
  <si>
    <t>18-03-2021</t>
  </si>
  <si>
    <t>24-04-2023</t>
  </si>
  <si>
    <t>15-04-2022</t>
  </si>
  <si>
    <t>29-08-2022</t>
  </si>
  <si>
    <t>04-09-2024</t>
  </si>
  <si>
    <t>18-05-2021</t>
  </si>
  <si>
    <t>02-07-2024</t>
  </si>
  <si>
    <t>16-02-2024</t>
  </si>
  <si>
    <t>26-11-2021</t>
  </si>
  <si>
    <t>01-02-2024</t>
  </si>
  <si>
    <t>09-09-2021</t>
  </si>
  <si>
    <t>08-09-2021</t>
  </si>
  <si>
    <t>09-07-2024</t>
  </si>
  <si>
    <t>28-02-2023</t>
  </si>
  <si>
    <t>08-08-2022</t>
  </si>
  <si>
    <t>07-12-2022</t>
  </si>
  <si>
    <t>29-04-2024</t>
  </si>
  <si>
    <t>02-01-2022</t>
  </si>
  <si>
    <t>10-06-2022</t>
  </si>
  <si>
    <t>16-11-2021</t>
  </si>
  <si>
    <t>17-08-2022</t>
  </si>
  <si>
    <t>23-11-2021</t>
  </si>
  <si>
    <t>04-03-2023</t>
  </si>
  <si>
    <t>16-12-2023</t>
  </si>
  <si>
    <t>19-05-2024</t>
  </si>
  <si>
    <t>14-05-2020</t>
  </si>
  <si>
    <t>29-08-2021</t>
  </si>
  <si>
    <t>10-11-2024</t>
  </si>
  <si>
    <t>05-12-2021</t>
  </si>
  <si>
    <t>05-07-2024</t>
  </si>
  <si>
    <t>25-06-2024</t>
  </si>
  <si>
    <t>31-05-2024</t>
  </si>
  <si>
    <t>20-10-2020</t>
  </si>
  <si>
    <t>11-08-2022</t>
  </si>
  <si>
    <t>17-10-2021</t>
  </si>
  <si>
    <t>20-09-2023</t>
  </si>
  <si>
    <t>19-01-2021</t>
  </si>
  <si>
    <t>21-08-2020</t>
  </si>
  <si>
    <t>17-04-2023</t>
  </si>
  <si>
    <t>24-12-2023</t>
  </si>
  <si>
    <t>20-03-2022</t>
  </si>
  <si>
    <t>12-08-2021</t>
  </si>
  <si>
    <t>21-12-2020</t>
  </si>
  <si>
    <t>07-07-2023</t>
  </si>
  <si>
    <t>13-08-2023</t>
  </si>
  <si>
    <t>04-02-2021</t>
  </si>
  <si>
    <t>16-09-2022</t>
  </si>
  <si>
    <t>06-05-2022</t>
  </si>
  <si>
    <t>28-05-2021</t>
  </si>
  <si>
    <t>18-07-2024</t>
  </si>
  <si>
    <t>06-12-2024</t>
  </si>
  <si>
    <t>12-12-2022</t>
  </si>
  <si>
    <t>20-10-2022</t>
  </si>
  <si>
    <t>24-03-2021</t>
  </si>
  <si>
    <t>06-01-2025</t>
  </si>
  <si>
    <t>06-03-2021</t>
  </si>
  <si>
    <t>17-06-2020</t>
  </si>
  <si>
    <t>01-09-2023</t>
  </si>
  <si>
    <t>08-06-2023</t>
  </si>
  <si>
    <t>25-03-2021</t>
  </si>
  <si>
    <t>03-01-2021</t>
  </si>
  <si>
    <t>12-08-2022</t>
  </si>
  <si>
    <t>28-03-2022</t>
  </si>
  <si>
    <t>15-07-2023</t>
  </si>
  <si>
    <t>22-09-2022</t>
  </si>
  <si>
    <t>20-12-2022</t>
  </si>
  <si>
    <t>29-01-2023</t>
  </si>
  <si>
    <t>24-03-2024</t>
  </si>
  <si>
    <t>19-02-2025</t>
  </si>
  <si>
    <t>13-07-2024</t>
  </si>
  <si>
    <t>28-04-2023</t>
  </si>
  <si>
    <t>05-12-2020</t>
  </si>
  <si>
    <t>14-05-2024</t>
  </si>
  <si>
    <t>18-01-2022</t>
  </si>
  <si>
    <t>18-09-2023</t>
  </si>
  <si>
    <t>12-05-2021</t>
  </si>
  <si>
    <t>17-09-2023</t>
  </si>
  <si>
    <t>06-09-2024</t>
  </si>
  <si>
    <t>18-06-2022</t>
  </si>
  <si>
    <t>22-05-2020</t>
  </si>
  <si>
    <t>17-10-2024</t>
  </si>
  <si>
    <t>22-03-2022</t>
  </si>
  <si>
    <t>17-03-2024</t>
  </si>
  <si>
    <t>02-04-2020</t>
  </si>
  <si>
    <t>13-03-2024</t>
  </si>
  <si>
    <t>21-03-2023</t>
  </si>
  <si>
    <t>02-03-2024</t>
  </si>
  <si>
    <t>30-04-2021</t>
  </si>
  <si>
    <t>15-09-2021</t>
  </si>
  <si>
    <t>28-01-2023</t>
  </si>
  <si>
    <t>08-07-2021</t>
  </si>
  <si>
    <t>08-04-2020</t>
  </si>
  <si>
    <t>23-08-2022</t>
  </si>
  <si>
    <t>17-12-2022</t>
  </si>
  <si>
    <t>08-06-2022</t>
  </si>
  <si>
    <t>28-08-2020</t>
  </si>
  <si>
    <t>26-09-2020</t>
  </si>
  <si>
    <t>13-12-2020</t>
  </si>
  <si>
    <t>19-11-2020</t>
  </si>
  <si>
    <t>13-09-2023</t>
  </si>
  <si>
    <t>31-03-2020</t>
  </si>
  <si>
    <t>04-08-2023</t>
  </si>
  <si>
    <t>11-04-2022</t>
  </si>
  <si>
    <t>31-12-2021</t>
  </si>
  <si>
    <t>16-08-2020</t>
  </si>
  <si>
    <t>02-02-2025</t>
  </si>
  <si>
    <t>24-02-2022</t>
  </si>
  <si>
    <t>25-02-2024</t>
  </si>
  <si>
    <t>15-06-2021</t>
  </si>
  <si>
    <t>08-12-2022</t>
  </si>
  <si>
    <t>09-12-2023</t>
  </si>
  <si>
    <t>16-07-2022</t>
  </si>
  <si>
    <t>05-05-2024</t>
  </si>
  <si>
    <t>04-10-2021</t>
  </si>
  <si>
    <t>20-11-2021</t>
  </si>
  <si>
    <t>15-09-2020</t>
  </si>
  <si>
    <t>17-01-2023</t>
  </si>
  <si>
    <t>16-06-2020</t>
  </si>
  <si>
    <t>01-05-2024</t>
  </si>
  <si>
    <t>07-12-2023</t>
  </si>
  <si>
    <t>02-02-2024</t>
  </si>
  <si>
    <t>23-06-2024</t>
  </si>
  <si>
    <t>07-06-2024</t>
  </si>
  <si>
    <t>13-10-2023</t>
  </si>
  <si>
    <t>08-10-2022</t>
  </si>
  <si>
    <t>27-10-2023</t>
  </si>
  <si>
    <t>09-02-2021</t>
  </si>
  <si>
    <t>03-11-2020</t>
  </si>
  <si>
    <t>30-05-2022</t>
  </si>
  <si>
    <t>16-06-2024</t>
  </si>
  <si>
    <t>15-07-2022</t>
  </si>
  <si>
    <t>18-07-2021</t>
  </si>
  <si>
    <t>02-10-2021</t>
  </si>
  <si>
    <t>16-04-2024</t>
  </si>
  <si>
    <t>09-07-2020</t>
  </si>
  <si>
    <t>25-07-2020</t>
  </si>
  <si>
    <t>24-01-2024</t>
  </si>
  <si>
    <t>13-11-2021</t>
  </si>
  <si>
    <t>07-10-2023</t>
  </si>
  <si>
    <t>23-10-2021</t>
  </si>
  <si>
    <t>18-07-2022</t>
  </si>
  <si>
    <t>23-08-2024</t>
  </si>
  <si>
    <t>28-10-2020</t>
  </si>
  <si>
    <t>15-06-2024</t>
  </si>
  <si>
    <t>19-12-2024</t>
  </si>
  <si>
    <t>04-09-2020</t>
  </si>
  <si>
    <t>16-04-2022</t>
  </si>
  <si>
    <t>29-08-2024</t>
  </si>
  <si>
    <t>14-01-2022</t>
  </si>
  <si>
    <t>07-04-2024</t>
  </si>
  <si>
    <t>24-04-2022</t>
  </si>
  <si>
    <t>27-08-2020</t>
  </si>
  <si>
    <t>01-03-2023</t>
  </si>
  <si>
    <t>02-10-2020</t>
  </si>
  <si>
    <t>23-06-2020</t>
  </si>
  <si>
    <t>01-08-2022</t>
  </si>
  <si>
    <t>16-07-2020</t>
  </si>
  <si>
    <t>02-05-2020</t>
  </si>
  <si>
    <t>10-01-2024</t>
  </si>
  <si>
    <t>30-09-2020</t>
  </si>
  <si>
    <t>30-01-2021</t>
  </si>
  <si>
    <t>14-03-2025</t>
  </si>
  <si>
    <t>26-10-2021</t>
  </si>
  <si>
    <t>11-01-2023</t>
  </si>
  <si>
    <t>31-10-2021</t>
  </si>
  <si>
    <t>04-05-2023</t>
  </si>
  <si>
    <t>09-08-2024</t>
  </si>
  <si>
    <t>21-08-2022</t>
  </si>
  <si>
    <t>19-06-2022</t>
  </si>
  <si>
    <t>29-01-2025</t>
  </si>
  <si>
    <t>15-06-2023</t>
  </si>
  <si>
    <t>18-10-2023</t>
  </si>
  <si>
    <t>13-06-2022</t>
  </si>
  <si>
    <t>12-06-2024</t>
  </si>
  <si>
    <t>18-02-2021</t>
  </si>
  <si>
    <t>29-05-2023</t>
  </si>
  <si>
    <t>04-06-2021</t>
  </si>
  <si>
    <t>22-01-2024</t>
  </si>
  <si>
    <t>27-12-2022</t>
  </si>
  <si>
    <t>30-03-2024</t>
  </si>
  <si>
    <t>04-04-2020</t>
  </si>
  <si>
    <t>22-01-2023</t>
  </si>
  <si>
    <t>12-04-2022</t>
  </si>
  <si>
    <t>13-12-2023</t>
  </si>
  <si>
    <t>24-05-2023</t>
  </si>
  <si>
    <t>29-11-2020</t>
  </si>
  <si>
    <t>19-08-2020</t>
  </si>
  <si>
    <t>26-12-2024</t>
  </si>
  <si>
    <t>03-12-2021</t>
  </si>
  <si>
    <t>14-09-2021</t>
  </si>
  <si>
    <t>30-09-2021</t>
  </si>
  <si>
    <t>22-12-2021</t>
  </si>
  <si>
    <t>18-05-2022</t>
  </si>
  <si>
    <t>08-10-2020</t>
  </si>
  <si>
    <t>20-08-2022</t>
  </si>
  <si>
    <t>25-11-2024</t>
  </si>
  <si>
    <t>20-02-2025</t>
  </si>
  <si>
    <t>07-03-2025</t>
  </si>
  <si>
    <t>21-11-2020</t>
  </si>
  <si>
    <t>01-10-2024</t>
  </si>
  <si>
    <t>01-07-2024</t>
  </si>
  <si>
    <t>23-11-2020</t>
  </si>
  <si>
    <t>18-03-2023</t>
  </si>
  <si>
    <t>19-10-2022</t>
  </si>
  <si>
    <t>31-08-2023</t>
  </si>
  <si>
    <t>06-06-2021</t>
  </si>
  <si>
    <t>21-12-2022</t>
  </si>
  <si>
    <t>12-02-2024</t>
  </si>
  <si>
    <t>04-04-2021</t>
  </si>
  <si>
    <t>12-02-2021</t>
  </si>
  <si>
    <t>19-01-2024</t>
  </si>
  <si>
    <t>25-12-2022</t>
  </si>
  <si>
    <t>06-10-2022</t>
  </si>
  <si>
    <t>27-04-2020</t>
  </si>
  <si>
    <t>13-05-2024</t>
  </si>
  <si>
    <t>23-10-2020</t>
  </si>
  <si>
    <t>11-06-2021</t>
  </si>
  <si>
    <t>23-11-2022</t>
  </si>
  <si>
    <t>31-10-2022</t>
  </si>
  <si>
    <t>06-11-2023</t>
  </si>
  <si>
    <t>26-06-2023</t>
  </si>
  <si>
    <t>30-09-2023</t>
  </si>
  <si>
    <t>12-09-2020</t>
  </si>
  <si>
    <t>27-11-2020</t>
  </si>
  <si>
    <t>25-08-2022</t>
  </si>
  <si>
    <t>23-08-2023</t>
  </si>
  <si>
    <t>11-10-2023</t>
  </si>
  <si>
    <t>21-04-2022</t>
  </si>
  <si>
    <t>14-09-2023</t>
  </si>
  <si>
    <t>29-04-2020</t>
  </si>
  <si>
    <t>15-12-2020</t>
  </si>
  <si>
    <t>11-07-2024</t>
  </si>
  <si>
    <t>21-09-2024</t>
  </si>
  <si>
    <t>21-10-2022</t>
  </si>
  <si>
    <t>21-10-2020</t>
  </si>
  <si>
    <t>11-01-2022</t>
  </si>
  <si>
    <t>17-02-2021</t>
  </si>
  <si>
    <t>06-11-2021</t>
  </si>
  <si>
    <t>30-08-2022</t>
  </si>
  <si>
    <t>04-06-2023</t>
  </si>
  <si>
    <t>13-05-2022</t>
  </si>
  <si>
    <t>23-01-2023</t>
  </si>
  <si>
    <t>08-03-2025</t>
  </si>
  <si>
    <t>24-04-2024</t>
  </si>
  <si>
    <t>24-12-2021</t>
  </si>
  <si>
    <t>07-09-2023</t>
  </si>
  <si>
    <t>10-08-2021</t>
  </si>
  <si>
    <t>26-05-2024</t>
  </si>
  <si>
    <t>19-02-2022</t>
  </si>
  <si>
    <t>09-12-2024</t>
  </si>
  <si>
    <t>01-06-2023</t>
  </si>
  <si>
    <t>05-11-2023</t>
  </si>
  <si>
    <t>21-06-2020</t>
  </si>
  <si>
    <t>26-10-2020</t>
  </si>
  <si>
    <t>06-06-2022</t>
  </si>
  <si>
    <t>11-11-2021</t>
  </si>
  <si>
    <t>31-07-2021</t>
  </si>
  <si>
    <t>13-04-2024</t>
  </si>
  <si>
    <t>23-03-2024</t>
  </si>
  <si>
    <t>07-05-2021</t>
  </si>
  <si>
    <t>09-08-2021</t>
  </si>
  <si>
    <t>09-02-2025</t>
  </si>
  <si>
    <t>23-04-2024</t>
  </si>
  <si>
    <t>23-02-2023</t>
  </si>
  <si>
    <t>06-06-2024</t>
  </si>
  <si>
    <t>27-01-2025</t>
  </si>
  <si>
    <t>07-04-2023</t>
  </si>
  <si>
    <t>20-01-2022</t>
  </si>
  <si>
    <t>10-05-2022</t>
  </si>
  <si>
    <t>29-05-2024</t>
  </si>
  <si>
    <t>04-01-2022</t>
  </si>
  <si>
    <t>02-05-2024</t>
  </si>
  <si>
    <t>28-12-2021</t>
  </si>
  <si>
    <t>17-08-2023</t>
  </si>
  <si>
    <t>29-11-2021</t>
  </si>
  <si>
    <t>13-06-2021</t>
  </si>
  <si>
    <t>04-07-2022</t>
  </si>
  <si>
    <t>27-06-2021</t>
  </si>
  <si>
    <t>04-12-2023</t>
  </si>
  <si>
    <t>09-08-2022</t>
  </si>
  <si>
    <t>20-10-2023</t>
  </si>
  <si>
    <t>10-02-2022</t>
  </si>
  <si>
    <t>05-10-2023</t>
  </si>
  <si>
    <t>03-04-2021</t>
  </si>
  <si>
    <t>03-05-2021</t>
  </si>
  <si>
    <t>11-02-2024</t>
  </si>
  <si>
    <t>04-02-2025</t>
  </si>
  <si>
    <t>12-10-2022</t>
  </si>
  <si>
    <t>06-02-2022</t>
  </si>
  <si>
    <t>09-11-2020</t>
  </si>
  <si>
    <t>03-05-2023</t>
  </si>
  <si>
    <t>04-10-2022</t>
  </si>
  <si>
    <t>21-08-2024</t>
  </si>
  <si>
    <t>13-05-2020</t>
  </si>
  <si>
    <t>21-01-2021</t>
  </si>
  <si>
    <t>28-02-2022</t>
  </si>
  <si>
    <t>25-04-2024</t>
  </si>
  <si>
    <t>10-03-2023</t>
  </si>
  <si>
    <t>10-07-2023</t>
  </si>
  <si>
    <t>28-07-2024</t>
  </si>
  <si>
    <t>30-07-2023</t>
  </si>
  <si>
    <t>05-10-2024</t>
  </si>
  <si>
    <t>20-02-2024</t>
  </si>
  <si>
    <t>19-04-2023</t>
  </si>
  <si>
    <t>29-10-2023</t>
  </si>
  <si>
    <t>08-03-2022</t>
  </si>
  <si>
    <t>27-07-2024</t>
  </si>
  <si>
    <t>05-07-2022</t>
  </si>
  <si>
    <t>04-07-2024</t>
  </si>
  <si>
    <t>28-02-2024</t>
  </si>
  <si>
    <t>03-01-2025</t>
  </si>
  <si>
    <t>07-12-2021</t>
  </si>
  <si>
    <t>14-12-2021</t>
  </si>
  <si>
    <t>30-11-2020</t>
  </si>
  <si>
    <t>29-12-2021</t>
  </si>
  <si>
    <t>08-07-2024</t>
  </si>
  <si>
    <t>10-02-2021</t>
  </si>
  <si>
    <t>28-12-2023</t>
  </si>
  <si>
    <t>10-08-2022</t>
  </si>
  <si>
    <t>17-10-2023</t>
  </si>
  <si>
    <t>24-05-2024</t>
  </si>
  <si>
    <t>10-02-2024</t>
  </si>
  <si>
    <t>06-02-2021</t>
  </si>
  <si>
    <t>16-03-2022</t>
  </si>
  <si>
    <t>24-05-2020</t>
  </si>
  <si>
    <t>16-02-2025</t>
  </si>
  <si>
    <t>08-09-2024</t>
  </si>
  <si>
    <t>29-06-2022</t>
  </si>
  <si>
    <t>03-11-2022</t>
  </si>
  <si>
    <t>28-11-2023</t>
  </si>
  <si>
    <t>25-04-2020</t>
  </si>
  <si>
    <t>23-03-2022</t>
  </si>
  <si>
    <t>24-06-2020</t>
  </si>
  <si>
    <t>24-11-2024</t>
  </si>
  <si>
    <t>06-11-2020</t>
  </si>
  <si>
    <t>24-10-2023</t>
  </si>
  <si>
    <t>18-07-2023</t>
  </si>
  <si>
    <t>22-10-2022</t>
  </si>
  <si>
    <t>17-07-2023</t>
  </si>
  <si>
    <t>24-02-2025</t>
  </si>
  <si>
    <t>07-03-2021</t>
  </si>
  <si>
    <t>25-10-2023</t>
  </si>
  <si>
    <t>02-04-2023</t>
  </si>
  <si>
    <t>21-10-2024</t>
  </si>
  <si>
    <t>09-07-2021</t>
  </si>
  <si>
    <t>08-04-2022</t>
  </si>
  <si>
    <t>30-04-2022</t>
  </si>
  <si>
    <t>20-01-2023</t>
  </si>
  <si>
    <t>17-11-2024</t>
  </si>
  <si>
    <t>23-04-2022</t>
  </si>
  <si>
    <t>18-02-2025</t>
  </si>
  <si>
    <t>27-05-2021</t>
  </si>
  <si>
    <t>17-01-2022</t>
  </si>
  <si>
    <t>15-01-2025</t>
  </si>
  <si>
    <t>14-02-2021</t>
  </si>
  <si>
    <t>31-08-2024</t>
  </si>
  <si>
    <t>26-12-2022</t>
  </si>
  <si>
    <t>21-03-2024</t>
  </si>
  <si>
    <t>17-07-2022</t>
  </si>
  <si>
    <t>05-12-2024</t>
  </si>
  <si>
    <t>02-11-2023</t>
  </si>
  <si>
    <t>13-11-2022</t>
  </si>
  <si>
    <t>28-12-2022</t>
  </si>
  <si>
    <t>26-02-2025</t>
  </si>
  <si>
    <t>12-11-2022</t>
  </si>
  <si>
    <t>07-06-2021</t>
  </si>
  <si>
    <t>10-04-2024</t>
  </si>
  <si>
    <t>21-12-2023</t>
  </si>
  <si>
    <t>21-11-2024</t>
  </si>
  <si>
    <t>17-03-2022</t>
  </si>
  <si>
    <t>14-05-2023</t>
  </si>
  <si>
    <t>07-10-2024</t>
  </si>
  <si>
    <t>08-09-2020</t>
  </si>
  <si>
    <t>19-08-2021</t>
  </si>
  <si>
    <t>23-05-2020</t>
  </si>
  <si>
    <t>18-04-2020</t>
  </si>
  <si>
    <t>04-06-2022</t>
  </si>
  <si>
    <t>16-11-2022</t>
  </si>
  <si>
    <t>10-08-2020</t>
  </si>
  <si>
    <t>22-06-2024</t>
  </si>
  <si>
    <t>13-07-2020</t>
  </si>
  <si>
    <t>13-03-2021</t>
  </si>
  <si>
    <t>01-04-2023</t>
  </si>
  <si>
    <t>10-11-2020</t>
  </si>
  <si>
    <t>03-09-2022</t>
  </si>
  <si>
    <t>01-10-2020</t>
  </si>
  <si>
    <t>27-05-2022</t>
  </si>
  <si>
    <t>10-03-2024</t>
  </si>
  <si>
    <t>28-08-2022</t>
  </si>
  <si>
    <t>27-04-2021</t>
  </si>
  <si>
    <t>21-08-2021</t>
  </si>
  <si>
    <t>16-05-2021</t>
  </si>
  <si>
    <t>15-02-2022</t>
  </si>
  <si>
    <t>30-11-2023</t>
  </si>
  <si>
    <t>12-01-2023</t>
  </si>
  <si>
    <t>19-05-2023</t>
  </si>
  <si>
    <t>19-02-2024</t>
  </si>
  <si>
    <t>01-12-2021</t>
  </si>
  <si>
    <t>18-01-2023</t>
  </si>
  <si>
    <t>23-12-2020</t>
  </si>
  <si>
    <t>28-02-2021</t>
  </si>
  <si>
    <t>22-04-2020</t>
  </si>
  <si>
    <t>13-08-2021</t>
  </si>
  <si>
    <t>20-07-2023</t>
  </si>
  <si>
    <t>14-03-2023</t>
  </si>
  <si>
    <t>07-11-2023</t>
  </si>
  <si>
    <t>31-10-2024</t>
  </si>
  <si>
    <t>29-10-2021</t>
  </si>
  <si>
    <t>27-12-2023</t>
  </si>
  <si>
    <t>25-06-2023</t>
  </si>
  <si>
    <t>01-09-2020</t>
  </si>
  <si>
    <t>01-02-2025</t>
  </si>
  <si>
    <t>22-07-2023</t>
  </si>
  <si>
    <t>04-02-2022</t>
  </si>
  <si>
    <t>27-09-2023</t>
  </si>
  <si>
    <t>30-01-2025</t>
  </si>
  <si>
    <t>28-03-2021</t>
  </si>
  <si>
    <t>25-12-2021</t>
  </si>
  <si>
    <t>22-11-2024</t>
  </si>
  <si>
    <t>08-10-2024</t>
  </si>
  <si>
    <t>16-12-2020</t>
  </si>
  <si>
    <t>15-03-2025</t>
  </si>
  <si>
    <t>21-09-2020</t>
  </si>
  <si>
    <t>11-01-2025</t>
  </si>
  <si>
    <t>20-10-2021</t>
  </si>
  <si>
    <t>19-10-2021</t>
  </si>
  <si>
    <t>07-07-2024</t>
  </si>
  <si>
    <t>25-07-2023</t>
  </si>
  <si>
    <t>16-04-2020</t>
  </si>
  <si>
    <t>04-07-2020</t>
  </si>
  <si>
    <t>25-11-2023</t>
  </si>
  <si>
    <t>02-07-2023</t>
  </si>
  <si>
    <t>24-08-2020</t>
  </si>
  <si>
    <t>07-11-2022</t>
  </si>
  <si>
    <t>27-03-2024</t>
  </si>
  <si>
    <t>01-09-2024</t>
  </si>
  <si>
    <t>22-02-2022</t>
  </si>
  <si>
    <t>11-02-2022</t>
  </si>
  <si>
    <t>05-07-2023</t>
  </si>
  <si>
    <t>27-10-2020</t>
  </si>
  <si>
    <t>26-01-2023</t>
  </si>
  <si>
    <t>06-09-2021</t>
  </si>
  <si>
    <t>30-07-2024</t>
  </si>
  <si>
    <t>15-03-2022</t>
  </si>
  <si>
    <t>15-03-2024</t>
  </si>
  <si>
    <t>23-07-2022</t>
  </si>
  <si>
    <t>13-09-2024</t>
  </si>
  <si>
    <t>25-01-2022</t>
  </si>
  <si>
    <t>19-04-2021</t>
  </si>
  <si>
    <t>24-06-2022</t>
  </si>
  <si>
    <t>08-06-2024</t>
  </si>
  <si>
    <t>29-09-2022</t>
  </si>
  <si>
    <t>10-05-2023</t>
  </si>
  <si>
    <t>12-04-2021</t>
  </si>
  <si>
    <t>04-11-2023</t>
  </si>
  <si>
    <t>10-09-2023</t>
  </si>
  <si>
    <t>05-01-2024</t>
  </si>
  <si>
    <t>08-05-2024</t>
  </si>
  <si>
    <t>10-09-2020</t>
  </si>
  <si>
    <t>12-07-2020</t>
  </si>
  <si>
    <t>17-02-2023</t>
  </si>
  <si>
    <t>21-07-2021</t>
  </si>
  <si>
    <t>31-12-2020</t>
  </si>
  <si>
    <t>05-04-2023</t>
  </si>
  <si>
    <t>29-12-2024</t>
  </si>
  <si>
    <t>11-08-2020</t>
  </si>
  <si>
    <t>04-03-2024</t>
  </si>
  <si>
    <t>28-07-2023</t>
  </si>
  <si>
    <t>27-11-2021</t>
  </si>
  <si>
    <t>09-09-2020</t>
  </si>
  <si>
    <t>02-06-2021</t>
  </si>
  <si>
    <t>22-08-2022</t>
  </si>
  <si>
    <t>12-03-2021</t>
  </si>
  <si>
    <t>26-06-2024</t>
  </si>
  <si>
    <t>08-12-2023</t>
  </si>
  <si>
    <t>27-11-2024</t>
  </si>
  <si>
    <t>10-01-2022</t>
  </si>
  <si>
    <t>01-11-2021</t>
  </si>
  <si>
    <t>28-10-2023</t>
  </si>
  <si>
    <t>01-03-2025</t>
  </si>
  <si>
    <t>01-08-2024</t>
  </si>
  <si>
    <t>07-06-2023</t>
  </si>
  <si>
    <t>04-01-2021</t>
  </si>
  <si>
    <t>14-12-2024</t>
  </si>
  <si>
    <t>25-07-2022</t>
  </si>
  <si>
    <t>07-05-2022</t>
  </si>
  <si>
    <t>12-09-2022</t>
  </si>
  <si>
    <t>20-08-2023</t>
  </si>
  <si>
    <t>27-12-2020</t>
  </si>
  <si>
    <t>04-09-2023</t>
  </si>
  <si>
    <t>08-01-2022</t>
  </si>
  <si>
    <t>05-06-2023</t>
  </si>
  <si>
    <t>01-04-2021</t>
  </si>
  <si>
    <t>28-05-2024</t>
  </si>
  <si>
    <t>09-03-2023</t>
  </si>
  <si>
    <t>28-07-2022</t>
  </si>
  <si>
    <t>17-06-2021</t>
  </si>
  <si>
    <t>13-02-2024</t>
  </si>
  <si>
    <t>06-08-2021</t>
  </si>
  <si>
    <t>01-05-2022</t>
  </si>
  <si>
    <t>11-03-2024</t>
  </si>
  <si>
    <t>06-07-2020</t>
  </si>
  <si>
    <t>17-12-2020</t>
  </si>
  <si>
    <t>27-02-2025</t>
  </si>
  <si>
    <t>05-06-2021</t>
  </si>
  <si>
    <t>22-12-2022</t>
  </si>
  <si>
    <t>25-01-2025</t>
  </si>
  <si>
    <t>14-02-2025</t>
  </si>
  <si>
    <t>06-01-2023</t>
  </si>
  <si>
    <t>11-10-2020</t>
  </si>
  <si>
    <t>12-03-2024</t>
  </si>
  <si>
    <t>17-05-2022</t>
  </si>
  <si>
    <t>24-08-2021</t>
  </si>
  <si>
    <t>21-02-2024</t>
  </si>
  <si>
    <t>15-05-2022</t>
  </si>
  <si>
    <t>22-07-2022</t>
  </si>
  <si>
    <t>13-12-2021</t>
  </si>
  <si>
    <t>03-06-2021</t>
  </si>
  <si>
    <t>02-02-2023</t>
  </si>
  <si>
    <t>05-06-2022</t>
  </si>
  <si>
    <t>11-05-2020</t>
  </si>
  <si>
    <t>25-11-2020</t>
  </si>
  <si>
    <t>12-08-2023</t>
  </si>
  <si>
    <t>17-01-2024</t>
  </si>
  <si>
    <t>24-11-2021</t>
  </si>
  <si>
    <t>06-10-2021</t>
  </si>
  <si>
    <t>23-05-2022</t>
  </si>
  <si>
    <t>22-02-2021</t>
  </si>
  <si>
    <t>07-06-2020</t>
  </si>
  <si>
    <t>21-05-2024</t>
  </si>
  <si>
    <t>05-08-2020</t>
  </si>
  <si>
    <t>15-10-2020</t>
  </si>
  <si>
    <t>15-05-2021</t>
  </si>
  <si>
    <t>13-01-2022</t>
  </si>
  <si>
    <t>18-11-2023</t>
  </si>
  <si>
    <t>19-01-2022</t>
  </si>
  <si>
    <t>07-08-2024</t>
  </si>
  <si>
    <t>26-07-2022</t>
  </si>
  <si>
    <t>13-01-2024</t>
  </si>
  <si>
    <t>25-04-2023</t>
  </si>
  <si>
    <t>05-07-2021</t>
  </si>
  <si>
    <t>12-10-2024</t>
  </si>
  <si>
    <t>07-02-2024</t>
  </si>
  <si>
    <t>05-03-2021</t>
  </si>
  <si>
    <t>02-08-2021</t>
  </si>
  <si>
    <t>19-08-2022</t>
  </si>
  <si>
    <t>19-09-2024</t>
  </si>
  <si>
    <t>05-04-2020</t>
  </si>
  <si>
    <t>16-03-2023</t>
  </si>
  <si>
    <t>15-10-2024</t>
  </si>
  <si>
    <t>09-06-2022</t>
  </si>
  <si>
    <t>09-04-2023</t>
  </si>
  <si>
    <t>24-11-2023</t>
  </si>
  <si>
    <t>29-11-2023</t>
  </si>
  <si>
    <t>20-05-2024</t>
  </si>
  <si>
    <t>13-07-2022</t>
  </si>
  <si>
    <t>19-04-2020</t>
  </si>
  <si>
    <t>14-11-2024</t>
  </si>
  <si>
    <t>21-03-2021</t>
  </si>
  <si>
    <t>31-05-2023</t>
  </si>
  <si>
    <t>14-01-2025</t>
  </si>
  <si>
    <t>24-12-2020</t>
  </si>
  <si>
    <t>05-10-2021</t>
  </si>
  <si>
    <t>28-12-2024</t>
  </si>
  <si>
    <t>14-05-2022</t>
  </si>
  <si>
    <t>19-08-2023</t>
  </si>
  <si>
    <t>14-07-2023</t>
  </si>
  <si>
    <t>22-06-2023</t>
  </si>
  <si>
    <t>25-05-2021</t>
  </si>
  <si>
    <t>02-04-2024</t>
  </si>
  <si>
    <t>03-12-2022</t>
  </si>
  <si>
    <t>12-07-2021</t>
  </si>
  <si>
    <t>22-03-2020</t>
  </si>
  <si>
    <t>09-08-2020</t>
  </si>
  <si>
    <t>18-02-2022</t>
  </si>
  <si>
    <t>14-06-2021</t>
  </si>
  <si>
    <t>01-03-2021</t>
  </si>
  <si>
    <t>23-09-2023</t>
  </si>
  <si>
    <t>31-07-2024</t>
  </si>
  <si>
    <t>02-06-2020</t>
  </si>
  <si>
    <t>15-12-2022</t>
  </si>
  <si>
    <t>07-08-2020</t>
  </si>
  <si>
    <t>26-10-2024</t>
  </si>
  <si>
    <t xml:space="preserve">Sum of Revenue </t>
  </si>
  <si>
    <t>PIVOT 1 : REVENUE BY CATEGORY</t>
  </si>
  <si>
    <t>PIVOT 2 : REVENUE BY STATE</t>
  </si>
  <si>
    <t>PIVOT 3 : QUANTITY BY MEMBERSHIP</t>
  </si>
  <si>
    <t>PIVOT 4 : PAYMENT MODE SHARE</t>
  </si>
  <si>
    <t>TOTAL REVENUE</t>
  </si>
  <si>
    <t>TOTAL QUANTIY</t>
  </si>
  <si>
    <t>AVERAGE ORDER VALUE</t>
  </si>
  <si>
    <t>GROWTH %</t>
  </si>
  <si>
    <t>PIVTO 5 : GROWTH %</t>
  </si>
  <si>
    <t>CURRENT MONTH</t>
  </si>
  <si>
    <t>GROWTH</t>
  </si>
  <si>
    <t>PERIOUSE MONTH</t>
  </si>
  <si>
    <t>Sales Performance Dashboard</t>
  </si>
  <si>
    <t>KEY INSIGHTS</t>
  </si>
  <si>
    <t>* Revenue is concentrated in top categories, indicating dependency risk and the need to diversify product offerings.</t>
  </si>
  <si>
    <t>*Member customers generate higher average order value, suggesting membership programs are effective and should be expanded.</t>
  </si>
  <si>
    <t>* Month-over-month revenue volatility indicates inconsistent demand, highlighting the need for improved forecasting and promotional planning.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</si>
</sst>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4"/>
      <color theme="1"/>
      <name val="Calibri"/>
      <family val="2"/>
      <scheme val="minor"/>
    </font>
    <font>
      <b/>
      <sz val="16"/>
      <color theme="1"/>
      <name val="Calibri"/>
      <family val="2"/>
      <scheme val="minor"/>
    </font>
    <font>
      <b/>
      <sz val="14"/>
      <color theme="1"/>
      <name val="Calibri"/>
      <family val="2"/>
      <scheme val="minor"/>
    </font>
    <font>
      <sz val="24"/>
      <color theme="1"/>
      <name val="Calibri"/>
      <family val="2"/>
      <scheme val="minor"/>
    </font>
    <font>
      <b/>
      <sz val="24"/>
      <color theme="1"/>
      <name val="Calibri"/>
      <family val="2"/>
      <scheme val="minor"/>
    </font>
    <font>
      <b/>
      <sz val="18"/>
      <color theme="1"/>
      <name val="Calibri"/>
      <family val="2"/>
      <scheme val="minor"/>
    </font>
    <font>
      <b/>
      <sz val="28"/>
      <color theme="1"/>
      <name val="Calibri"/>
      <family val="2"/>
      <scheme val="minor"/>
    </font>
  </fonts>
  <fills count="3">
    <fill>
      <patternFill patternType="none"/>
    </fill>
    <fill>
      <patternFill patternType="gray125"/>
    </fill>
    <fill>
      <patternFill patternType="solid">
        <fgColor theme="2" tint="-9.9978637043366805E-2"/>
        <bgColor indexed="64"/>
      </patternFill>
    </fill>
  </fills>
  <borders count="1">
    <border>
      <left/>
      <right/>
      <top/>
      <bottom/>
      <diagonal/>
    </border>
  </borders>
  <cellStyleXfs count="1">
    <xf numFmtId="0" fontId="0" fillId="0" borderId="0"/>
  </cellStyleXfs>
  <cellXfs count="17">
    <xf numFmtId="0" fontId="0" fillId="0" borderId="0" xfId="0"/>
    <xf numFmtId="0" fontId="0" fillId="0" borderId="0" xfId="0" applyAlignment="1">
      <alignment horizontal="left"/>
    </xf>
    <xf numFmtId="14" fontId="0" fillId="0" borderId="0" xfId="0" applyNumberFormat="1"/>
    <xf numFmtId="0" fontId="1" fillId="0" borderId="0" xfId="0" pivotButton="1" applyFont="1"/>
    <xf numFmtId="0" fontId="1" fillId="0" borderId="0" xfId="0" applyFont="1"/>
    <xf numFmtId="0" fontId="1" fillId="0" borderId="0" xfId="0" applyFont="1" applyAlignment="1">
      <alignment horizontal="left"/>
    </xf>
    <xf numFmtId="0" fontId="1" fillId="0" borderId="0" xfId="0" applyFont="1" applyAlignment="1">
      <alignment wrapText="1"/>
    </xf>
    <xf numFmtId="0" fontId="2" fillId="0" borderId="0" xfId="0" applyFont="1"/>
    <xf numFmtId="0" fontId="0" fillId="0" borderId="0" xfId="0" pivotButton="1"/>
    <xf numFmtId="14" fontId="0" fillId="0" borderId="0" xfId="0" applyNumberFormat="1" applyAlignment="1">
      <alignment horizontal="left"/>
    </xf>
    <xf numFmtId="0" fontId="4" fillId="0" borderId="0" xfId="0" applyFont="1"/>
    <xf numFmtId="0" fontId="5" fillId="0" borderId="0" xfId="0" applyFont="1"/>
    <xf numFmtId="0" fontId="3" fillId="2" borderId="0" xfId="0" applyFont="1" applyFill="1" applyAlignment="1">
      <alignment horizontal="center"/>
    </xf>
    <xf numFmtId="0" fontId="6" fillId="0" borderId="0" xfId="0" applyFont="1"/>
    <xf numFmtId="0" fontId="3" fillId="0" borderId="0" xfId="0" applyFont="1" applyAlignment="1">
      <alignment horizontal="left" indent="1"/>
    </xf>
    <xf numFmtId="0" fontId="0" fillId="0" borderId="0" xfId="0" applyAlignment="1">
      <alignment wrapText="1"/>
    </xf>
    <xf numFmtId="0" fontId="7" fillId="2" borderId="0" xfId="0" applyFont="1" applyFill="1" applyAlignment="1">
      <alignment horizontal="center"/>
    </xf>
  </cellXfs>
  <cellStyles count="1">
    <cellStyle name="Normal" xfId="0" builtinId="0"/>
  </cellStyles>
  <dxfs count="30">
    <dxf>
      <font>
        <sz val="14"/>
      </font>
    </dxf>
    <dxf>
      <font>
        <sz val="14"/>
      </font>
    </dxf>
    <dxf>
      <font>
        <sz val="14"/>
      </font>
    </dxf>
    <dxf>
      <font>
        <sz val="14"/>
      </font>
    </dxf>
    <dxf>
      <font>
        <sz val="14"/>
      </font>
    </dxf>
    <dxf>
      <font>
        <sz val="14"/>
      </font>
    </dxf>
    <dxf>
      <font>
        <sz val="14"/>
      </font>
    </dxf>
    <dxf>
      <alignment wrapText="1"/>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font>
        <sz val="14"/>
      </font>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TABLE!REVENUE BY CATEGORY</c:name>
    <c:fmtId val="4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a:t>REVENUE</a:t>
            </a:r>
            <a:r>
              <a:rPr lang="en-IN" sz="1600" b="1" baseline="0"/>
              <a:t> BY CATEGORY</a:t>
            </a:r>
            <a:endParaRPr lang="en-IN" sz="1600" b="1"/>
          </a:p>
        </c:rich>
      </c:tx>
      <c:layout>
        <c:manualLayout>
          <c:xMode val="edge"/>
          <c:yMode val="edge"/>
          <c:x val="0.3326839156451889"/>
          <c:y val="7.21180013788598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TABLE'!$A$5:$A$8</c:f>
              <c:strCache>
                <c:ptCount val="3"/>
                <c:pt idx="0">
                  <c:v>Electronics</c:v>
                </c:pt>
                <c:pt idx="1">
                  <c:v>Furniture</c:v>
                </c:pt>
                <c:pt idx="2">
                  <c:v>Office Supplies</c:v>
                </c:pt>
              </c:strCache>
            </c:strRef>
          </c:cat>
          <c:val>
            <c:numRef>
              <c:f>'PIVOT TABLE'!$B$5:$B$8</c:f>
              <c:numCache>
                <c:formatCode>General</c:formatCode>
                <c:ptCount val="3"/>
                <c:pt idx="0">
                  <c:v>22676397</c:v>
                </c:pt>
                <c:pt idx="1">
                  <c:v>22402327</c:v>
                </c:pt>
                <c:pt idx="2">
                  <c:v>21778833</c:v>
                </c:pt>
              </c:numCache>
            </c:numRef>
          </c:val>
          <c:extLst>
            <c:ext xmlns:c16="http://schemas.microsoft.com/office/drawing/2014/chart" uri="{C3380CC4-5D6E-409C-BE32-E72D297353CC}">
              <c16:uniqueId val="{00000000-660E-4C5D-8F78-361359175673}"/>
            </c:ext>
          </c:extLst>
        </c:ser>
        <c:dLbls>
          <c:dLblPos val="outEnd"/>
          <c:showLegendKey val="0"/>
          <c:showVal val="1"/>
          <c:showCatName val="0"/>
          <c:showSerName val="0"/>
          <c:showPercent val="0"/>
          <c:showBubbleSize val="0"/>
        </c:dLbls>
        <c:gapWidth val="219"/>
        <c:overlap val="-27"/>
        <c:axId val="266396303"/>
        <c:axId val="266398223"/>
      </c:barChart>
      <c:catAx>
        <c:axId val="266396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266398223"/>
        <c:crosses val="autoZero"/>
        <c:auto val="1"/>
        <c:lblAlgn val="ctr"/>
        <c:lblOffset val="100"/>
        <c:noMultiLvlLbl val="0"/>
      </c:catAx>
      <c:valAx>
        <c:axId val="2663982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2663963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lumMod val="7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TABLE!GROWTH%</c:name>
    <c:fmtId val="7"/>
  </c:pivotSource>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en-IN"/>
              <a:t>REVENUE TREND</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TABLE'!$B$47</c:f>
              <c:strCache>
                <c:ptCount val="1"/>
                <c:pt idx="0">
                  <c:v>Total</c:v>
                </c:pt>
              </c:strCache>
            </c:strRef>
          </c:tx>
          <c:spPr>
            <a:ln w="28575" cap="rnd">
              <a:solidFill>
                <a:schemeClr val="accent1"/>
              </a:solidFill>
              <a:round/>
            </a:ln>
            <a:effectLst/>
          </c:spPr>
          <c:marker>
            <c:symbol val="none"/>
          </c:marker>
          <c:cat>
            <c:strRef>
              <c:f>'PIVOT TABLE'!$A$48:$A$109</c:f>
              <c:strCache>
                <c:ptCount val="61"/>
                <c:pt idx="0">
                  <c:v>01-03-2020</c:v>
                </c:pt>
                <c:pt idx="1">
                  <c:v>01-04-2020</c:v>
                </c:pt>
                <c:pt idx="2">
                  <c:v>01-05-2020</c:v>
                </c:pt>
                <c:pt idx="3">
                  <c:v>01-06-2020</c:v>
                </c:pt>
                <c:pt idx="4">
                  <c:v>01-07-2020</c:v>
                </c:pt>
                <c:pt idx="5">
                  <c:v>01-08-2020</c:v>
                </c:pt>
                <c:pt idx="6">
                  <c:v>01-09-2020</c:v>
                </c:pt>
                <c:pt idx="7">
                  <c:v>01-10-2020</c:v>
                </c:pt>
                <c:pt idx="8">
                  <c:v>01-11-2020</c:v>
                </c:pt>
                <c:pt idx="9">
                  <c:v>01-12-2020</c:v>
                </c:pt>
                <c:pt idx="10">
                  <c:v>01-01-2021</c:v>
                </c:pt>
                <c:pt idx="11">
                  <c:v>01-02-2021</c:v>
                </c:pt>
                <c:pt idx="12">
                  <c:v>01-03-2021</c:v>
                </c:pt>
                <c:pt idx="13">
                  <c:v>01-04-2021</c:v>
                </c:pt>
                <c:pt idx="14">
                  <c:v>01-05-2021</c:v>
                </c:pt>
                <c:pt idx="15">
                  <c:v>01-06-2021</c:v>
                </c:pt>
                <c:pt idx="16">
                  <c:v>01-07-2021</c:v>
                </c:pt>
                <c:pt idx="17">
                  <c:v>01-08-2021</c:v>
                </c:pt>
                <c:pt idx="18">
                  <c:v>01-09-2021</c:v>
                </c:pt>
                <c:pt idx="19">
                  <c:v>01-10-2021</c:v>
                </c:pt>
                <c:pt idx="20">
                  <c:v>01-11-2021</c:v>
                </c:pt>
                <c:pt idx="21">
                  <c:v>01-12-2021</c:v>
                </c:pt>
                <c:pt idx="22">
                  <c:v>01-01-2022</c:v>
                </c:pt>
                <c:pt idx="23">
                  <c:v>01-02-2022</c:v>
                </c:pt>
                <c:pt idx="24">
                  <c:v>01-03-2022</c:v>
                </c:pt>
                <c:pt idx="25">
                  <c:v>01-04-2022</c:v>
                </c:pt>
                <c:pt idx="26">
                  <c:v>01-05-2022</c:v>
                </c:pt>
                <c:pt idx="27">
                  <c:v>01-06-2022</c:v>
                </c:pt>
                <c:pt idx="28">
                  <c:v>01-07-2022</c:v>
                </c:pt>
                <c:pt idx="29">
                  <c:v>01-08-2022</c:v>
                </c:pt>
                <c:pt idx="30">
                  <c:v>01-09-2022</c:v>
                </c:pt>
                <c:pt idx="31">
                  <c:v>01-10-2022</c:v>
                </c:pt>
                <c:pt idx="32">
                  <c:v>01-11-2022</c:v>
                </c:pt>
                <c:pt idx="33">
                  <c:v>01-12-2022</c:v>
                </c:pt>
                <c:pt idx="34">
                  <c:v>01-01-2023</c:v>
                </c:pt>
                <c:pt idx="35">
                  <c:v>01-02-2023</c:v>
                </c:pt>
                <c:pt idx="36">
                  <c:v>01-03-2023</c:v>
                </c:pt>
                <c:pt idx="37">
                  <c:v>01-04-2023</c:v>
                </c:pt>
                <c:pt idx="38">
                  <c:v>01-05-2023</c:v>
                </c:pt>
                <c:pt idx="39">
                  <c:v>01-06-2023</c:v>
                </c:pt>
                <c:pt idx="40">
                  <c:v>01-07-2023</c:v>
                </c:pt>
                <c:pt idx="41">
                  <c:v>01-08-2023</c:v>
                </c:pt>
                <c:pt idx="42">
                  <c:v>01-09-2023</c:v>
                </c:pt>
                <c:pt idx="43">
                  <c:v>01-10-2023</c:v>
                </c:pt>
                <c:pt idx="44">
                  <c:v>01-11-2023</c:v>
                </c:pt>
                <c:pt idx="45">
                  <c:v>01-12-2023</c:v>
                </c:pt>
                <c:pt idx="46">
                  <c:v>01-01-2024</c:v>
                </c:pt>
                <c:pt idx="47">
                  <c:v>01-02-2024</c:v>
                </c:pt>
                <c:pt idx="48">
                  <c:v>01-03-2024</c:v>
                </c:pt>
                <c:pt idx="49">
                  <c:v>01-04-2024</c:v>
                </c:pt>
                <c:pt idx="50">
                  <c:v>01-05-2024</c:v>
                </c:pt>
                <c:pt idx="51">
                  <c:v>01-06-2024</c:v>
                </c:pt>
                <c:pt idx="52">
                  <c:v>01-07-2024</c:v>
                </c:pt>
                <c:pt idx="53">
                  <c:v>01-08-2024</c:v>
                </c:pt>
                <c:pt idx="54">
                  <c:v>01-09-2024</c:v>
                </c:pt>
                <c:pt idx="55">
                  <c:v>01-10-2024</c:v>
                </c:pt>
                <c:pt idx="56">
                  <c:v>01-11-2024</c:v>
                </c:pt>
                <c:pt idx="57">
                  <c:v>01-12-2024</c:v>
                </c:pt>
                <c:pt idx="58">
                  <c:v>01-01-2025</c:v>
                </c:pt>
                <c:pt idx="59">
                  <c:v>01-02-2025</c:v>
                </c:pt>
                <c:pt idx="60">
                  <c:v>01-03-2025</c:v>
                </c:pt>
              </c:strCache>
            </c:strRef>
          </c:cat>
          <c:val>
            <c:numRef>
              <c:f>'PIVOT TABLE'!$B$48:$B$109</c:f>
              <c:numCache>
                <c:formatCode>General</c:formatCode>
                <c:ptCount val="61"/>
                <c:pt idx="0">
                  <c:v>269290</c:v>
                </c:pt>
                <c:pt idx="1">
                  <c:v>1142938</c:v>
                </c:pt>
                <c:pt idx="2">
                  <c:v>1235881</c:v>
                </c:pt>
                <c:pt idx="3">
                  <c:v>529673</c:v>
                </c:pt>
                <c:pt idx="4">
                  <c:v>287062</c:v>
                </c:pt>
                <c:pt idx="5">
                  <c:v>600631</c:v>
                </c:pt>
                <c:pt idx="6">
                  <c:v>1191005</c:v>
                </c:pt>
                <c:pt idx="7">
                  <c:v>1196382</c:v>
                </c:pt>
                <c:pt idx="8">
                  <c:v>1265096</c:v>
                </c:pt>
                <c:pt idx="9">
                  <c:v>716425</c:v>
                </c:pt>
                <c:pt idx="10">
                  <c:v>155298</c:v>
                </c:pt>
                <c:pt idx="11">
                  <c:v>998679</c:v>
                </c:pt>
                <c:pt idx="12">
                  <c:v>1200758</c:v>
                </c:pt>
                <c:pt idx="13">
                  <c:v>980019</c:v>
                </c:pt>
                <c:pt idx="14">
                  <c:v>1652833</c:v>
                </c:pt>
                <c:pt idx="15">
                  <c:v>1191117</c:v>
                </c:pt>
                <c:pt idx="16">
                  <c:v>967031</c:v>
                </c:pt>
                <c:pt idx="17">
                  <c:v>850724</c:v>
                </c:pt>
                <c:pt idx="18">
                  <c:v>589604</c:v>
                </c:pt>
                <c:pt idx="19">
                  <c:v>1564254</c:v>
                </c:pt>
                <c:pt idx="20">
                  <c:v>1738226</c:v>
                </c:pt>
                <c:pt idx="21">
                  <c:v>1618794</c:v>
                </c:pt>
                <c:pt idx="22">
                  <c:v>1503882</c:v>
                </c:pt>
                <c:pt idx="23">
                  <c:v>892961</c:v>
                </c:pt>
                <c:pt idx="24">
                  <c:v>1158029</c:v>
                </c:pt>
                <c:pt idx="25">
                  <c:v>1380710</c:v>
                </c:pt>
                <c:pt idx="26">
                  <c:v>1559275</c:v>
                </c:pt>
                <c:pt idx="27">
                  <c:v>1904778</c:v>
                </c:pt>
                <c:pt idx="28">
                  <c:v>847266</c:v>
                </c:pt>
                <c:pt idx="29">
                  <c:v>2590882</c:v>
                </c:pt>
                <c:pt idx="30">
                  <c:v>661366</c:v>
                </c:pt>
                <c:pt idx="31">
                  <c:v>1356639</c:v>
                </c:pt>
                <c:pt idx="32">
                  <c:v>491601</c:v>
                </c:pt>
                <c:pt idx="33">
                  <c:v>2251057</c:v>
                </c:pt>
                <c:pt idx="34">
                  <c:v>736449</c:v>
                </c:pt>
                <c:pt idx="35">
                  <c:v>765183</c:v>
                </c:pt>
                <c:pt idx="36">
                  <c:v>1133352</c:v>
                </c:pt>
                <c:pt idx="37">
                  <c:v>1061935</c:v>
                </c:pt>
                <c:pt idx="38">
                  <c:v>846483</c:v>
                </c:pt>
                <c:pt idx="39">
                  <c:v>1126248</c:v>
                </c:pt>
                <c:pt idx="40">
                  <c:v>1970469</c:v>
                </c:pt>
                <c:pt idx="41">
                  <c:v>1006513</c:v>
                </c:pt>
                <c:pt idx="42">
                  <c:v>1123588</c:v>
                </c:pt>
                <c:pt idx="43">
                  <c:v>1296142</c:v>
                </c:pt>
                <c:pt idx="44">
                  <c:v>816408</c:v>
                </c:pt>
                <c:pt idx="45">
                  <c:v>1543770</c:v>
                </c:pt>
                <c:pt idx="46">
                  <c:v>602083</c:v>
                </c:pt>
                <c:pt idx="47">
                  <c:v>1311070</c:v>
                </c:pt>
                <c:pt idx="48">
                  <c:v>1430459</c:v>
                </c:pt>
                <c:pt idx="49">
                  <c:v>957719</c:v>
                </c:pt>
                <c:pt idx="50">
                  <c:v>1043902</c:v>
                </c:pt>
                <c:pt idx="51">
                  <c:v>1718342</c:v>
                </c:pt>
                <c:pt idx="52">
                  <c:v>1251274</c:v>
                </c:pt>
                <c:pt idx="53">
                  <c:v>781404</c:v>
                </c:pt>
                <c:pt idx="54">
                  <c:v>1079707</c:v>
                </c:pt>
                <c:pt idx="55">
                  <c:v>774724</c:v>
                </c:pt>
                <c:pt idx="56">
                  <c:v>804803</c:v>
                </c:pt>
                <c:pt idx="57">
                  <c:v>685269</c:v>
                </c:pt>
                <c:pt idx="58">
                  <c:v>1202644</c:v>
                </c:pt>
                <c:pt idx="59">
                  <c:v>772712</c:v>
                </c:pt>
                <c:pt idx="60">
                  <c:v>474739</c:v>
                </c:pt>
              </c:numCache>
            </c:numRef>
          </c:val>
          <c:smooth val="0"/>
          <c:extLst>
            <c:ext xmlns:c16="http://schemas.microsoft.com/office/drawing/2014/chart" uri="{C3380CC4-5D6E-409C-BE32-E72D297353CC}">
              <c16:uniqueId val="{00000000-ABD7-4C48-8590-FDFEE5B9C82C}"/>
            </c:ext>
          </c:extLst>
        </c:ser>
        <c:dLbls>
          <c:showLegendKey val="0"/>
          <c:showVal val="0"/>
          <c:showCatName val="0"/>
          <c:showSerName val="0"/>
          <c:showPercent val="0"/>
          <c:showBubbleSize val="0"/>
        </c:dLbls>
        <c:smooth val="0"/>
        <c:axId val="2059385663"/>
        <c:axId val="2059386143"/>
      </c:lineChart>
      <c:catAx>
        <c:axId val="2059385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059386143"/>
        <c:crosses val="autoZero"/>
        <c:auto val="1"/>
        <c:lblAlgn val="ctr"/>
        <c:lblOffset val="100"/>
        <c:noMultiLvlLbl val="0"/>
      </c:catAx>
      <c:valAx>
        <c:axId val="2059386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059385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2">
        <a:lumMod val="75000"/>
      </a:schemeClr>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TABLE!REVENUE BY STATE</c:name>
    <c:fmtId val="8"/>
  </c:pivotSource>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en-IN"/>
              <a:t>REVENUE BY STATE</a:t>
            </a:r>
          </a:p>
        </c:rich>
      </c:tx>
      <c:layout>
        <c:manualLayout>
          <c:xMode val="edge"/>
          <c:yMode val="edge"/>
          <c:x val="0.40011811023622046"/>
          <c:y val="0.12397929425488481"/>
        </c:manualLayout>
      </c:layout>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TABLE'!$B$13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TABLE'!$A$14:$A$20</c:f>
              <c:strCache>
                <c:ptCount val="6"/>
                <c:pt idx="0">
                  <c:v>New York</c:v>
                </c:pt>
                <c:pt idx="1">
                  <c:v>Florida</c:v>
                </c:pt>
                <c:pt idx="2">
                  <c:v>California</c:v>
                </c:pt>
                <c:pt idx="3">
                  <c:v>Texas</c:v>
                </c:pt>
                <c:pt idx="4">
                  <c:v>Ohio</c:v>
                </c:pt>
                <c:pt idx="5">
                  <c:v>Illinois</c:v>
                </c:pt>
              </c:strCache>
            </c:strRef>
          </c:cat>
          <c:val>
            <c:numRef>
              <c:f>'PIVOT TABLE'!$B$14:$B$20</c:f>
              <c:numCache>
                <c:formatCode>General</c:formatCode>
                <c:ptCount val="6"/>
                <c:pt idx="0">
                  <c:v>12712556</c:v>
                </c:pt>
                <c:pt idx="1">
                  <c:v>12091638</c:v>
                </c:pt>
                <c:pt idx="2">
                  <c:v>11425081</c:v>
                </c:pt>
                <c:pt idx="3">
                  <c:v>10719450</c:v>
                </c:pt>
                <c:pt idx="4">
                  <c:v>10100148</c:v>
                </c:pt>
                <c:pt idx="5">
                  <c:v>9808684</c:v>
                </c:pt>
              </c:numCache>
            </c:numRef>
          </c:val>
          <c:extLst>
            <c:ext xmlns:c16="http://schemas.microsoft.com/office/drawing/2014/chart" uri="{C3380CC4-5D6E-409C-BE32-E72D297353CC}">
              <c16:uniqueId val="{00000000-1CC3-48F1-B5C0-7B0CD427C85B}"/>
            </c:ext>
          </c:extLst>
        </c:ser>
        <c:dLbls>
          <c:dLblPos val="outEnd"/>
          <c:showLegendKey val="0"/>
          <c:showVal val="1"/>
          <c:showCatName val="0"/>
          <c:showSerName val="0"/>
          <c:showPercent val="0"/>
          <c:showBubbleSize val="0"/>
        </c:dLbls>
        <c:gapWidth val="182"/>
        <c:axId val="500749343"/>
        <c:axId val="500745503"/>
      </c:barChart>
      <c:catAx>
        <c:axId val="5007493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00745503"/>
        <c:crosses val="autoZero"/>
        <c:auto val="1"/>
        <c:lblAlgn val="ctr"/>
        <c:lblOffset val="100"/>
        <c:noMultiLvlLbl val="0"/>
      </c:catAx>
      <c:valAx>
        <c:axId val="50074550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00749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lumMod val="75000"/>
      </a:schemeClr>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PROJECT.xlsx]PIVOT TABLE!PivotTable2</c:name>
    <c:fmtId val="8"/>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IN"/>
              <a:t>PAYMENT MODE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317500" algn="ctr" rotWithShape="0">
              <a:prstClr val="black">
                <a:alpha val="25000"/>
              </a:prstClr>
            </a:outerShdw>
          </a:effectLst>
        </c:spPr>
      </c:pivotFmt>
      <c:pivotFmt>
        <c:idx val="9"/>
        <c:spPr>
          <a:solidFill>
            <a:schemeClr val="accent2"/>
          </a:solidFill>
          <a:ln>
            <a:noFill/>
          </a:ln>
          <a:effectLst>
            <a:outerShdw blurRad="317500" algn="ctr" rotWithShape="0">
              <a:prstClr val="black">
                <a:alpha val="25000"/>
              </a:prstClr>
            </a:outerShdw>
          </a:effectLst>
        </c:spPr>
      </c:pivotFmt>
      <c:pivotFmt>
        <c:idx val="10"/>
        <c:spPr>
          <a:solidFill>
            <a:schemeClr val="accent3"/>
          </a:solidFill>
          <a:ln>
            <a:noFill/>
          </a:ln>
          <a:effectLst>
            <a:outerShdw blurRad="317500" algn="ctr" rotWithShape="0">
              <a:prstClr val="black">
                <a:alpha val="25000"/>
              </a:prstClr>
            </a:outerShdw>
          </a:effectLst>
        </c:spPr>
      </c:pivotFmt>
      <c:pivotFmt>
        <c:idx val="11"/>
        <c:spPr>
          <a:solidFill>
            <a:schemeClr val="accent4"/>
          </a:solidFill>
          <a:ln>
            <a:noFill/>
          </a:ln>
          <a:effectLst>
            <a:outerShdw blurRad="317500" algn="ctr" rotWithShape="0">
              <a:prstClr val="black">
                <a:alpha val="25000"/>
              </a:prstClr>
            </a:outerShdw>
          </a:effectLst>
        </c:spPr>
      </c:pivotFmt>
      <c:pivotFmt>
        <c:idx val="12"/>
        <c:spPr>
          <a:solidFill>
            <a:schemeClr val="accent5"/>
          </a:solidFill>
          <a:ln>
            <a:noFill/>
          </a:ln>
          <a:effectLst>
            <a:outerShdw blurRad="317500" algn="ctr" rotWithShape="0">
              <a:prstClr val="black">
                <a:alpha val="25000"/>
              </a:prstClr>
            </a:outerShdw>
          </a:effectLst>
        </c:spPr>
      </c:pivotFmt>
      <c:pivotFmt>
        <c:idx val="13"/>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317500" algn="ctr" rotWithShape="0">
              <a:prstClr val="black">
                <a:alpha val="25000"/>
              </a:prstClr>
            </a:outerShdw>
          </a:effectLst>
        </c:spPr>
      </c:pivotFmt>
      <c:pivotFmt>
        <c:idx val="15"/>
        <c:spPr>
          <a:solidFill>
            <a:schemeClr val="accent1"/>
          </a:solidFill>
          <a:ln>
            <a:noFill/>
          </a:ln>
          <a:effectLst>
            <a:outerShdw blurRad="317500" algn="ctr" rotWithShape="0">
              <a:prstClr val="black">
                <a:alpha val="25000"/>
              </a:prstClr>
            </a:outerShdw>
          </a:effectLst>
        </c:spPr>
      </c:pivotFmt>
      <c:pivotFmt>
        <c:idx val="16"/>
        <c:spPr>
          <a:solidFill>
            <a:schemeClr val="accent1"/>
          </a:solidFill>
          <a:ln>
            <a:noFill/>
          </a:ln>
          <a:effectLst>
            <a:outerShdw blurRad="317500" algn="ctr" rotWithShape="0">
              <a:prstClr val="black">
                <a:alpha val="25000"/>
              </a:prstClr>
            </a:outerShdw>
          </a:effectLst>
        </c:spPr>
      </c:pivotFmt>
      <c:pivotFmt>
        <c:idx val="17"/>
        <c:spPr>
          <a:solidFill>
            <a:schemeClr val="accent1"/>
          </a:solidFill>
          <a:ln>
            <a:noFill/>
          </a:ln>
          <a:effectLst>
            <a:outerShdw blurRad="317500" algn="ctr" rotWithShape="0">
              <a:prstClr val="black">
                <a:alpha val="25000"/>
              </a:prstClr>
            </a:outerShdw>
          </a:effectLst>
        </c:spPr>
      </c:pivotFmt>
      <c:pivotFmt>
        <c:idx val="18"/>
        <c:spPr>
          <a:solidFill>
            <a:schemeClr val="accent1"/>
          </a:solidFill>
          <a:ln>
            <a:noFill/>
          </a:ln>
          <a:effectLst>
            <a:outerShdw blurRad="317500" algn="ctr" rotWithShape="0">
              <a:prstClr val="black">
                <a:alpha val="25000"/>
              </a:prstClr>
            </a:outerShdw>
          </a:effectLst>
        </c:spPr>
      </c:pivotFmt>
      <c:pivotFmt>
        <c:idx val="19"/>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a:outerShdw blurRad="317500" algn="ctr" rotWithShape="0">
              <a:prstClr val="black">
                <a:alpha val="25000"/>
              </a:prstClr>
            </a:outerShdw>
          </a:effectLst>
        </c:spPr>
      </c:pivotFmt>
      <c:pivotFmt>
        <c:idx val="21"/>
        <c:spPr>
          <a:solidFill>
            <a:schemeClr val="accent1"/>
          </a:solidFill>
          <a:ln>
            <a:noFill/>
          </a:ln>
          <a:effectLst>
            <a:outerShdw blurRad="317500" algn="ctr" rotWithShape="0">
              <a:prstClr val="black">
                <a:alpha val="25000"/>
              </a:prstClr>
            </a:outerShdw>
          </a:effectLst>
        </c:spPr>
      </c:pivotFmt>
      <c:pivotFmt>
        <c:idx val="22"/>
        <c:spPr>
          <a:solidFill>
            <a:schemeClr val="accent1"/>
          </a:solidFill>
          <a:ln>
            <a:noFill/>
          </a:ln>
          <a:effectLst>
            <a:outerShdw blurRad="317500" algn="ctr" rotWithShape="0">
              <a:prstClr val="black">
                <a:alpha val="25000"/>
              </a:prstClr>
            </a:outerShdw>
          </a:effectLst>
        </c:spPr>
      </c:pivotFmt>
      <c:pivotFmt>
        <c:idx val="23"/>
        <c:spPr>
          <a:solidFill>
            <a:schemeClr val="accent1"/>
          </a:solidFill>
          <a:ln>
            <a:noFill/>
          </a:ln>
          <a:effectLst>
            <a:outerShdw blurRad="317500" algn="ctr" rotWithShape="0">
              <a:prstClr val="black">
                <a:alpha val="25000"/>
              </a:prstClr>
            </a:outerShdw>
          </a:effectLst>
        </c:spPr>
      </c:pivotFmt>
      <c:pivotFmt>
        <c:idx val="24"/>
        <c:spPr>
          <a:solidFill>
            <a:schemeClr val="accent1"/>
          </a:solidFill>
          <a:ln>
            <a:noFill/>
          </a:ln>
          <a:effectLst>
            <a:outerShdw blurRad="317500" algn="ctr" rotWithShape="0">
              <a:prstClr val="black">
                <a:alpha val="25000"/>
              </a:prstClr>
            </a:outerShdw>
          </a:effectLst>
        </c:spPr>
      </c:pivotFmt>
    </c:pivotFmts>
    <c:plotArea>
      <c:layout/>
      <c:pieChart>
        <c:varyColors val="1"/>
        <c:ser>
          <c:idx val="0"/>
          <c:order val="0"/>
          <c:tx>
            <c:strRef>
              <c:f>'PIVOT TABLE'!$B$36</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8FD2-4530-AB72-DF5FF94EB5A1}"/>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8FD2-4530-AB72-DF5FF94EB5A1}"/>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8FD2-4530-AB72-DF5FF94EB5A1}"/>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8FD2-4530-AB72-DF5FF94EB5A1}"/>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8FD2-4530-AB72-DF5FF94EB5A1}"/>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'PIVOT TABLE'!$A$37:$A$42</c:f>
              <c:strCache>
                <c:ptCount val="5"/>
                <c:pt idx="0">
                  <c:v>COD</c:v>
                </c:pt>
                <c:pt idx="1">
                  <c:v>Credit Card</c:v>
                </c:pt>
                <c:pt idx="2">
                  <c:v>Debit Card</c:v>
                </c:pt>
                <c:pt idx="3">
                  <c:v>EMI</c:v>
                </c:pt>
                <c:pt idx="4">
                  <c:v>UPI</c:v>
                </c:pt>
              </c:strCache>
            </c:strRef>
          </c:cat>
          <c:val>
            <c:numRef>
              <c:f>'PIVOT TABLE'!$B$37:$B$42</c:f>
              <c:numCache>
                <c:formatCode>General</c:formatCode>
                <c:ptCount val="5"/>
                <c:pt idx="0">
                  <c:v>12211619</c:v>
                </c:pt>
                <c:pt idx="1">
                  <c:v>14078248</c:v>
                </c:pt>
                <c:pt idx="2">
                  <c:v>14957183</c:v>
                </c:pt>
                <c:pt idx="3">
                  <c:v>12257242</c:v>
                </c:pt>
                <c:pt idx="4">
                  <c:v>13353265</c:v>
                </c:pt>
              </c:numCache>
            </c:numRef>
          </c:val>
          <c:extLst>
            <c:ext xmlns:c16="http://schemas.microsoft.com/office/drawing/2014/chart" uri="{C3380CC4-5D6E-409C-BE32-E72D297353CC}">
              <c16:uniqueId val="{0000000A-8FD2-4530-AB72-DF5FF94EB5A1}"/>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2">
        <a:lumMod val="7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5</xdr:row>
      <xdr:rowOff>0</xdr:rowOff>
    </xdr:from>
    <xdr:to>
      <xdr:col>0</xdr:col>
      <xdr:colOff>1714500</xdr:colOff>
      <xdr:row>13</xdr:row>
      <xdr:rowOff>152400</xdr:rowOff>
    </xdr:to>
    <mc:AlternateContent xmlns:mc="http://schemas.openxmlformats.org/markup-compatibility/2006" xmlns:a14="http://schemas.microsoft.com/office/drawing/2010/main">
      <mc:Choice Requires="a14">
        <xdr:graphicFrame macro="">
          <xdr:nvGraphicFramePr>
            <xdr:cNvPr id="2" name="Order Date">
              <a:extLst>
                <a:ext uri="{FF2B5EF4-FFF2-40B4-BE49-F238E27FC236}">
                  <a16:creationId xmlns:a16="http://schemas.microsoft.com/office/drawing/2014/main" id="{C8AAB708-8776-437E-85D3-52C682392B00}"/>
                </a:ext>
              </a:extLst>
            </xdr:cNvPr>
            <xdr:cNvGraphicFramePr/>
          </xdr:nvGraphicFramePr>
          <xdr:xfrm>
            <a:off x="0" y="0"/>
            <a:ext cx="0" cy="0"/>
          </xdr:xfrm>
          <a:graphic>
            <a:graphicData uri="http://schemas.microsoft.com/office/drawing/2010/slicer">
              <sle:slicer xmlns:sle="http://schemas.microsoft.com/office/drawing/2010/slicer" name="Order Date"/>
            </a:graphicData>
          </a:graphic>
        </xdr:graphicFrame>
      </mc:Choice>
      <mc:Fallback xmlns="">
        <xdr:sp macro="" textlink="">
          <xdr:nvSpPr>
            <xdr:cNvPr id="0" name=""/>
            <xdr:cNvSpPr>
              <a:spLocks noTextEdit="1"/>
            </xdr:cNvSpPr>
          </xdr:nvSpPr>
          <xdr:spPr>
            <a:xfrm>
              <a:off x="0" y="1455420"/>
              <a:ext cx="1714500" cy="16154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0</xdr:colOff>
      <xdr:row>5</xdr:row>
      <xdr:rowOff>0</xdr:rowOff>
    </xdr:from>
    <xdr:to>
      <xdr:col>2</xdr:col>
      <xdr:colOff>1562100</xdr:colOff>
      <xdr:row>13</xdr:row>
      <xdr:rowOff>175260</xdr:rowOff>
    </xdr:to>
    <mc:AlternateContent xmlns:mc="http://schemas.openxmlformats.org/markup-compatibility/2006" xmlns:a14="http://schemas.microsoft.com/office/drawing/2010/main">
      <mc:Choice Requires="a14">
        <xdr:graphicFrame macro="">
          <xdr:nvGraphicFramePr>
            <xdr:cNvPr id="3" name="Category">
              <a:extLst>
                <a:ext uri="{FF2B5EF4-FFF2-40B4-BE49-F238E27FC236}">
                  <a16:creationId xmlns:a16="http://schemas.microsoft.com/office/drawing/2014/main" id="{B8FA25B2-AEEB-4B92-AEF0-8B9D28281B47}"/>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072640" y="1455420"/>
              <a:ext cx="1562100" cy="16383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0</xdr:colOff>
      <xdr:row>5</xdr:row>
      <xdr:rowOff>0</xdr:rowOff>
    </xdr:from>
    <xdr:to>
      <xdr:col>5</xdr:col>
      <xdr:colOff>15240</xdr:colOff>
      <xdr:row>14</xdr:row>
      <xdr:rowOff>22860</xdr:rowOff>
    </xdr:to>
    <mc:AlternateContent xmlns:mc="http://schemas.openxmlformats.org/markup-compatibility/2006" xmlns:a14="http://schemas.microsoft.com/office/drawing/2010/main">
      <mc:Choice Requires="a14">
        <xdr:graphicFrame macro="">
          <xdr:nvGraphicFramePr>
            <xdr:cNvPr id="4" name="State">
              <a:extLst>
                <a:ext uri="{FF2B5EF4-FFF2-40B4-BE49-F238E27FC236}">
                  <a16:creationId xmlns:a16="http://schemas.microsoft.com/office/drawing/2014/main" id="{2DCE7CED-90B0-4E37-B62A-9E4DB25FEEB6}"/>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4069080" y="1455420"/>
              <a:ext cx="2179320" cy="16687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0</xdr:colOff>
      <xdr:row>5</xdr:row>
      <xdr:rowOff>0</xdr:rowOff>
    </xdr:from>
    <xdr:to>
      <xdr:col>6</xdr:col>
      <xdr:colOff>1752600</xdr:colOff>
      <xdr:row>13</xdr:row>
      <xdr:rowOff>175260</xdr:rowOff>
    </xdr:to>
    <mc:AlternateContent xmlns:mc="http://schemas.openxmlformats.org/markup-compatibility/2006" xmlns:a14="http://schemas.microsoft.com/office/drawing/2010/main">
      <mc:Choice Requires="a14">
        <xdr:graphicFrame macro="">
          <xdr:nvGraphicFramePr>
            <xdr:cNvPr id="5" name="MEMBERSHIP">
              <a:extLst>
                <a:ext uri="{FF2B5EF4-FFF2-40B4-BE49-F238E27FC236}">
                  <a16:creationId xmlns:a16="http://schemas.microsoft.com/office/drawing/2014/main" id="{A3F8792B-A140-45C7-A9FA-D95C53E221D1}"/>
                </a:ext>
              </a:extLst>
            </xdr:cNvPr>
            <xdr:cNvGraphicFramePr/>
          </xdr:nvGraphicFramePr>
          <xdr:xfrm>
            <a:off x="0" y="0"/>
            <a:ext cx="0" cy="0"/>
          </xdr:xfrm>
          <a:graphic>
            <a:graphicData uri="http://schemas.microsoft.com/office/drawing/2010/slicer">
              <sle:slicer xmlns:sle="http://schemas.microsoft.com/office/drawing/2010/slicer" name="MEMBERSHIP"/>
            </a:graphicData>
          </a:graphic>
        </xdr:graphicFrame>
      </mc:Choice>
      <mc:Fallback xmlns="">
        <xdr:sp macro="" textlink="">
          <xdr:nvSpPr>
            <xdr:cNvPr id="0" name=""/>
            <xdr:cNvSpPr>
              <a:spLocks noTextEdit="1"/>
            </xdr:cNvSpPr>
          </xdr:nvSpPr>
          <xdr:spPr>
            <a:xfrm>
              <a:off x="6598920" y="1455420"/>
              <a:ext cx="1752600" cy="16383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14</xdr:row>
      <xdr:rowOff>167640</xdr:rowOff>
    </xdr:from>
    <xdr:to>
      <xdr:col>4</xdr:col>
      <xdr:colOff>2118360</xdr:colOff>
      <xdr:row>33</xdr:row>
      <xdr:rowOff>68580</xdr:rowOff>
    </xdr:to>
    <xdr:graphicFrame macro="">
      <xdr:nvGraphicFramePr>
        <xdr:cNvPr id="6" name="Chart 5">
          <a:extLst>
            <a:ext uri="{FF2B5EF4-FFF2-40B4-BE49-F238E27FC236}">
              <a16:creationId xmlns:a16="http://schemas.microsoft.com/office/drawing/2014/main" id="{03443B1F-704F-497A-99BF-381F5E9B84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7620</xdr:colOff>
      <xdr:row>14</xdr:row>
      <xdr:rowOff>175260</xdr:rowOff>
    </xdr:from>
    <xdr:to>
      <xdr:col>14</xdr:col>
      <xdr:colOff>38100</xdr:colOff>
      <xdr:row>33</xdr:row>
      <xdr:rowOff>106680</xdr:rowOff>
    </xdr:to>
    <xdr:graphicFrame macro="">
      <xdr:nvGraphicFramePr>
        <xdr:cNvPr id="7" name="Chart 6">
          <a:extLst>
            <a:ext uri="{FF2B5EF4-FFF2-40B4-BE49-F238E27FC236}">
              <a16:creationId xmlns:a16="http://schemas.microsoft.com/office/drawing/2014/main" id="{F2E5F21A-E57D-4189-9E40-2E0AEBC014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35</xdr:row>
      <xdr:rowOff>0</xdr:rowOff>
    </xdr:from>
    <xdr:to>
      <xdr:col>5</xdr:col>
      <xdr:colOff>22860</xdr:colOff>
      <xdr:row>53</xdr:row>
      <xdr:rowOff>45720</xdr:rowOff>
    </xdr:to>
    <xdr:graphicFrame macro="">
      <xdr:nvGraphicFramePr>
        <xdr:cNvPr id="8" name="Chart 7">
          <a:extLst>
            <a:ext uri="{FF2B5EF4-FFF2-40B4-BE49-F238E27FC236}">
              <a16:creationId xmlns:a16="http://schemas.microsoft.com/office/drawing/2014/main" id="{F28253AD-67B9-4657-ABD2-FC3DEE6166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83820</xdr:colOff>
      <xdr:row>35</xdr:row>
      <xdr:rowOff>0</xdr:rowOff>
    </xdr:from>
    <xdr:to>
      <xdr:col>14</xdr:col>
      <xdr:colOff>167640</xdr:colOff>
      <xdr:row>53</xdr:row>
      <xdr:rowOff>60960</xdr:rowOff>
    </xdr:to>
    <xdr:graphicFrame macro="">
      <xdr:nvGraphicFramePr>
        <xdr:cNvPr id="9" name="Chart 8">
          <a:extLst>
            <a:ext uri="{FF2B5EF4-FFF2-40B4-BE49-F238E27FC236}">
              <a16:creationId xmlns:a16="http://schemas.microsoft.com/office/drawing/2014/main" id="{47736E92-4428-490B-9206-9A822454D2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76200</xdr:colOff>
      <xdr:row>0</xdr:row>
      <xdr:rowOff>30480</xdr:rowOff>
    </xdr:from>
    <xdr:to>
      <xdr:col>23</xdr:col>
      <xdr:colOff>7620</xdr:colOff>
      <xdr:row>29</xdr:row>
      <xdr:rowOff>99060</xdr:rowOff>
    </xdr:to>
    <xdr:sp macro="" textlink="">
      <xdr:nvSpPr>
        <xdr:cNvPr id="2" name="Rectangle: Rounded Corners 1">
          <a:extLst>
            <a:ext uri="{FF2B5EF4-FFF2-40B4-BE49-F238E27FC236}">
              <a16:creationId xmlns:a16="http://schemas.microsoft.com/office/drawing/2014/main" id="{8C13FE66-F9CF-835D-193A-52971BC721B8}"/>
            </a:ext>
          </a:extLst>
        </xdr:cNvPr>
        <xdr:cNvSpPr/>
      </xdr:nvSpPr>
      <xdr:spPr>
        <a:xfrm>
          <a:off x="76200" y="30480"/>
          <a:ext cx="13952220" cy="5372100"/>
        </a:xfrm>
        <a:prstGeom prst="roundRect">
          <a:avLst/>
        </a:prstGeom>
        <a:ln>
          <a:solidFill>
            <a:schemeClr val="bg1"/>
          </a:solidFill>
        </a:ln>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1</xdr:col>
      <xdr:colOff>137160</xdr:colOff>
      <xdr:row>2</xdr:row>
      <xdr:rowOff>106680</xdr:rowOff>
    </xdr:from>
    <xdr:to>
      <xdr:col>3</xdr:col>
      <xdr:colOff>320040</xdr:colOff>
      <xdr:row>6</xdr:row>
      <xdr:rowOff>53340</xdr:rowOff>
    </xdr:to>
    <xdr:sp macro="" textlink="">
      <xdr:nvSpPr>
        <xdr:cNvPr id="5" name="TextBox 4">
          <a:extLst>
            <a:ext uri="{FF2B5EF4-FFF2-40B4-BE49-F238E27FC236}">
              <a16:creationId xmlns:a16="http://schemas.microsoft.com/office/drawing/2014/main" id="{BAF69A8D-73BE-140A-35FE-26FC8A0B2CBA}"/>
            </a:ext>
          </a:extLst>
        </xdr:cNvPr>
        <xdr:cNvSpPr txBox="1"/>
      </xdr:nvSpPr>
      <xdr:spPr>
        <a:xfrm>
          <a:off x="746760" y="472440"/>
          <a:ext cx="1402080" cy="678180"/>
        </a:xfrm>
        <a:prstGeom prst="rect">
          <a:avLst/>
        </a:prstGeom>
        <a:solidFill>
          <a:schemeClr val="accent5">
            <a:lumMod val="7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t"/>
        <a:lstStyle/>
        <a:p>
          <a:r>
            <a:rPr lang="en-IN" sz="1200" b="0" cap="none" spc="0">
              <a:ln w="0"/>
              <a:solidFill>
                <a:schemeClr val="tx1"/>
              </a:solidFill>
              <a:effectLst>
                <a:outerShdw blurRad="38100" dist="19050" dir="2700000" algn="tl" rotWithShape="0">
                  <a:schemeClr val="dk1">
                    <a:alpha val="40000"/>
                  </a:schemeClr>
                </a:outerShdw>
              </a:effectLst>
            </a:rPr>
            <a:t>TOTAL REVENUE</a:t>
          </a:r>
        </a:p>
        <a:p>
          <a:r>
            <a:rPr lang="en-IN" sz="2000" b="0" i="0" u="none" strike="noStrike" cap="none" spc="0">
              <a:ln w="0"/>
              <a:solidFill>
                <a:schemeClr val="tx1"/>
              </a:solidFill>
              <a:effectLst>
                <a:outerShdw blurRad="38100" dist="19050" dir="2700000" algn="tl" rotWithShape="0">
                  <a:schemeClr val="dk1">
                    <a:alpha val="40000"/>
                  </a:schemeClr>
                </a:outerShdw>
              </a:effectLst>
              <a:latin typeface="+mn-lt"/>
              <a:ea typeface="+mn-ea"/>
              <a:cs typeface="+mn-cs"/>
            </a:rPr>
            <a:t>66857557</a:t>
          </a:r>
          <a:r>
            <a:rPr lang="en-IN" sz="2000" b="0" cap="none" spc="0">
              <a:ln w="0"/>
              <a:solidFill>
                <a:schemeClr val="tx1"/>
              </a:solidFill>
              <a:effectLst>
                <a:outerShdw blurRad="38100" dist="19050" dir="2700000" algn="tl" rotWithShape="0">
                  <a:schemeClr val="dk1">
                    <a:alpha val="40000"/>
                  </a:schemeClr>
                </a:outerShdw>
              </a:effectLst>
            </a:rPr>
            <a:t> </a:t>
          </a:r>
          <a:endParaRPr lang="en-IN" sz="2000" b="0" i="0" u="none" strike="noStrike" cap="none" spc="0">
            <a:ln w="0"/>
            <a:solidFill>
              <a:schemeClr val="tx1"/>
            </a:solidFill>
            <a:effectLst>
              <a:outerShdw blurRad="38100" dist="19050" dir="2700000" algn="tl" rotWithShape="0">
                <a:schemeClr val="dk1">
                  <a:alpha val="40000"/>
                </a:schemeClr>
              </a:outerShdw>
            </a:effectLst>
            <a:latin typeface="+mn-lt"/>
            <a:ea typeface="+mn-ea"/>
            <a:cs typeface="+mn-cs"/>
          </a:endParaRPr>
        </a:p>
        <a:p>
          <a:endParaRPr lang="en-IN" sz="1100" b="0" cap="none" spc="0">
            <a:ln w="0"/>
            <a:solidFill>
              <a:schemeClr val="tx1"/>
            </a:solidFill>
            <a:effectLst>
              <a:outerShdw blurRad="38100" dist="19050" dir="2700000" algn="tl" rotWithShape="0">
                <a:schemeClr val="dk1">
                  <a:alpha val="40000"/>
                </a:schemeClr>
              </a:outerShdw>
            </a:effectLst>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DHIKA DAVE" refreshedDate="46014.946821990743" createdVersion="8" refreshedVersion="8" minRefreshableVersion="3" recordCount="1194" xr:uid="{2161AE96-5B09-4303-AF28-B18ABA461558}">
  <cacheSource type="worksheet">
    <worksheetSource ref="A1:N1195" sheet="Sales_Data"/>
  </cacheSource>
  <cacheFields count="17">
    <cacheField name="Order Date" numFmtId="0">
      <sharedItems count="648">
        <s v="27-06-2023"/>
        <s v="27-12-2024"/>
        <s v="25-07-2021"/>
        <s v="11-05-2024"/>
        <s v="09-10-2021"/>
        <s v="18-11-2022"/>
        <s v="12-11-2023"/>
        <s v="23-03-2020"/>
        <s v="04-05-2020"/>
        <s v="09-11-2023"/>
        <s v="30-12-2024"/>
        <s v="11-02-2025"/>
        <s v="23-01-2024"/>
        <s v="28-11-2020"/>
        <s v="30-05-2024"/>
        <s v="23-01-2022"/>
        <s v="17-12-2021"/>
        <s v="03-02-2023"/>
        <s v="30-10-2022"/>
        <s v="15-01-2022"/>
        <s v="14-12-2023"/>
        <s v="03-07-2023"/>
        <s v="08-05-2021"/>
        <s v="07-10-2022"/>
        <s v="06-08-2024"/>
        <s v="05-01-2022"/>
        <s v="17-10-2020"/>
        <s v="21-08-2023"/>
        <s v="18-06-2021"/>
        <s v="27-05-2023"/>
        <s v="12-10-2021"/>
        <s v="19-09-2022"/>
        <s v="25-03-2022"/>
        <s v="26-02-2022"/>
        <s v="05-04-2021"/>
        <s v="16-11-2020"/>
        <s v="12-12-2024"/>
        <s v="06-04-2023"/>
        <s v="28-01-2024"/>
        <s v="16-01-2022"/>
        <s v="16-12-2022"/>
        <s v="13-07-2023"/>
        <s v="10-03-2025"/>
        <s v="24-09-2024"/>
        <s v="13-04-2020"/>
        <s v="27-06-2022"/>
        <s v="14-03-2021"/>
        <s v="23-02-2022"/>
        <s v="29-03-2022"/>
        <s v="20-11-2022"/>
        <s v="12-11-2021"/>
        <s v="17-08-2021"/>
        <s v="16-05-2022"/>
        <s v="16-07-2023"/>
        <s v="18-08-2020"/>
        <s v="19-04-2022"/>
        <s v="23-12-2022"/>
        <s v="07-12-2024"/>
        <s v="03-02-2022"/>
        <s v="12-12-2021"/>
        <s v="17-05-2020"/>
        <s v="05-12-2022"/>
        <s v="17-09-2024"/>
        <s v="08-05-2023"/>
        <s v="03-03-2021"/>
        <s v="18-03-2021"/>
        <s v="24-04-2023"/>
        <s v="15-04-2022"/>
        <s v="29-08-2022"/>
        <s v="04-09-2024"/>
        <s v="18-05-2021"/>
        <s v="02-07-2024"/>
        <s v="16-02-2024"/>
        <s v="26-11-2021"/>
        <s v="01-02-2024"/>
        <s v="09-09-2021"/>
        <s v="08-09-2021"/>
        <s v="09-07-2024"/>
        <s v="28-02-2023"/>
        <s v="08-08-2022"/>
        <s v="07-12-2022"/>
        <s v="29-04-2024"/>
        <s v="02-01-2022"/>
        <s v="10-06-2022"/>
        <s v="16-11-2021"/>
        <s v="17-08-2022"/>
        <s v="23-11-2021"/>
        <s v="04-03-2023"/>
        <s v="16-12-2023"/>
        <s v="19-05-2024"/>
        <s v="14-05-2020"/>
        <s v="29-08-2021"/>
        <s v="10-11-2024"/>
        <s v="05-12-2021"/>
        <s v="05-07-2024"/>
        <s v="25-06-2024"/>
        <s v="31-05-2024"/>
        <s v="20-10-2020"/>
        <s v="11-08-2022"/>
        <s v="17-10-2021"/>
        <s v="20-09-2023"/>
        <s v="19-01-2021"/>
        <s v="21-08-2020"/>
        <s v="17-04-2023"/>
        <s v="24-12-2023"/>
        <s v="20-03-2022"/>
        <s v="12-08-2021"/>
        <s v="21-12-2020"/>
        <s v="07-07-2023"/>
        <s v="13-08-2023"/>
        <s v="04-02-2021"/>
        <s v="16-09-2022"/>
        <s v="06-05-2022"/>
        <s v="28-05-2021"/>
        <s v="18-07-2024"/>
        <s v="06-12-2024"/>
        <s v="12-12-2022"/>
        <s v="20-10-2022"/>
        <s v="24-03-2021"/>
        <s v="06-01-2025"/>
        <s v="06-03-2021"/>
        <s v="17-06-2020"/>
        <s v="01-09-2023"/>
        <s v="08-06-2023"/>
        <s v="25-03-2021"/>
        <s v="03-01-2021"/>
        <s v="12-08-2022"/>
        <s v="28-03-2022"/>
        <s v="15-07-2023"/>
        <s v="22-09-2022"/>
        <s v="20-12-2022"/>
        <s v="29-01-2023"/>
        <s v="24-03-2024"/>
        <s v="19-02-2025"/>
        <s v="13-07-2024"/>
        <s v="28-04-2023"/>
        <s v="05-12-2020"/>
        <s v="14-05-2024"/>
        <s v="18-01-2022"/>
        <s v="18-09-2023"/>
        <s v="12-05-2021"/>
        <s v="17-09-2023"/>
        <s v="06-09-2024"/>
        <s v="18-06-2022"/>
        <s v="22-05-2020"/>
        <s v="17-10-2024"/>
        <s v="22-03-2022"/>
        <s v="17-03-2024"/>
        <s v="02-04-2020"/>
        <s v="13-03-2024"/>
        <s v="21-03-2023"/>
        <s v="02-03-2024"/>
        <s v="30-04-2021"/>
        <s v="15-09-2021"/>
        <s v="28-01-2023"/>
        <s v="08-07-2021"/>
        <s v="08-04-2020"/>
        <s v="23-08-2022"/>
        <s v="17-12-2022"/>
        <s v="08-06-2022"/>
        <s v="28-08-2020"/>
        <s v="26-09-2020"/>
        <s v="13-12-2020"/>
        <s v="19-11-2020"/>
        <s v="13-09-2023"/>
        <s v="31-03-2020"/>
        <s v="04-08-2023"/>
        <s v="11-04-2022"/>
        <s v="31-12-2021"/>
        <s v="16-08-2020"/>
        <s v="02-02-2025"/>
        <s v="24-02-2022"/>
        <s v="25-02-2024"/>
        <s v="15-06-2021"/>
        <s v="08-12-2022"/>
        <s v="09-12-2023"/>
        <s v="16-07-2022"/>
        <s v="05-05-2024"/>
        <s v="04-10-2021"/>
        <s v="20-11-2021"/>
        <s v="15-09-2020"/>
        <s v="17-01-2023"/>
        <s v="16-06-2020"/>
        <s v="01-05-2024"/>
        <s v="07-12-2023"/>
        <s v="02-02-2024"/>
        <s v="23-06-2024"/>
        <s v="07-06-2024"/>
        <s v="13-10-2023"/>
        <s v="08-10-2022"/>
        <s v="27-10-2023"/>
        <s v="09-02-2021"/>
        <s v="03-11-2020"/>
        <s v="30-05-2022"/>
        <s v="16-06-2024"/>
        <s v="15-07-2022"/>
        <s v="18-07-2021"/>
        <s v="02-10-2021"/>
        <s v="16-04-2024"/>
        <s v="09-07-2020"/>
        <s v="25-07-2020"/>
        <s v="24-01-2024"/>
        <s v="13-11-2021"/>
        <s v="07-10-2023"/>
        <s v="23-10-2021"/>
        <s v="18-07-2022"/>
        <s v="23-08-2024"/>
        <s v="28-10-2020"/>
        <s v="15-06-2024"/>
        <s v="19-12-2024"/>
        <s v="04-09-2020"/>
        <s v="16-04-2022"/>
        <s v="29-08-2024"/>
        <s v="14-01-2022"/>
        <s v="07-04-2024"/>
        <s v="24-04-2022"/>
        <s v="27-08-2020"/>
        <s v="01-03-2023"/>
        <s v="02-10-2020"/>
        <s v="23-06-2020"/>
        <s v="01-08-2022"/>
        <s v="16-07-2020"/>
        <s v="02-05-2020"/>
        <s v="10-01-2024"/>
        <s v="30-09-2020"/>
        <s v="30-01-2021"/>
        <s v="14-03-2025"/>
        <s v="26-10-2021"/>
        <s v="11-01-2023"/>
        <s v="31-10-2021"/>
        <s v="04-05-2023"/>
        <s v="09-08-2024"/>
        <s v="21-08-2022"/>
        <s v="19-06-2022"/>
        <s v="29-01-2025"/>
        <s v="15-06-2023"/>
        <s v="18-10-2023"/>
        <s v="13-06-2022"/>
        <s v="12-06-2024"/>
        <s v="18-02-2021"/>
        <s v="29-05-2023"/>
        <s v="04-06-2021"/>
        <s v="22-01-2024"/>
        <s v="27-12-2022"/>
        <s v="30-03-2024"/>
        <s v="04-04-2020"/>
        <s v="22-01-2023"/>
        <s v="12-04-2022"/>
        <s v="13-12-2023"/>
        <s v="24-05-2023"/>
        <s v="29-11-2020"/>
        <s v="19-08-2020"/>
        <s v="26-12-2024"/>
        <s v="03-12-2021"/>
        <s v="14-09-2021"/>
        <s v="30-09-2021"/>
        <s v="22-12-2021"/>
        <s v="18-05-2022"/>
        <s v="08-10-2020"/>
        <s v="20-08-2022"/>
        <s v="25-11-2024"/>
        <s v="20-02-2025"/>
        <s v="07-03-2025"/>
        <s v="21-11-2020"/>
        <s v="01-10-2024"/>
        <s v="01-07-2024"/>
        <s v="23-11-2020"/>
        <s v="18-03-2023"/>
        <s v="19-10-2022"/>
        <s v="31-08-2023"/>
        <s v="06-06-2021"/>
        <s v="21-12-2022"/>
        <s v="12-02-2024"/>
        <s v="04-04-2021"/>
        <s v="12-02-2021"/>
        <s v="19-01-2024"/>
        <s v="25-12-2022"/>
        <s v="06-10-2022"/>
        <s v="27-04-2020"/>
        <s v="13-05-2024"/>
        <s v="23-10-2020"/>
        <s v="11-06-2021"/>
        <s v="23-11-2022"/>
        <s v="31-10-2022"/>
        <s v="06-11-2023"/>
        <s v="26-06-2023"/>
        <s v="30-09-2023"/>
        <s v="12-09-2020"/>
        <s v="27-11-2020"/>
        <s v="25-08-2022"/>
        <s v="23-08-2023"/>
        <s v="11-10-2023"/>
        <s v="21-04-2022"/>
        <s v="14-09-2023"/>
        <s v="29-04-2020"/>
        <s v="15-12-2020"/>
        <s v="11-07-2024"/>
        <s v="21-09-2024"/>
        <s v="21-10-2022"/>
        <s v="21-10-2020"/>
        <s v="11-01-2022"/>
        <s v="17-02-2021"/>
        <s v="06-11-2021"/>
        <s v="30-08-2022"/>
        <s v="04-06-2023"/>
        <s v="13-05-2022"/>
        <s v="23-01-2023"/>
        <s v="08-03-2025"/>
        <s v="24-04-2024"/>
        <s v="24-12-2021"/>
        <s v="07-09-2023"/>
        <s v="10-08-2021"/>
        <s v="26-05-2024"/>
        <s v="19-02-2022"/>
        <s v="09-12-2024"/>
        <s v="01-06-2023"/>
        <s v="05-11-2023"/>
        <s v="21-06-2020"/>
        <s v="26-10-2020"/>
        <s v="06-06-2022"/>
        <s v="11-11-2021"/>
        <s v="31-07-2021"/>
        <s v="13-04-2024"/>
        <s v="23-03-2024"/>
        <s v="07-05-2021"/>
        <s v="09-08-2021"/>
        <s v="09-02-2025"/>
        <s v="23-04-2024"/>
        <s v="23-02-2023"/>
        <s v="06-06-2024"/>
        <s v="27-01-2025"/>
        <s v="07-04-2023"/>
        <s v="20-01-2022"/>
        <s v="10-05-2022"/>
        <s v="29-05-2024"/>
        <s v="04-01-2022"/>
        <s v="02-05-2024"/>
        <s v="28-12-2021"/>
        <s v="17-08-2023"/>
        <s v="29-11-2021"/>
        <s v="13-06-2021"/>
        <s v="04-07-2022"/>
        <s v="27-06-2021"/>
        <s v="04-12-2023"/>
        <s v="09-08-2022"/>
        <s v="20-10-2023"/>
        <s v="10-02-2022"/>
        <s v="05-10-2023"/>
        <s v="03-04-2021"/>
        <s v="03-05-2021"/>
        <s v="11-02-2024"/>
        <s v="04-02-2025"/>
        <s v="12-10-2022"/>
        <s v="06-02-2022"/>
        <s v="09-11-2020"/>
        <s v="03-05-2023"/>
        <s v="04-10-2022"/>
        <s v="21-08-2024"/>
        <s v="13-05-2020"/>
        <s v="21-01-2021"/>
        <s v="28-02-2022"/>
        <s v="25-04-2024"/>
        <s v="10-03-2023"/>
        <s v="10-07-2023"/>
        <s v="28-07-2024"/>
        <s v="30-07-2023"/>
        <s v="05-10-2024"/>
        <s v="20-02-2024"/>
        <s v="19-04-2023"/>
        <s v="29-10-2023"/>
        <s v="08-03-2022"/>
        <s v="27-07-2024"/>
        <s v="05-07-2022"/>
        <s v="04-07-2024"/>
        <s v="28-02-2024"/>
        <s v="03-01-2025"/>
        <s v="07-12-2021"/>
        <s v="14-12-2021"/>
        <s v="30-11-2020"/>
        <s v="29-12-2021"/>
        <s v="08-07-2024"/>
        <s v="10-02-2021"/>
        <s v="28-12-2023"/>
        <s v="10-08-2022"/>
        <s v="17-10-2023"/>
        <s v="24-05-2024"/>
        <s v="10-02-2024"/>
        <s v="06-02-2021"/>
        <s v="16-03-2022"/>
        <s v="24-05-2020"/>
        <s v="16-02-2025"/>
        <s v="08-09-2024"/>
        <s v="29-06-2022"/>
        <s v="03-11-2022"/>
        <s v="28-11-2023"/>
        <s v="25-04-2020"/>
        <s v="23-03-2022"/>
        <s v="24-06-2020"/>
        <s v="24-11-2024"/>
        <s v="06-11-2020"/>
        <s v="24-10-2023"/>
        <s v="18-07-2023"/>
        <s v="22-10-2022"/>
        <s v="17-07-2023"/>
        <s v="24-02-2025"/>
        <s v="07-03-2021"/>
        <s v="25-10-2023"/>
        <s v="02-04-2023"/>
        <s v="21-10-2024"/>
        <s v="09-07-2021"/>
        <s v="08-04-2022"/>
        <s v="30-04-2022"/>
        <s v="20-01-2023"/>
        <s v="17-11-2024"/>
        <s v="23-04-2022"/>
        <s v="18-02-2025"/>
        <s v="27-05-2021"/>
        <s v="17-01-2022"/>
        <s v="15-01-2025"/>
        <s v="14-02-2021"/>
        <s v="31-08-2024"/>
        <s v="26-12-2022"/>
        <s v="21-03-2024"/>
        <s v="17-07-2022"/>
        <s v="05-12-2024"/>
        <s v="02-11-2023"/>
        <s v="13-11-2022"/>
        <s v="28-12-2022"/>
        <s v="26-02-2025"/>
        <s v="12-11-2022"/>
        <s v="07-06-2021"/>
        <s v="10-04-2024"/>
        <s v="21-12-2023"/>
        <s v="21-11-2024"/>
        <s v="17-03-2022"/>
        <s v="14-05-2023"/>
        <s v="07-10-2024"/>
        <s v="08-09-2020"/>
        <s v="19-08-2021"/>
        <s v="23-05-2020"/>
        <s v="18-04-2020"/>
        <s v="04-06-2022"/>
        <s v="16-11-2022"/>
        <s v="10-08-2020"/>
        <s v="22-06-2024"/>
        <s v="13-07-2020"/>
        <s v="13-03-2021"/>
        <s v="01-04-2023"/>
        <s v="10-11-2020"/>
        <s v="03-09-2022"/>
        <s v="01-10-2020"/>
        <s v="27-05-2022"/>
        <s v="10-03-2024"/>
        <s v="28-08-2022"/>
        <s v="27-04-2021"/>
        <s v="21-08-2021"/>
        <s v="16-05-2021"/>
        <s v="15-02-2022"/>
        <s v="30-11-2023"/>
        <s v="12-01-2023"/>
        <s v="19-05-2023"/>
        <s v="19-02-2024"/>
        <s v="01-12-2021"/>
        <s v="18-01-2023"/>
        <s v="23-12-2020"/>
        <s v="28-02-2021"/>
        <s v="22-04-2020"/>
        <s v="13-08-2021"/>
        <s v="20-07-2023"/>
        <s v="14-03-2023"/>
        <s v="07-11-2023"/>
        <s v="31-10-2024"/>
        <s v="29-10-2021"/>
        <s v="27-12-2023"/>
        <s v="25-06-2023"/>
        <s v="01-09-2020"/>
        <s v="01-02-2025"/>
        <s v="22-07-2023"/>
        <s v="04-02-2022"/>
        <s v="27-09-2023"/>
        <s v="30-01-2025"/>
        <s v="28-03-2021"/>
        <s v="25-12-2021"/>
        <s v="22-11-2024"/>
        <s v="08-10-2024"/>
        <s v="16-12-2020"/>
        <s v="15-03-2025"/>
        <s v="21-09-2020"/>
        <s v="11-01-2025"/>
        <s v="20-10-2021"/>
        <s v="19-10-2021"/>
        <s v="07-07-2024"/>
        <s v="25-07-2023"/>
        <s v="16-04-2020"/>
        <s v="04-07-2020"/>
        <s v="25-11-2023"/>
        <s v="02-07-2023"/>
        <s v="24-08-2020"/>
        <s v="07-11-2022"/>
        <s v="27-03-2024"/>
        <s v="01-09-2024"/>
        <s v="22-02-2022"/>
        <s v="11-02-2022"/>
        <s v="05-07-2023"/>
        <s v="27-10-2020"/>
        <s v="26-01-2023"/>
        <s v="06-09-2021"/>
        <s v="30-07-2024"/>
        <s v="15-03-2022"/>
        <s v="15-03-2024"/>
        <s v="23-07-2022"/>
        <s v="13-09-2024"/>
        <s v="25-01-2022"/>
        <s v="19-04-2021"/>
        <s v="24-06-2022"/>
        <s v="08-06-2024"/>
        <s v="29-09-2022"/>
        <s v="10-05-2023"/>
        <s v="12-04-2021"/>
        <s v="04-11-2023"/>
        <s v="10-09-2023"/>
        <s v="05-01-2024"/>
        <s v="08-05-2024"/>
        <s v="10-09-2020"/>
        <s v="12-07-2020"/>
        <s v="17-02-2023"/>
        <s v="21-07-2021"/>
        <s v="31-12-2020"/>
        <s v="05-04-2023"/>
        <s v="29-12-2024"/>
        <s v="11-08-2020"/>
        <s v="04-03-2024"/>
        <s v="28-07-2023"/>
        <s v="27-11-2021"/>
        <s v="09-09-2020"/>
        <s v="02-06-2021"/>
        <s v="22-08-2022"/>
        <s v="12-03-2021"/>
        <s v="26-06-2024"/>
        <s v="08-12-2023"/>
        <s v="27-11-2024"/>
        <s v="10-01-2022"/>
        <s v="01-11-2021"/>
        <s v="28-10-2023"/>
        <s v="01-03-2025"/>
        <s v="01-08-2024"/>
        <s v="07-06-2023"/>
        <s v="04-01-2021"/>
        <s v="14-12-2024"/>
        <s v="25-07-2022"/>
        <s v="07-05-2022"/>
        <s v="12-09-2022"/>
        <s v="20-08-2023"/>
        <s v="27-12-2020"/>
        <s v="04-09-2023"/>
        <s v="08-01-2022"/>
        <s v="05-06-2023"/>
        <s v="01-04-2021"/>
        <s v="28-05-2024"/>
        <s v="09-03-2023"/>
        <s v="28-07-2022"/>
        <s v="17-06-2021"/>
        <s v="13-02-2024"/>
        <s v="06-08-2021"/>
        <s v="01-05-2022"/>
        <s v="11-03-2024"/>
        <s v="06-07-2020"/>
        <s v="17-12-2020"/>
        <s v="27-02-2025"/>
        <s v="05-06-2021"/>
        <s v="22-12-2022"/>
        <s v="25-01-2025"/>
        <s v="14-02-2025"/>
        <s v="06-01-2023"/>
        <s v="11-10-2020"/>
        <s v="12-03-2024"/>
        <s v="17-05-2022"/>
        <s v="24-08-2021"/>
        <s v="21-02-2024"/>
        <s v="15-05-2022"/>
        <s v="22-07-2022"/>
        <s v="13-12-2021"/>
        <s v="03-06-2021"/>
        <s v="02-02-2023"/>
        <s v="05-06-2022"/>
        <s v="11-05-2020"/>
        <s v="25-11-2020"/>
        <s v="12-08-2023"/>
        <s v="17-01-2024"/>
        <s v="24-11-2021"/>
        <s v="06-10-2021"/>
        <s v="23-05-2022"/>
        <s v="22-02-2021"/>
        <s v="07-06-2020"/>
        <s v="21-05-2024"/>
        <s v="05-08-2020"/>
        <s v="15-10-2020"/>
        <s v="15-05-2021"/>
        <s v="13-01-2022"/>
        <s v="18-11-2023"/>
        <s v="19-01-2022"/>
        <s v="07-08-2024"/>
        <s v="26-07-2022"/>
        <s v="13-01-2024"/>
        <s v="25-04-2023"/>
        <s v="05-07-2021"/>
        <s v="12-10-2024"/>
        <s v="07-02-2024"/>
        <s v="05-03-2021"/>
        <s v="02-08-2021"/>
        <s v="19-08-2022"/>
        <s v="19-09-2024"/>
        <s v="05-04-2020"/>
        <s v="16-03-2023"/>
        <s v="15-10-2024"/>
        <s v="09-06-2022"/>
        <s v="09-04-2023"/>
        <s v="24-11-2023"/>
        <s v="29-11-2023"/>
        <s v="20-05-2024"/>
        <s v="13-07-2022"/>
        <s v="19-04-2020"/>
        <s v="14-11-2024"/>
        <s v="21-03-2021"/>
        <s v="31-05-2023"/>
        <s v="14-01-2025"/>
        <s v="24-12-2020"/>
        <s v="05-10-2021"/>
        <s v="28-12-2024"/>
        <s v="14-05-2022"/>
        <s v="19-08-2023"/>
        <s v="14-07-2023"/>
        <s v="22-06-2023"/>
        <s v="25-05-2021"/>
        <s v="02-04-2024"/>
        <s v="03-12-2022"/>
        <s v="12-07-2021"/>
        <s v="22-03-2020"/>
        <s v="09-08-2020"/>
        <s v="18-02-2022"/>
        <s v="14-06-2021"/>
        <s v="01-03-2021"/>
        <s v="23-09-2023"/>
        <s v="31-07-2024"/>
        <s v="02-06-2020"/>
        <s v="15-12-2022"/>
        <s v="07-08-2020"/>
        <s v="26-10-2024"/>
      </sharedItems>
    </cacheField>
    <cacheField name="CustomerName" numFmtId="0">
      <sharedItems/>
    </cacheField>
    <cacheField name="Category" numFmtId="0">
      <sharedItems count="3">
        <s v="Electronics"/>
        <s v="Office Supplies"/>
        <s v="Furniture"/>
      </sharedItems>
    </cacheField>
    <cacheField name="Sub-Category" numFmtId="0">
      <sharedItems/>
    </cacheField>
    <cacheField name="Quantity" numFmtId="0">
      <sharedItems containsSemiMixedTypes="0" containsString="0" containsNumber="1" containsInteger="1" minValue="1" maxValue="20"/>
    </cacheField>
    <cacheField name="State" numFmtId="0">
      <sharedItems count="6">
        <s v="Florida"/>
        <s v="Illinois"/>
        <s v="New York"/>
        <s v="California"/>
        <s v="Texas"/>
        <s v="Ohio"/>
      </sharedItems>
    </cacheField>
    <cacheField name="City" numFmtId="0">
      <sharedItems/>
    </cacheField>
    <cacheField name="Amount" numFmtId="0">
      <sharedItems containsSemiMixedTypes="0" containsString="0" containsNumber="1" containsInteger="1" minValue="508" maxValue="9992"/>
    </cacheField>
    <cacheField name="PaymentMode" numFmtId="0">
      <sharedItems count="5">
        <s v="UPI"/>
        <s v="Debit Card"/>
        <s v="EMI"/>
        <s v="Credit Card"/>
        <s v="COD"/>
      </sharedItems>
    </cacheField>
    <cacheField name="MEMBERSHIP" numFmtId="0">
      <sharedItems count="5">
        <s v="PLATINUM"/>
        <s v="SILEVER"/>
        <s v="BASIC"/>
        <s v="NORMAL"/>
        <s v="GOLD"/>
      </sharedItems>
    </cacheField>
    <cacheField name="Month " numFmtId="14">
      <sharedItems containsSemiMixedTypes="0" containsNonDate="0" containsDate="1" containsString="0" minDate="2020-03-01T00:00:00" maxDate="2025-03-02T00:00:00" count="61">
        <d v="2023-06-01T00:00:00"/>
        <d v="2024-12-01T00:00:00"/>
        <d v="2021-07-01T00:00:00"/>
        <d v="2024-05-01T00:00:00"/>
        <d v="2021-10-01T00:00:00"/>
        <d v="2022-11-01T00:00:00"/>
        <d v="2023-11-01T00:00:00"/>
        <d v="2020-03-01T00:00:00"/>
        <d v="2020-05-01T00:00:00"/>
        <d v="2025-02-01T00:00:00"/>
        <d v="2024-01-01T00:00:00"/>
        <d v="2020-11-01T00:00:00"/>
        <d v="2022-01-01T00:00:00"/>
        <d v="2021-12-01T00:00:00"/>
        <d v="2023-02-01T00:00:00"/>
        <d v="2022-10-01T00:00:00"/>
        <d v="2023-12-01T00:00:00"/>
        <d v="2023-07-01T00:00:00"/>
        <d v="2021-05-01T00:00:00"/>
        <d v="2024-08-01T00:00:00"/>
        <d v="2020-10-01T00:00:00"/>
        <d v="2023-08-01T00:00:00"/>
        <d v="2021-06-01T00:00:00"/>
        <d v="2023-05-01T00:00:00"/>
        <d v="2022-09-01T00:00:00"/>
        <d v="2022-03-01T00:00:00"/>
        <d v="2022-02-01T00:00:00"/>
        <d v="2021-04-01T00:00:00"/>
        <d v="2023-04-01T00:00:00"/>
        <d v="2022-12-01T00:00:00"/>
        <d v="2025-03-01T00:00:00"/>
        <d v="2024-09-01T00:00:00"/>
        <d v="2020-04-01T00:00:00"/>
        <d v="2022-06-01T00:00:00"/>
        <d v="2021-03-01T00:00:00"/>
        <d v="2021-11-01T00:00:00"/>
        <d v="2021-08-01T00:00:00"/>
        <d v="2022-05-01T00:00:00"/>
        <d v="2020-08-01T00:00:00"/>
        <d v="2022-04-01T00:00:00"/>
        <d v="2022-08-01T00:00:00"/>
        <d v="2024-07-01T00:00:00"/>
        <d v="2024-02-01T00:00:00"/>
        <d v="2021-09-01T00:00:00"/>
        <d v="2024-04-01T00:00:00"/>
        <d v="2023-03-01T00:00:00"/>
        <d v="2024-11-01T00:00:00"/>
        <d v="2024-06-01T00:00:00"/>
        <d v="2023-09-01T00:00:00"/>
        <d v="2021-01-01T00:00:00"/>
        <d v="2020-12-01T00:00:00"/>
        <d v="2021-02-01T00:00:00"/>
        <d v="2025-01-01T00:00:00"/>
        <d v="2020-06-01T00:00:00"/>
        <d v="2023-01-01T00:00:00"/>
        <d v="2024-03-01T00:00:00"/>
        <d v="2024-10-01T00:00:00"/>
        <d v="2020-09-01T00:00:00"/>
        <d v="2022-07-01T00:00:00"/>
        <d v="2023-10-01T00:00:00"/>
        <d v="2020-07-01T00:00:00"/>
      </sharedItems>
      <fieldGroup par="16"/>
    </cacheField>
    <cacheField name="Year" numFmtId="0">
      <sharedItems containsSemiMixedTypes="0" containsString="0" containsNumber="1" containsInteger="1" minValue="2020" maxValue="2025" count="6">
        <n v="2023"/>
        <n v="2024"/>
        <n v="2021"/>
        <n v="2022"/>
        <n v="2020"/>
        <n v="2025"/>
      </sharedItems>
    </cacheField>
    <cacheField name="Revenue " numFmtId="0">
      <sharedItems containsSemiMixedTypes="0" containsString="0" containsNumber="1" containsInteger="1" minValue="697" maxValue="199840"/>
    </cacheField>
    <cacheField name="Order Types" numFmtId="0">
      <sharedItems/>
    </cacheField>
    <cacheField name="Months (Month )" numFmtId="0" databaseField="0">
      <fieldGroup base="10">
        <rangePr groupBy="months" startDate="2020-03-01T00:00:00" endDate="2025-03-02T00:00:00"/>
        <groupItems count="14">
          <s v="&lt;01-03-2020"/>
          <s v="Jan"/>
          <s v="Feb"/>
          <s v="Mar"/>
          <s v="Apr"/>
          <s v="May"/>
          <s v="Jun"/>
          <s v="Jul"/>
          <s v="Aug"/>
          <s v="Sep"/>
          <s v="Oct"/>
          <s v="Nov"/>
          <s v="Dec"/>
          <s v="&gt;02-03-2025"/>
        </groupItems>
      </fieldGroup>
    </cacheField>
    <cacheField name="Quarters (Month )" numFmtId="0" databaseField="0">
      <fieldGroup base="10">
        <rangePr groupBy="quarters" startDate="2020-03-01T00:00:00" endDate="2025-03-02T00:00:00"/>
        <groupItems count="6">
          <s v="&lt;01-03-2020"/>
          <s v="Qtr1"/>
          <s v="Qtr2"/>
          <s v="Qtr3"/>
          <s v="Qtr4"/>
          <s v="&gt;02-03-2025"/>
        </groupItems>
      </fieldGroup>
    </cacheField>
    <cacheField name="Years (Month )" numFmtId="0" databaseField="0">
      <fieldGroup base="10">
        <rangePr groupBy="years" startDate="2020-03-01T00:00:00" endDate="2025-03-02T00:00:00"/>
        <groupItems count="8">
          <s v="&lt;01-03-2020"/>
          <s v="2020"/>
          <s v="2021"/>
          <s v="2022"/>
          <s v="2023"/>
          <s v="2024"/>
          <s v="2025"/>
          <s v="&gt;02-03-2025"/>
        </groupItems>
      </fieldGroup>
    </cacheField>
  </cacheFields>
  <extLst>
    <ext xmlns:x14="http://schemas.microsoft.com/office/spreadsheetml/2009/9/main" uri="{725AE2AE-9491-48be-B2B4-4EB974FC3084}">
      <x14:pivotCacheDefinition pivotCacheId="189195507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4">
  <r>
    <x v="0"/>
    <s v="David Padilla"/>
    <x v="0"/>
    <s v="Electronic Games"/>
    <n v="5"/>
    <x v="0"/>
    <s v="MIAMI"/>
    <n v="9726"/>
    <x v="0"/>
    <x v="0"/>
    <x v="0"/>
    <x v="0"/>
    <n v="48630"/>
    <s v="Low Bulk"/>
  </r>
  <r>
    <x v="1"/>
    <s v="Connor Morgan"/>
    <x v="0"/>
    <s v="Electronic Games"/>
    <n v="5"/>
    <x v="1"/>
    <s v="CHICAGO"/>
    <n v="9726"/>
    <x v="0"/>
    <x v="0"/>
    <x v="1"/>
    <x v="1"/>
    <n v="48630"/>
    <s v="Low Bulk"/>
  </r>
  <r>
    <x v="2"/>
    <s v="Robert Stone"/>
    <x v="0"/>
    <s v="Electronic Games"/>
    <n v="5"/>
    <x v="2"/>
    <s v="BUFFALO"/>
    <n v="9726"/>
    <x v="0"/>
    <x v="0"/>
    <x v="2"/>
    <x v="2"/>
    <n v="48630"/>
    <s v="Low Bulk"/>
  </r>
  <r>
    <x v="0"/>
    <s v="David Padilla"/>
    <x v="0"/>
    <s v="Printers"/>
    <n v="14"/>
    <x v="0"/>
    <s v="MIAMI"/>
    <n v="4975"/>
    <x v="0"/>
    <x v="1"/>
    <x v="0"/>
    <x v="0"/>
    <n v="69650"/>
    <s v="Medium Bulk"/>
  </r>
  <r>
    <x v="1"/>
    <s v="Connor Morgan"/>
    <x v="0"/>
    <s v="Printers"/>
    <n v="14"/>
    <x v="1"/>
    <s v="CHICAGO"/>
    <n v="4975"/>
    <x v="0"/>
    <x v="1"/>
    <x v="1"/>
    <x v="1"/>
    <n v="69650"/>
    <s v="Medium Bulk"/>
  </r>
  <r>
    <x v="2"/>
    <s v="Robert Stone"/>
    <x v="0"/>
    <s v="Printers"/>
    <n v="14"/>
    <x v="2"/>
    <s v="BUFFALO"/>
    <n v="4975"/>
    <x v="0"/>
    <x v="1"/>
    <x v="2"/>
    <x v="2"/>
    <n v="69650"/>
    <s v="Medium Bulk"/>
  </r>
  <r>
    <x v="3"/>
    <s v="John Fields"/>
    <x v="1"/>
    <s v="Pens"/>
    <n v="12"/>
    <x v="0"/>
    <s v="ORLANDO"/>
    <n v="1525"/>
    <x v="1"/>
    <x v="2"/>
    <x v="3"/>
    <x v="1"/>
    <n v="18300"/>
    <s v="Medium Bulk"/>
  </r>
  <r>
    <x v="4"/>
    <s v="Clayton Smith"/>
    <x v="1"/>
    <s v="Pens"/>
    <n v="12"/>
    <x v="0"/>
    <s v="MIAMI"/>
    <n v="1525"/>
    <x v="1"/>
    <x v="2"/>
    <x v="4"/>
    <x v="2"/>
    <n v="18300"/>
    <s v="Medium Bulk"/>
  </r>
  <r>
    <x v="5"/>
    <s v="Richard Kelley"/>
    <x v="0"/>
    <s v="Laptops"/>
    <n v="10"/>
    <x v="3"/>
    <s v="LOS ANGELES"/>
    <n v="883"/>
    <x v="2"/>
    <x v="2"/>
    <x v="5"/>
    <x v="3"/>
    <n v="8830"/>
    <s v="Medium Bulk"/>
  </r>
  <r>
    <x v="5"/>
    <s v="Richard Kelley"/>
    <x v="2"/>
    <s v="Tables"/>
    <n v="16"/>
    <x v="3"/>
    <s v="LOS ANGELES"/>
    <n v="8127"/>
    <x v="3"/>
    <x v="0"/>
    <x v="5"/>
    <x v="3"/>
    <n v="130032"/>
    <s v="High Bulk"/>
  </r>
  <r>
    <x v="6"/>
    <s v="Jacqueline Hubbard"/>
    <x v="2"/>
    <s v="Chairs"/>
    <n v="19"/>
    <x v="2"/>
    <s v="NEW YORK CITY"/>
    <n v="2516"/>
    <x v="0"/>
    <x v="3"/>
    <x v="6"/>
    <x v="0"/>
    <n v="47804"/>
    <s v="High Bulk"/>
  </r>
  <r>
    <x v="7"/>
    <s v="Jessica Anderson"/>
    <x v="1"/>
    <s v="Pens"/>
    <n v="14"/>
    <x v="2"/>
    <s v="NEW YORK CITY"/>
    <n v="2975"/>
    <x v="3"/>
    <x v="3"/>
    <x v="7"/>
    <x v="4"/>
    <n v="41650"/>
    <s v="Medium Bulk"/>
  </r>
  <r>
    <x v="8"/>
    <s v="Mary Taylor"/>
    <x v="1"/>
    <s v="Markers"/>
    <n v="1"/>
    <x v="0"/>
    <s v="ORLANDO"/>
    <n v="6851"/>
    <x v="1"/>
    <x v="4"/>
    <x v="8"/>
    <x v="4"/>
    <n v="6851"/>
    <s v="Normal"/>
  </r>
  <r>
    <x v="8"/>
    <s v="Mary Taylor"/>
    <x v="2"/>
    <s v="Sofas"/>
    <n v="15"/>
    <x v="0"/>
    <s v="ORLANDO"/>
    <n v="7626"/>
    <x v="3"/>
    <x v="4"/>
    <x v="8"/>
    <x v="4"/>
    <n v="114390"/>
    <s v="High Bulk"/>
  </r>
  <r>
    <x v="8"/>
    <s v="Mary Taylor"/>
    <x v="2"/>
    <s v="Tables"/>
    <n v="9"/>
    <x v="0"/>
    <s v="ORLANDO"/>
    <n v="1023"/>
    <x v="0"/>
    <x v="2"/>
    <x v="8"/>
    <x v="4"/>
    <n v="9207"/>
    <s v="Low Bulk"/>
  </r>
  <r>
    <x v="9"/>
    <s v="Walter Crawford"/>
    <x v="1"/>
    <s v="Pens"/>
    <n v="10"/>
    <x v="1"/>
    <s v="SPRINGFIELD"/>
    <n v="7600"/>
    <x v="0"/>
    <x v="4"/>
    <x v="6"/>
    <x v="0"/>
    <n v="76000"/>
    <s v="Medium Bulk"/>
  </r>
  <r>
    <x v="9"/>
    <s v="Walter Crawford"/>
    <x v="1"/>
    <s v="Paper"/>
    <n v="18"/>
    <x v="1"/>
    <s v="SPRINGFIELD"/>
    <n v="7501"/>
    <x v="4"/>
    <x v="4"/>
    <x v="6"/>
    <x v="0"/>
    <n v="135018"/>
    <s v="High Bulk"/>
  </r>
  <r>
    <x v="10"/>
    <s v="Lawrence Robinson"/>
    <x v="1"/>
    <s v="Paper"/>
    <n v="6"/>
    <x v="2"/>
    <s v="ROCHESTER"/>
    <n v="725"/>
    <x v="3"/>
    <x v="2"/>
    <x v="1"/>
    <x v="1"/>
    <n v="4350"/>
    <s v="Low Bulk"/>
  </r>
  <r>
    <x v="10"/>
    <s v="Lawrence Robinson"/>
    <x v="2"/>
    <s v="Tables"/>
    <n v="2"/>
    <x v="2"/>
    <s v="ROCHESTER"/>
    <n v="7201"/>
    <x v="3"/>
    <x v="4"/>
    <x v="1"/>
    <x v="1"/>
    <n v="14402"/>
    <s v="Normal"/>
  </r>
  <r>
    <x v="11"/>
    <s v="Douglas Pennington"/>
    <x v="1"/>
    <s v="Paper"/>
    <n v="1"/>
    <x v="4"/>
    <s v="DALLAS"/>
    <n v="1629"/>
    <x v="0"/>
    <x v="2"/>
    <x v="9"/>
    <x v="5"/>
    <n v="1629"/>
    <s v="Normal"/>
  </r>
  <r>
    <x v="12"/>
    <s v="Ricardo Andrews"/>
    <x v="1"/>
    <s v="Paper"/>
    <n v="1"/>
    <x v="3"/>
    <s v="SAN DIEGO"/>
    <n v="1629"/>
    <x v="0"/>
    <x v="2"/>
    <x v="10"/>
    <x v="1"/>
    <n v="1629"/>
    <s v="Normal"/>
  </r>
  <r>
    <x v="13"/>
    <s v="Paul Raymond"/>
    <x v="1"/>
    <s v="Binders"/>
    <n v="19"/>
    <x v="3"/>
    <s v="SAN DIEGO"/>
    <n v="8971"/>
    <x v="1"/>
    <x v="0"/>
    <x v="11"/>
    <x v="4"/>
    <n v="170449"/>
    <s v="High Bulk"/>
  </r>
  <r>
    <x v="13"/>
    <s v="Paul Raymond"/>
    <x v="1"/>
    <s v="Binders"/>
    <n v="20"/>
    <x v="3"/>
    <s v="SAN DIEGO"/>
    <n v="2939"/>
    <x v="4"/>
    <x v="3"/>
    <x v="11"/>
    <x v="4"/>
    <n v="58780"/>
    <s v="High Bulk"/>
  </r>
  <r>
    <x v="14"/>
    <s v="Karen Johnson"/>
    <x v="0"/>
    <s v="Phones"/>
    <n v="11"/>
    <x v="2"/>
    <s v="ROCHESTER"/>
    <n v="9380"/>
    <x v="0"/>
    <x v="0"/>
    <x v="3"/>
    <x v="1"/>
    <n v="103180"/>
    <s v="Medium Bulk"/>
  </r>
  <r>
    <x v="14"/>
    <s v="Karen Johnson"/>
    <x v="1"/>
    <s v="Binders"/>
    <n v="18"/>
    <x v="2"/>
    <s v="ROCHESTER"/>
    <n v="8558"/>
    <x v="3"/>
    <x v="0"/>
    <x v="3"/>
    <x v="1"/>
    <n v="154044"/>
    <s v="High Bulk"/>
  </r>
  <r>
    <x v="14"/>
    <s v="Karen Johnson"/>
    <x v="1"/>
    <s v="Paper"/>
    <n v="17"/>
    <x v="2"/>
    <s v="ROCHESTER"/>
    <n v="4080"/>
    <x v="4"/>
    <x v="1"/>
    <x v="3"/>
    <x v="1"/>
    <n v="69360"/>
    <s v="High Bulk"/>
  </r>
  <r>
    <x v="15"/>
    <s v="Juan Erickson"/>
    <x v="0"/>
    <s v="Electronic Games"/>
    <n v="17"/>
    <x v="4"/>
    <s v="AUSTIN"/>
    <n v="4206"/>
    <x v="2"/>
    <x v="1"/>
    <x v="12"/>
    <x v="3"/>
    <n v="71502"/>
    <s v="High Bulk"/>
  </r>
  <r>
    <x v="16"/>
    <s v="Alexander Reed"/>
    <x v="1"/>
    <s v="Binders"/>
    <n v="20"/>
    <x v="2"/>
    <s v="NEW YORK CITY"/>
    <n v="5219"/>
    <x v="4"/>
    <x v="1"/>
    <x v="13"/>
    <x v="2"/>
    <n v="104380"/>
    <s v="High Bulk"/>
  </r>
  <r>
    <x v="17"/>
    <s v="Jacqueline Harris"/>
    <x v="1"/>
    <s v="Binders"/>
    <n v="20"/>
    <x v="3"/>
    <s v="SAN FRANCISCO"/>
    <n v="5219"/>
    <x v="4"/>
    <x v="1"/>
    <x v="14"/>
    <x v="0"/>
    <n v="104380"/>
    <s v="High Bulk"/>
  </r>
  <r>
    <x v="18"/>
    <s v="Tyler Park"/>
    <x v="1"/>
    <s v="Pens"/>
    <n v="20"/>
    <x v="3"/>
    <s v="SAN FRANCISCO"/>
    <n v="3686"/>
    <x v="1"/>
    <x v="3"/>
    <x v="15"/>
    <x v="3"/>
    <n v="73720"/>
    <s v="High Bulk"/>
  </r>
  <r>
    <x v="19"/>
    <s v="Richard Wolfe"/>
    <x v="1"/>
    <s v="Pens"/>
    <n v="20"/>
    <x v="5"/>
    <s v="COLUMBUS"/>
    <n v="3686"/>
    <x v="1"/>
    <x v="3"/>
    <x v="12"/>
    <x v="3"/>
    <n v="73720"/>
    <s v="High Bulk"/>
  </r>
  <r>
    <x v="20"/>
    <s v="Sierra Rios"/>
    <x v="1"/>
    <s v="Paper"/>
    <n v="4"/>
    <x v="0"/>
    <s v="ORLANDO"/>
    <n v="6045"/>
    <x v="4"/>
    <x v="4"/>
    <x v="16"/>
    <x v="0"/>
    <n v="24180"/>
    <s v="Normal"/>
  </r>
  <r>
    <x v="20"/>
    <s v="Sierra Rios"/>
    <x v="1"/>
    <s v="Pens"/>
    <n v="11"/>
    <x v="0"/>
    <s v="ORLANDO"/>
    <n v="9337"/>
    <x v="4"/>
    <x v="0"/>
    <x v="16"/>
    <x v="0"/>
    <n v="102707"/>
    <s v="Medium Bulk"/>
  </r>
  <r>
    <x v="21"/>
    <s v="Jessica Richardson"/>
    <x v="0"/>
    <s v="Phones"/>
    <n v="12"/>
    <x v="3"/>
    <s v="SAN DIEGO"/>
    <n v="4051"/>
    <x v="3"/>
    <x v="1"/>
    <x v="17"/>
    <x v="0"/>
    <n v="48612"/>
    <s v="Medium Bulk"/>
  </r>
  <r>
    <x v="22"/>
    <s v="Kimberly Warren"/>
    <x v="0"/>
    <s v="Phones"/>
    <n v="12"/>
    <x v="5"/>
    <s v="CINCINNATI"/>
    <n v="4051"/>
    <x v="3"/>
    <x v="1"/>
    <x v="18"/>
    <x v="2"/>
    <n v="48612"/>
    <s v="Medium Bulk"/>
  </r>
  <r>
    <x v="21"/>
    <s v="Jessica Richardson"/>
    <x v="2"/>
    <s v="Bookcases"/>
    <n v="11"/>
    <x v="3"/>
    <s v="SAN DIEGO"/>
    <n v="5011"/>
    <x v="3"/>
    <x v="1"/>
    <x v="17"/>
    <x v="0"/>
    <n v="55121"/>
    <s v="Medium Bulk"/>
  </r>
  <r>
    <x v="22"/>
    <s v="Kimberly Warren"/>
    <x v="2"/>
    <s v="Bookcases"/>
    <n v="11"/>
    <x v="5"/>
    <s v="CINCINNATI"/>
    <n v="5011"/>
    <x v="3"/>
    <x v="1"/>
    <x v="18"/>
    <x v="2"/>
    <n v="55121"/>
    <s v="Medium Bulk"/>
  </r>
  <r>
    <x v="23"/>
    <s v="Casey Garcia"/>
    <x v="2"/>
    <s v="Sofas"/>
    <n v="15"/>
    <x v="0"/>
    <s v="ORLANDO"/>
    <n v="3958"/>
    <x v="2"/>
    <x v="3"/>
    <x v="15"/>
    <x v="3"/>
    <n v="59370"/>
    <s v="High Bulk"/>
  </r>
  <r>
    <x v="23"/>
    <s v="Casey Garcia"/>
    <x v="2"/>
    <s v="Tables"/>
    <n v="1"/>
    <x v="0"/>
    <s v="ORLANDO"/>
    <n v="3132"/>
    <x v="1"/>
    <x v="3"/>
    <x v="15"/>
    <x v="3"/>
    <n v="3132"/>
    <s v="Normal"/>
  </r>
  <r>
    <x v="24"/>
    <s v="Denise Hampton"/>
    <x v="1"/>
    <s v="Markers"/>
    <n v="12"/>
    <x v="3"/>
    <s v="SAN FRANCISCO"/>
    <n v="7784"/>
    <x v="0"/>
    <x v="4"/>
    <x v="19"/>
    <x v="1"/>
    <n v="93408"/>
    <s v="Medium Bulk"/>
  </r>
  <r>
    <x v="24"/>
    <s v="Denise Hampton"/>
    <x v="1"/>
    <s v="Pens"/>
    <n v="3"/>
    <x v="3"/>
    <s v="SAN FRANCISCO"/>
    <n v="5591"/>
    <x v="4"/>
    <x v="1"/>
    <x v="19"/>
    <x v="1"/>
    <n v="16773"/>
    <s v="Normal"/>
  </r>
  <r>
    <x v="24"/>
    <s v="Denise Hampton"/>
    <x v="0"/>
    <s v="Electronic Games"/>
    <n v="12"/>
    <x v="3"/>
    <s v="SAN FRANCISCO"/>
    <n v="5122"/>
    <x v="4"/>
    <x v="1"/>
    <x v="19"/>
    <x v="1"/>
    <n v="61464"/>
    <s v="Medium Bulk"/>
  </r>
  <r>
    <x v="25"/>
    <s v="Justin Rodriguez"/>
    <x v="1"/>
    <s v="Binders"/>
    <n v="8"/>
    <x v="5"/>
    <s v="CLEVELAND"/>
    <n v="8293"/>
    <x v="4"/>
    <x v="0"/>
    <x v="12"/>
    <x v="3"/>
    <n v="66344"/>
    <s v="Low Bulk"/>
  </r>
  <r>
    <x v="26"/>
    <s v="Ms. Emily Baxter"/>
    <x v="1"/>
    <s v="Binders"/>
    <n v="8"/>
    <x v="2"/>
    <s v="ROCHESTER"/>
    <n v="8293"/>
    <x v="4"/>
    <x v="0"/>
    <x v="20"/>
    <x v="4"/>
    <n v="66344"/>
    <s v="Low Bulk"/>
  </r>
  <r>
    <x v="27"/>
    <s v="Austin White"/>
    <x v="1"/>
    <s v="Binders"/>
    <n v="8"/>
    <x v="3"/>
    <s v="LOS ANGELES"/>
    <n v="8293"/>
    <x v="4"/>
    <x v="0"/>
    <x v="21"/>
    <x v="0"/>
    <n v="66344"/>
    <s v="Low Bulk"/>
  </r>
  <r>
    <x v="25"/>
    <s v="Justin Rodriguez"/>
    <x v="0"/>
    <s v="Phones"/>
    <n v="17"/>
    <x v="5"/>
    <s v="CLEVELAND"/>
    <n v="2863"/>
    <x v="0"/>
    <x v="3"/>
    <x v="12"/>
    <x v="3"/>
    <n v="48671"/>
    <s v="High Bulk"/>
  </r>
  <r>
    <x v="26"/>
    <s v="Ms. Emily Baxter"/>
    <x v="0"/>
    <s v="Phones"/>
    <n v="17"/>
    <x v="2"/>
    <s v="ROCHESTER"/>
    <n v="2863"/>
    <x v="0"/>
    <x v="3"/>
    <x v="20"/>
    <x v="4"/>
    <n v="48671"/>
    <s v="High Bulk"/>
  </r>
  <r>
    <x v="27"/>
    <s v="Austin White"/>
    <x v="0"/>
    <s v="Phones"/>
    <n v="17"/>
    <x v="3"/>
    <s v="LOS ANGELES"/>
    <n v="2863"/>
    <x v="0"/>
    <x v="3"/>
    <x v="21"/>
    <x v="0"/>
    <n v="48671"/>
    <s v="High Bulk"/>
  </r>
  <r>
    <x v="1"/>
    <s v="Morgan Montes"/>
    <x v="2"/>
    <s v="Tables"/>
    <n v="6"/>
    <x v="3"/>
    <s v="SAN DIEGO"/>
    <n v="3090"/>
    <x v="2"/>
    <x v="3"/>
    <x v="1"/>
    <x v="1"/>
    <n v="18540"/>
    <s v="Low Bulk"/>
  </r>
  <r>
    <x v="28"/>
    <s v="Christine Mosley"/>
    <x v="2"/>
    <s v="Tables"/>
    <n v="6"/>
    <x v="5"/>
    <s v="CINCINNATI"/>
    <n v="3090"/>
    <x v="2"/>
    <x v="3"/>
    <x v="22"/>
    <x v="2"/>
    <n v="18540"/>
    <s v="Low Bulk"/>
  </r>
  <r>
    <x v="29"/>
    <s v="Ashley Rodriguez"/>
    <x v="2"/>
    <s v="Tables"/>
    <n v="6"/>
    <x v="4"/>
    <s v="AUSTIN"/>
    <n v="3090"/>
    <x v="2"/>
    <x v="3"/>
    <x v="23"/>
    <x v="0"/>
    <n v="18540"/>
    <s v="Low Bulk"/>
  </r>
  <r>
    <x v="30"/>
    <s v="Elizabeth King"/>
    <x v="2"/>
    <s v="Tables"/>
    <n v="6"/>
    <x v="4"/>
    <s v="DALLAS"/>
    <n v="3090"/>
    <x v="2"/>
    <x v="3"/>
    <x v="4"/>
    <x v="2"/>
    <n v="18540"/>
    <s v="Low Bulk"/>
  </r>
  <r>
    <x v="1"/>
    <s v="Morgan Montes"/>
    <x v="0"/>
    <s v="Printers"/>
    <n v="5"/>
    <x v="3"/>
    <s v="SAN DIEGO"/>
    <n v="9683"/>
    <x v="0"/>
    <x v="0"/>
    <x v="1"/>
    <x v="1"/>
    <n v="48415"/>
    <s v="Low Bulk"/>
  </r>
  <r>
    <x v="28"/>
    <s v="Christine Mosley"/>
    <x v="0"/>
    <s v="Printers"/>
    <n v="5"/>
    <x v="5"/>
    <s v="CINCINNATI"/>
    <n v="9683"/>
    <x v="0"/>
    <x v="0"/>
    <x v="22"/>
    <x v="2"/>
    <n v="48415"/>
    <s v="Low Bulk"/>
  </r>
  <r>
    <x v="29"/>
    <s v="Ashley Rodriguez"/>
    <x v="0"/>
    <s v="Printers"/>
    <n v="5"/>
    <x v="4"/>
    <s v="AUSTIN"/>
    <n v="9683"/>
    <x v="0"/>
    <x v="0"/>
    <x v="23"/>
    <x v="0"/>
    <n v="48415"/>
    <s v="Low Bulk"/>
  </r>
  <r>
    <x v="30"/>
    <s v="Elizabeth King"/>
    <x v="0"/>
    <s v="Printers"/>
    <n v="5"/>
    <x v="4"/>
    <s v="DALLAS"/>
    <n v="9683"/>
    <x v="0"/>
    <x v="0"/>
    <x v="4"/>
    <x v="2"/>
    <n v="48415"/>
    <s v="Low Bulk"/>
  </r>
  <r>
    <x v="31"/>
    <s v="Connie Holmes"/>
    <x v="2"/>
    <s v="Tables"/>
    <n v="18"/>
    <x v="5"/>
    <s v="CINCINNATI"/>
    <n v="2463"/>
    <x v="2"/>
    <x v="3"/>
    <x v="24"/>
    <x v="3"/>
    <n v="44334"/>
    <s v="High Bulk"/>
  </r>
  <r>
    <x v="32"/>
    <s v="Melissa Peck"/>
    <x v="2"/>
    <s v="Sofas"/>
    <n v="12"/>
    <x v="0"/>
    <s v="MIAMI"/>
    <n v="7811"/>
    <x v="4"/>
    <x v="4"/>
    <x v="25"/>
    <x v="3"/>
    <n v="93732"/>
    <s v="Medium Bulk"/>
  </r>
  <r>
    <x v="33"/>
    <s v="David Smith"/>
    <x v="2"/>
    <s v="Tables"/>
    <n v="10"/>
    <x v="0"/>
    <s v="ORLANDO"/>
    <n v="6139"/>
    <x v="1"/>
    <x v="4"/>
    <x v="26"/>
    <x v="3"/>
    <n v="61390"/>
    <s v="Medium Bulk"/>
  </r>
  <r>
    <x v="34"/>
    <s v="Jacqueline Harris"/>
    <x v="2"/>
    <s v="Tables"/>
    <n v="10"/>
    <x v="4"/>
    <s v="HOUSTON"/>
    <n v="6139"/>
    <x v="1"/>
    <x v="4"/>
    <x v="27"/>
    <x v="2"/>
    <n v="61390"/>
    <s v="Medium Bulk"/>
  </r>
  <r>
    <x v="33"/>
    <s v="David Smith"/>
    <x v="2"/>
    <s v="Chairs"/>
    <n v="3"/>
    <x v="0"/>
    <s v="ORLANDO"/>
    <n v="8636"/>
    <x v="4"/>
    <x v="0"/>
    <x v="26"/>
    <x v="3"/>
    <n v="25908"/>
    <s v="Normal"/>
  </r>
  <r>
    <x v="34"/>
    <s v="Jacqueline Harris"/>
    <x v="2"/>
    <s v="Chairs"/>
    <n v="3"/>
    <x v="4"/>
    <s v="HOUSTON"/>
    <n v="8636"/>
    <x v="4"/>
    <x v="0"/>
    <x v="27"/>
    <x v="2"/>
    <n v="25908"/>
    <s v="Normal"/>
  </r>
  <r>
    <x v="33"/>
    <s v="David Smith"/>
    <x v="2"/>
    <s v="Sofas"/>
    <n v="19"/>
    <x v="0"/>
    <s v="ORLANDO"/>
    <n v="4439"/>
    <x v="3"/>
    <x v="1"/>
    <x v="26"/>
    <x v="3"/>
    <n v="84341"/>
    <s v="High Bulk"/>
  </r>
  <r>
    <x v="34"/>
    <s v="Jacqueline Harris"/>
    <x v="2"/>
    <s v="Sofas"/>
    <n v="19"/>
    <x v="4"/>
    <s v="HOUSTON"/>
    <n v="4439"/>
    <x v="3"/>
    <x v="1"/>
    <x v="27"/>
    <x v="2"/>
    <n v="84341"/>
    <s v="High Bulk"/>
  </r>
  <r>
    <x v="35"/>
    <s v="Heather Jenkins"/>
    <x v="2"/>
    <s v="Tables"/>
    <n v="20"/>
    <x v="2"/>
    <s v="BUFFALO"/>
    <n v="1016"/>
    <x v="1"/>
    <x v="2"/>
    <x v="11"/>
    <x v="4"/>
    <n v="20320"/>
    <s v="High Bulk"/>
  </r>
  <r>
    <x v="35"/>
    <s v="Heather Jenkins"/>
    <x v="2"/>
    <s v="Tables"/>
    <n v="14"/>
    <x v="2"/>
    <s v="BUFFALO"/>
    <n v="5768"/>
    <x v="0"/>
    <x v="1"/>
    <x v="11"/>
    <x v="4"/>
    <n v="80752"/>
    <s v="Medium Bulk"/>
  </r>
  <r>
    <x v="35"/>
    <s v="Heather Jenkins"/>
    <x v="2"/>
    <s v="Tables"/>
    <n v="3"/>
    <x v="2"/>
    <s v="BUFFALO"/>
    <n v="1217"/>
    <x v="3"/>
    <x v="2"/>
    <x v="11"/>
    <x v="4"/>
    <n v="3651"/>
    <s v="Normal"/>
  </r>
  <r>
    <x v="36"/>
    <s v="Kelsey Castaneda"/>
    <x v="1"/>
    <s v="Paper"/>
    <n v="2"/>
    <x v="5"/>
    <s v="CLEVELAND"/>
    <n v="953"/>
    <x v="1"/>
    <x v="2"/>
    <x v="1"/>
    <x v="1"/>
    <n v="1906"/>
    <s v="Normal"/>
  </r>
  <r>
    <x v="37"/>
    <s v="Katherine Harris"/>
    <x v="1"/>
    <s v="Paper"/>
    <n v="2"/>
    <x v="3"/>
    <s v="LOS ANGELES"/>
    <n v="953"/>
    <x v="1"/>
    <x v="2"/>
    <x v="28"/>
    <x v="0"/>
    <n v="1906"/>
    <s v="Normal"/>
  </r>
  <r>
    <x v="36"/>
    <s v="Kelsey Castaneda"/>
    <x v="2"/>
    <s v="Sofas"/>
    <n v="3"/>
    <x v="5"/>
    <s v="CLEVELAND"/>
    <n v="7355"/>
    <x v="4"/>
    <x v="4"/>
    <x v="1"/>
    <x v="1"/>
    <n v="22065"/>
    <s v="Normal"/>
  </r>
  <r>
    <x v="37"/>
    <s v="Katherine Harris"/>
    <x v="2"/>
    <s v="Sofas"/>
    <n v="3"/>
    <x v="3"/>
    <s v="LOS ANGELES"/>
    <n v="7355"/>
    <x v="4"/>
    <x v="4"/>
    <x v="28"/>
    <x v="0"/>
    <n v="22065"/>
    <s v="Normal"/>
  </r>
  <r>
    <x v="36"/>
    <s v="Kelsey Castaneda"/>
    <x v="0"/>
    <s v="Phones"/>
    <n v="3"/>
    <x v="5"/>
    <s v="CLEVELAND"/>
    <n v="1843"/>
    <x v="3"/>
    <x v="2"/>
    <x v="1"/>
    <x v="1"/>
    <n v="5529"/>
    <s v="Normal"/>
  </r>
  <r>
    <x v="37"/>
    <s v="Katherine Harris"/>
    <x v="0"/>
    <s v="Phones"/>
    <n v="3"/>
    <x v="3"/>
    <s v="LOS ANGELES"/>
    <n v="1843"/>
    <x v="3"/>
    <x v="2"/>
    <x v="28"/>
    <x v="0"/>
    <n v="5529"/>
    <s v="Normal"/>
  </r>
  <r>
    <x v="36"/>
    <s v="Kelsey Castaneda"/>
    <x v="1"/>
    <s v="Pens"/>
    <n v="10"/>
    <x v="5"/>
    <s v="CLEVELAND"/>
    <n v="1603"/>
    <x v="1"/>
    <x v="2"/>
    <x v="1"/>
    <x v="1"/>
    <n v="16030"/>
    <s v="Medium Bulk"/>
  </r>
  <r>
    <x v="37"/>
    <s v="Katherine Harris"/>
    <x v="1"/>
    <s v="Pens"/>
    <n v="10"/>
    <x v="3"/>
    <s v="LOS ANGELES"/>
    <n v="1603"/>
    <x v="1"/>
    <x v="2"/>
    <x v="28"/>
    <x v="0"/>
    <n v="16030"/>
    <s v="Medium Bulk"/>
  </r>
  <r>
    <x v="38"/>
    <s v="Paul Rogers"/>
    <x v="1"/>
    <s v="Pens"/>
    <n v="1"/>
    <x v="0"/>
    <s v="MIAMI"/>
    <n v="2025"/>
    <x v="3"/>
    <x v="3"/>
    <x v="10"/>
    <x v="1"/>
    <n v="2025"/>
    <s v="Normal"/>
  </r>
  <r>
    <x v="38"/>
    <s v="Paul Rogers"/>
    <x v="1"/>
    <s v="Binders"/>
    <n v="16"/>
    <x v="0"/>
    <s v="MIAMI"/>
    <n v="6800"/>
    <x v="2"/>
    <x v="4"/>
    <x v="10"/>
    <x v="1"/>
    <n v="108800"/>
    <s v="High Bulk"/>
  </r>
  <r>
    <x v="39"/>
    <s v="Jon Banks"/>
    <x v="2"/>
    <s v="Bookcases"/>
    <n v="1"/>
    <x v="0"/>
    <s v="TAMPA"/>
    <n v="1126"/>
    <x v="0"/>
    <x v="2"/>
    <x v="12"/>
    <x v="3"/>
    <n v="1126"/>
    <s v="Normal"/>
  </r>
  <r>
    <x v="40"/>
    <s v="Michelle Williams"/>
    <x v="2"/>
    <s v="Bookcases"/>
    <n v="1"/>
    <x v="2"/>
    <s v="BUFFALO"/>
    <n v="1126"/>
    <x v="0"/>
    <x v="2"/>
    <x v="29"/>
    <x v="3"/>
    <n v="1126"/>
    <s v="Normal"/>
  </r>
  <r>
    <x v="41"/>
    <s v="Andrew Allen"/>
    <x v="2"/>
    <s v="Tables"/>
    <n v="12"/>
    <x v="3"/>
    <s v="SAN DIEGO"/>
    <n v="7533"/>
    <x v="0"/>
    <x v="4"/>
    <x v="17"/>
    <x v="0"/>
    <n v="90396"/>
    <s v="Medium Bulk"/>
  </r>
  <r>
    <x v="41"/>
    <s v="Andrew Allen"/>
    <x v="1"/>
    <s v="Binders"/>
    <n v="16"/>
    <x v="3"/>
    <s v="SAN DIEGO"/>
    <n v="4734"/>
    <x v="3"/>
    <x v="1"/>
    <x v="17"/>
    <x v="0"/>
    <n v="75744"/>
    <s v="High Bulk"/>
  </r>
  <r>
    <x v="41"/>
    <s v="Andrew Allen"/>
    <x v="0"/>
    <s v="Electronic Games"/>
    <n v="6"/>
    <x v="3"/>
    <s v="SAN DIEGO"/>
    <n v="4074"/>
    <x v="1"/>
    <x v="1"/>
    <x v="17"/>
    <x v="0"/>
    <n v="24444"/>
    <s v="Low Bulk"/>
  </r>
  <r>
    <x v="41"/>
    <s v="Andrew Allen"/>
    <x v="2"/>
    <s v="Sofas"/>
    <n v="3"/>
    <x v="3"/>
    <s v="SAN DIEGO"/>
    <n v="2334"/>
    <x v="3"/>
    <x v="3"/>
    <x v="17"/>
    <x v="0"/>
    <n v="7002"/>
    <s v="Normal"/>
  </r>
  <r>
    <x v="42"/>
    <s v="Vanessa Bauer"/>
    <x v="0"/>
    <s v="Phones"/>
    <n v="11"/>
    <x v="2"/>
    <s v="BUFFALO"/>
    <n v="2750"/>
    <x v="1"/>
    <x v="3"/>
    <x v="30"/>
    <x v="5"/>
    <n v="30250"/>
    <s v="Medium Bulk"/>
  </r>
  <r>
    <x v="43"/>
    <s v="Sean Smith"/>
    <x v="0"/>
    <s v="Phones"/>
    <n v="11"/>
    <x v="5"/>
    <s v="CLEVELAND"/>
    <n v="2750"/>
    <x v="1"/>
    <x v="3"/>
    <x v="31"/>
    <x v="1"/>
    <n v="30250"/>
    <s v="Medium Bulk"/>
  </r>
  <r>
    <x v="42"/>
    <s v="Vanessa Bauer"/>
    <x v="1"/>
    <s v="Pens"/>
    <n v="19"/>
    <x v="2"/>
    <s v="BUFFALO"/>
    <n v="8639"/>
    <x v="2"/>
    <x v="0"/>
    <x v="30"/>
    <x v="5"/>
    <n v="164141"/>
    <s v="High Bulk"/>
  </r>
  <r>
    <x v="43"/>
    <s v="Sean Smith"/>
    <x v="1"/>
    <s v="Pens"/>
    <n v="19"/>
    <x v="5"/>
    <s v="CLEVELAND"/>
    <n v="8639"/>
    <x v="2"/>
    <x v="0"/>
    <x v="31"/>
    <x v="1"/>
    <n v="164141"/>
    <s v="High Bulk"/>
  </r>
  <r>
    <x v="44"/>
    <s v="Shelly Sweeney"/>
    <x v="1"/>
    <s v="Markers"/>
    <n v="4"/>
    <x v="2"/>
    <s v="NEW YORK CITY"/>
    <n v="3808"/>
    <x v="0"/>
    <x v="3"/>
    <x v="32"/>
    <x v="4"/>
    <n v="15232"/>
    <s v="Normal"/>
  </r>
  <r>
    <x v="44"/>
    <s v="Shelly Sweeney"/>
    <x v="1"/>
    <s v="Pens"/>
    <n v="16"/>
    <x v="2"/>
    <s v="NEW YORK CITY"/>
    <n v="2588"/>
    <x v="3"/>
    <x v="3"/>
    <x v="32"/>
    <x v="4"/>
    <n v="41408"/>
    <s v="High Bulk"/>
  </r>
  <r>
    <x v="45"/>
    <s v="Emily Gill"/>
    <x v="0"/>
    <s v="Electronic Games"/>
    <n v="5"/>
    <x v="1"/>
    <s v="SPRINGFIELD"/>
    <n v="1591"/>
    <x v="3"/>
    <x v="2"/>
    <x v="33"/>
    <x v="3"/>
    <n v="7955"/>
    <s v="Low Bulk"/>
  </r>
  <r>
    <x v="46"/>
    <s v="Brian Patrick"/>
    <x v="0"/>
    <s v="Electronic Games"/>
    <n v="5"/>
    <x v="0"/>
    <s v="TAMPA"/>
    <n v="1591"/>
    <x v="3"/>
    <x v="2"/>
    <x v="34"/>
    <x v="2"/>
    <n v="7955"/>
    <s v="Low Bulk"/>
  </r>
  <r>
    <x v="47"/>
    <s v="Dr. Sarah Booth"/>
    <x v="0"/>
    <s v="Electronic Games"/>
    <n v="5"/>
    <x v="5"/>
    <s v="CINCINNATI"/>
    <n v="1591"/>
    <x v="3"/>
    <x v="2"/>
    <x v="26"/>
    <x v="3"/>
    <n v="7955"/>
    <s v="Low Bulk"/>
  </r>
  <r>
    <x v="48"/>
    <s v="Douglas Mcfarland"/>
    <x v="2"/>
    <s v="Chairs"/>
    <n v="10"/>
    <x v="5"/>
    <s v="CLEVELAND"/>
    <n v="1757"/>
    <x v="0"/>
    <x v="2"/>
    <x v="25"/>
    <x v="3"/>
    <n v="17570"/>
    <s v="Medium Bulk"/>
  </r>
  <r>
    <x v="49"/>
    <s v="Kayla Ross"/>
    <x v="2"/>
    <s v="Chairs"/>
    <n v="10"/>
    <x v="1"/>
    <s v="PEORIA"/>
    <n v="1757"/>
    <x v="0"/>
    <x v="2"/>
    <x v="5"/>
    <x v="3"/>
    <n v="17570"/>
    <s v="Medium Bulk"/>
  </r>
  <r>
    <x v="50"/>
    <s v="Marc Strickland"/>
    <x v="2"/>
    <s v="Bookcases"/>
    <n v="15"/>
    <x v="0"/>
    <s v="ORLANDO"/>
    <n v="6940"/>
    <x v="1"/>
    <x v="4"/>
    <x v="35"/>
    <x v="2"/>
    <n v="104100"/>
    <s v="High Bulk"/>
  </r>
  <r>
    <x v="50"/>
    <s v="Marc Strickland"/>
    <x v="0"/>
    <s v="Printers"/>
    <n v="5"/>
    <x v="0"/>
    <s v="ORLANDO"/>
    <n v="5105"/>
    <x v="0"/>
    <x v="1"/>
    <x v="35"/>
    <x v="2"/>
    <n v="25525"/>
    <s v="Low Bulk"/>
  </r>
  <r>
    <x v="51"/>
    <s v="Charlene Brown"/>
    <x v="2"/>
    <s v="Tables"/>
    <n v="16"/>
    <x v="0"/>
    <s v="MIAMI"/>
    <n v="5578"/>
    <x v="4"/>
    <x v="1"/>
    <x v="36"/>
    <x v="2"/>
    <n v="89248"/>
    <s v="High Bulk"/>
  </r>
  <r>
    <x v="52"/>
    <s v="Charles Smith"/>
    <x v="2"/>
    <s v="Tables"/>
    <n v="16"/>
    <x v="5"/>
    <s v="COLUMBUS"/>
    <n v="5578"/>
    <x v="4"/>
    <x v="1"/>
    <x v="37"/>
    <x v="3"/>
    <n v="89248"/>
    <s v="High Bulk"/>
  </r>
  <r>
    <x v="53"/>
    <s v="Karen Townsend"/>
    <x v="2"/>
    <s v="Chairs"/>
    <n v="16"/>
    <x v="4"/>
    <s v="HOUSTON"/>
    <n v="5224"/>
    <x v="3"/>
    <x v="1"/>
    <x v="17"/>
    <x v="0"/>
    <n v="83584"/>
    <s v="High Bulk"/>
  </r>
  <r>
    <x v="53"/>
    <s v="Karen Townsend"/>
    <x v="1"/>
    <s v="Markers"/>
    <n v="11"/>
    <x v="4"/>
    <s v="HOUSTON"/>
    <n v="5002"/>
    <x v="3"/>
    <x v="1"/>
    <x v="17"/>
    <x v="0"/>
    <n v="55022"/>
    <s v="Medium Bulk"/>
  </r>
  <r>
    <x v="53"/>
    <s v="Karen Townsend"/>
    <x v="1"/>
    <s v="Markers"/>
    <n v="18"/>
    <x v="4"/>
    <s v="HOUSTON"/>
    <n v="7380"/>
    <x v="4"/>
    <x v="4"/>
    <x v="17"/>
    <x v="0"/>
    <n v="132840"/>
    <s v="High Bulk"/>
  </r>
  <r>
    <x v="54"/>
    <s v="Steven Cox"/>
    <x v="2"/>
    <s v="Chairs"/>
    <n v="4"/>
    <x v="3"/>
    <s v="LOS ANGELES"/>
    <n v="7595"/>
    <x v="1"/>
    <x v="4"/>
    <x v="38"/>
    <x v="4"/>
    <n v="30380"/>
    <s v="Normal"/>
  </r>
  <r>
    <x v="55"/>
    <s v="Cynthia Rodriguez"/>
    <x v="2"/>
    <s v="Chairs"/>
    <n v="4"/>
    <x v="2"/>
    <s v="ROCHESTER"/>
    <n v="7595"/>
    <x v="1"/>
    <x v="4"/>
    <x v="39"/>
    <x v="3"/>
    <n v="30380"/>
    <s v="Normal"/>
  </r>
  <r>
    <x v="56"/>
    <s v="Jessica Baker"/>
    <x v="2"/>
    <s v="Sofas"/>
    <n v="7"/>
    <x v="4"/>
    <s v="AUSTIN"/>
    <n v="1954"/>
    <x v="1"/>
    <x v="2"/>
    <x v="29"/>
    <x v="3"/>
    <n v="13678"/>
    <s v="Low Bulk"/>
  </r>
  <r>
    <x v="57"/>
    <s v="Mark Blackburn"/>
    <x v="0"/>
    <s v="Printers"/>
    <n v="20"/>
    <x v="4"/>
    <s v="DALLAS"/>
    <n v="523"/>
    <x v="2"/>
    <x v="2"/>
    <x v="1"/>
    <x v="1"/>
    <n v="10460"/>
    <s v="High Bulk"/>
  </r>
  <r>
    <x v="58"/>
    <s v="Zachary Perez"/>
    <x v="0"/>
    <s v="Laptops"/>
    <n v="13"/>
    <x v="4"/>
    <s v="AUSTIN"/>
    <n v="5704"/>
    <x v="2"/>
    <x v="1"/>
    <x v="26"/>
    <x v="3"/>
    <n v="74152"/>
    <s v="Medium Bulk"/>
  </r>
  <r>
    <x v="59"/>
    <s v="Brian Green"/>
    <x v="0"/>
    <s v="Laptops"/>
    <n v="13"/>
    <x v="3"/>
    <s v="SAN DIEGO"/>
    <n v="5704"/>
    <x v="2"/>
    <x v="1"/>
    <x v="13"/>
    <x v="2"/>
    <n v="74152"/>
    <s v="Medium Bulk"/>
  </r>
  <r>
    <x v="58"/>
    <s v="Zachary Perez"/>
    <x v="2"/>
    <s v="Tables"/>
    <n v="8"/>
    <x v="4"/>
    <s v="AUSTIN"/>
    <n v="8797"/>
    <x v="0"/>
    <x v="0"/>
    <x v="26"/>
    <x v="3"/>
    <n v="70376"/>
    <s v="Low Bulk"/>
  </r>
  <r>
    <x v="59"/>
    <s v="Brian Green"/>
    <x v="2"/>
    <s v="Tables"/>
    <n v="8"/>
    <x v="3"/>
    <s v="SAN DIEGO"/>
    <n v="8797"/>
    <x v="0"/>
    <x v="0"/>
    <x v="13"/>
    <x v="2"/>
    <n v="70376"/>
    <s v="Low Bulk"/>
  </r>
  <r>
    <x v="58"/>
    <s v="Zachary Perez"/>
    <x v="0"/>
    <s v="Laptops"/>
    <n v="5"/>
    <x v="4"/>
    <s v="AUSTIN"/>
    <n v="9236"/>
    <x v="1"/>
    <x v="0"/>
    <x v="26"/>
    <x v="3"/>
    <n v="46180"/>
    <s v="Low Bulk"/>
  </r>
  <r>
    <x v="59"/>
    <s v="Brian Green"/>
    <x v="0"/>
    <s v="Laptops"/>
    <n v="5"/>
    <x v="3"/>
    <s v="SAN DIEGO"/>
    <n v="9236"/>
    <x v="1"/>
    <x v="0"/>
    <x v="13"/>
    <x v="2"/>
    <n v="46180"/>
    <s v="Low Bulk"/>
  </r>
  <r>
    <x v="60"/>
    <s v="Becky Leach"/>
    <x v="2"/>
    <s v="Sofas"/>
    <n v="17"/>
    <x v="0"/>
    <s v="MIAMI"/>
    <n v="9109"/>
    <x v="2"/>
    <x v="0"/>
    <x v="8"/>
    <x v="4"/>
    <n v="154853"/>
    <s v="High Bulk"/>
  </r>
  <r>
    <x v="61"/>
    <s v="Bryan Russell"/>
    <x v="0"/>
    <s v="Phones"/>
    <n v="19"/>
    <x v="4"/>
    <s v="DALLAS"/>
    <n v="4358"/>
    <x v="3"/>
    <x v="1"/>
    <x v="29"/>
    <x v="3"/>
    <n v="82802"/>
    <s v="High Bulk"/>
  </r>
  <r>
    <x v="62"/>
    <s v="Tony Maddox"/>
    <x v="0"/>
    <s v="Phones"/>
    <n v="19"/>
    <x v="3"/>
    <s v="SAN FRANCISCO"/>
    <n v="4358"/>
    <x v="3"/>
    <x v="1"/>
    <x v="31"/>
    <x v="1"/>
    <n v="82802"/>
    <s v="High Bulk"/>
  </r>
  <r>
    <x v="61"/>
    <s v="Bryan Russell"/>
    <x v="0"/>
    <s v="Phones"/>
    <n v="8"/>
    <x v="4"/>
    <s v="DALLAS"/>
    <n v="6459"/>
    <x v="3"/>
    <x v="4"/>
    <x v="29"/>
    <x v="3"/>
    <n v="51672"/>
    <s v="Low Bulk"/>
  </r>
  <r>
    <x v="62"/>
    <s v="Tony Maddox"/>
    <x v="0"/>
    <s v="Phones"/>
    <n v="8"/>
    <x v="3"/>
    <s v="SAN FRANCISCO"/>
    <n v="6459"/>
    <x v="3"/>
    <x v="4"/>
    <x v="31"/>
    <x v="1"/>
    <n v="51672"/>
    <s v="Low Bulk"/>
  </r>
  <r>
    <x v="63"/>
    <s v="Jason Randolph"/>
    <x v="2"/>
    <s v="Bookcases"/>
    <n v="12"/>
    <x v="3"/>
    <s v="SAN FRANCISCO"/>
    <n v="2478"/>
    <x v="4"/>
    <x v="3"/>
    <x v="23"/>
    <x v="0"/>
    <n v="29736"/>
    <s v="Medium Bulk"/>
  </r>
  <r>
    <x v="64"/>
    <s v="Laura Andrews"/>
    <x v="2"/>
    <s v="Bookcases"/>
    <n v="12"/>
    <x v="2"/>
    <s v="NEW YORK CITY"/>
    <n v="2478"/>
    <x v="4"/>
    <x v="3"/>
    <x v="34"/>
    <x v="2"/>
    <n v="29736"/>
    <s v="Medium Bulk"/>
  </r>
  <r>
    <x v="65"/>
    <s v="Mrs. Stephanie Hooper"/>
    <x v="2"/>
    <s v="Bookcases"/>
    <n v="12"/>
    <x v="3"/>
    <s v="SAN FRANCISCO"/>
    <n v="2478"/>
    <x v="4"/>
    <x v="3"/>
    <x v="34"/>
    <x v="2"/>
    <n v="29736"/>
    <s v="Medium Bulk"/>
  </r>
  <r>
    <x v="66"/>
    <s v="Anthony Evans"/>
    <x v="2"/>
    <s v="Bookcases"/>
    <n v="12"/>
    <x v="5"/>
    <s v="CLEVELAND"/>
    <n v="2478"/>
    <x v="4"/>
    <x v="3"/>
    <x v="28"/>
    <x v="0"/>
    <n v="29736"/>
    <s v="Medium Bulk"/>
  </r>
  <r>
    <x v="4"/>
    <s v="Patrick Williams"/>
    <x v="1"/>
    <s v="Pens"/>
    <n v="20"/>
    <x v="2"/>
    <s v="ROCHESTER"/>
    <n v="9992"/>
    <x v="1"/>
    <x v="0"/>
    <x v="4"/>
    <x v="2"/>
    <n v="199840"/>
    <s v="High Bulk"/>
  </r>
  <r>
    <x v="67"/>
    <s v="Susan Burke"/>
    <x v="1"/>
    <s v="Pens"/>
    <n v="20"/>
    <x v="4"/>
    <s v="AUSTIN"/>
    <n v="9992"/>
    <x v="1"/>
    <x v="0"/>
    <x v="39"/>
    <x v="3"/>
    <n v="199840"/>
    <s v="High Bulk"/>
  </r>
  <r>
    <x v="68"/>
    <s v="Brent Hernandez"/>
    <x v="1"/>
    <s v="Pens"/>
    <n v="20"/>
    <x v="2"/>
    <s v="ROCHESTER"/>
    <n v="9992"/>
    <x v="1"/>
    <x v="0"/>
    <x v="40"/>
    <x v="3"/>
    <n v="199840"/>
    <s v="High Bulk"/>
  </r>
  <r>
    <x v="4"/>
    <s v="Patrick Williams"/>
    <x v="1"/>
    <s v="Binders"/>
    <n v="7"/>
    <x v="2"/>
    <s v="ROCHESTER"/>
    <n v="9619"/>
    <x v="0"/>
    <x v="0"/>
    <x v="4"/>
    <x v="2"/>
    <n v="67333"/>
    <s v="Low Bulk"/>
  </r>
  <r>
    <x v="67"/>
    <s v="Susan Burke"/>
    <x v="1"/>
    <s v="Binders"/>
    <n v="7"/>
    <x v="4"/>
    <s v="AUSTIN"/>
    <n v="9619"/>
    <x v="0"/>
    <x v="0"/>
    <x v="39"/>
    <x v="3"/>
    <n v="67333"/>
    <s v="Low Bulk"/>
  </r>
  <r>
    <x v="68"/>
    <s v="Brent Hernandez"/>
    <x v="1"/>
    <s v="Binders"/>
    <n v="7"/>
    <x v="2"/>
    <s v="ROCHESTER"/>
    <n v="9619"/>
    <x v="0"/>
    <x v="0"/>
    <x v="40"/>
    <x v="3"/>
    <n v="67333"/>
    <s v="Low Bulk"/>
  </r>
  <r>
    <x v="69"/>
    <s v="Sean Elliott"/>
    <x v="0"/>
    <s v="Printers"/>
    <n v="20"/>
    <x v="3"/>
    <s v="SAN FRANCISCO"/>
    <n v="9538"/>
    <x v="3"/>
    <x v="0"/>
    <x v="31"/>
    <x v="1"/>
    <n v="190760"/>
    <s v="High Bulk"/>
  </r>
  <r>
    <x v="70"/>
    <s v="Wanda West"/>
    <x v="0"/>
    <s v="Printers"/>
    <n v="20"/>
    <x v="5"/>
    <s v="CLEVELAND"/>
    <n v="9538"/>
    <x v="3"/>
    <x v="0"/>
    <x v="18"/>
    <x v="2"/>
    <n v="190760"/>
    <s v="High Bulk"/>
  </r>
  <r>
    <x v="69"/>
    <s v="Sean Elliott"/>
    <x v="2"/>
    <s v="Chairs"/>
    <n v="14"/>
    <x v="3"/>
    <s v="SAN FRANCISCO"/>
    <n v="9035"/>
    <x v="2"/>
    <x v="0"/>
    <x v="31"/>
    <x v="1"/>
    <n v="126490"/>
    <s v="Medium Bulk"/>
  </r>
  <r>
    <x v="70"/>
    <s v="Wanda West"/>
    <x v="2"/>
    <s v="Chairs"/>
    <n v="14"/>
    <x v="5"/>
    <s v="CLEVELAND"/>
    <n v="9035"/>
    <x v="2"/>
    <x v="0"/>
    <x v="18"/>
    <x v="2"/>
    <n v="126490"/>
    <s v="Medium Bulk"/>
  </r>
  <r>
    <x v="71"/>
    <s v="Renee Solomon"/>
    <x v="1"/>
    <s v="Paper"/>
    <n v="2"/>
    <x v="0"/>
    <s v="TAMPA"/>
    <n v="2684"/>
    <x v="4"/>
    <x v="3"/>
    <x v="41"/>
    <x v="1"/>
    <n v="5368"/>
    <s v="Normal"/>
  </r>
  <r>
    <x v="71"/>
    <s v="Renee Solomon"/>
    <x v="2"/>
    <s v="Sofas"/>
    <n v="5"/>
    <x v="0"/>
    <s v="TAMPA"/>
    <n v="822"/>
    <x v="3"/>
    <x v="2"/>
    <x v="41"/>
    <x v="1"/>
    <n v="4110"/>
    <s v="Low Bulk"/>
  </r>
  <r>
    <x v="71"/>
    <s v="Renee Solomon"/>
    <x v="2"/>
    <s v="Chairs"/>
    <n v="2"/>
    <x v="0"/>
    <s v="TAMPA"/>
    <n v="9730"/>
    <x v="2"/>
    <x v="0"/>
    <x v="41"/>
    <x v="1"/>
    <n v="19460"/>
    <s v="Normal"/>
  </r>
  <r>
    <x v="71"/>
    <s v="Renee Solomon"/>
    <x v="0"/>
    <s v="Electronic Games"/>
    <n v="2"/>
    <x v="0"/>
    <s v="TAMPA"/>
    <n v="2483"/>
    <x v="4"/>
    <x v="3"/>
    <x v="41"/>
    <x v="1"/>
    <n v="4966"/>
    <s v="Normal"/>
  </r>
  <r>
    <x v="72"/>
    <s v="Daryl Miles"/>
    <x v="1"/>
    <s v="Binders"/>
    <n v="7"/>
    <x v="0"/>
    <s v="ORLANDO"/>
    <n v="1297"/>
    <x v="3"/>
    <x v="2"/>
    <x v="42"/>
    <x v="1"/>
    <n v="9079"/>
    <s v="Low Bulk"/>
  </r>
  <r>
    <x v="72"/>
    <s v="Daryl Miles"/>
    <x v="0"/>
    <s v="Phones"/>
    <n v="19"/>
    <x v="0"/>
    <s v="ORLANDO"/>
    <n v="7909"/>
    <x v="4"/>
    <x v="4"/>
    <x v="42"/>
    <x v="1"/>
    <n v="150271"/>
    <s v="High Bulk"/>
  </r>
  <r>
    <x v="73"/>
    <s v="Michael Hunt"/>
    <x v="2"/>
    <s v="Tables"/>
    <n v="8"/>
    <x v="4"/>
    <s v="DALLAS"/>
    <n v="9768"/>
    <x v="3"/>
    <x v="0"/>
    <x v="35"/>
    <x v="2"/>
    <n v="78144"/>
    <s v="Low Bulk"/>
  </r>
  <r>
    <x v="73"/>
    <s v="Michael Hunt"/>
    <x v="2"/>
    <s v="Sofas"/>
    <n v="5"/>
    <x v="4"/>
    <s v="DALLAS"/>
    <n v="4968"/>
    <x v="1"/>
    <x v="1"/>
    <x v="35"/>
    <x v="2"/>
    <n v="24840"/>
    <s v="Low Bulk"/>
  </r>
  <r>
    <x v="73"/>
    <s v="Michael Hunt"/>
    <x v="0"/>
    <s v="Laptops"/>
    <n v="4"/>
    <x v="4"/>
    <s v="DALLAS"/>
    <n v="1731"/>
    <x v="2"/>
    <x v="2"/>
    <x v="35"/>
    <x v="2"/>
    <n v="6924"/>
    <s v="Normal"/>
  </r>
  <r>
    <x v="74"/>
    <s v="Adam Clark"/>
    <x v="1"/>
    <s v="Binders"/>
    <n v="10"/>
    <x v="3"/>
    <s v="SAN FRANCISCO"/>
    <n v="3433"/>
    <x v="4"/>
    <x v="3"/>
    <x v="42"/>
    <x v="1"/>
    <n v="34330"/>
    <s v="Medium Bulk"/>
  </r>
  <r>
    <x v="75"/>
    <s v="Amy Olsen"/>
    <x v="1"/>
    <s v="Binders"/>
    <n v="10"/>
    <x v="1"/>
    <s v="SPRINGFIELD"/>
    <n v="3433"/>
    <x v="4"/>
    <x v="3"/>
    <x v="43"/>
    <x v="2"/>
    <n v="34330"/>
    <s v="Medium Bulk"/>
  </r>
  <r>
    <x v="76"/>
    <s v="Stacey Miller"/>
    <x v="1"/>
    <s v="Binders"/>
    <n v="10"/>
    <x v="3"/>
    <s v="SAN DIEGO"/>
    <n v="3433"/>
    <x v="4"/>
    <x v="3"/>
    <x v="43"/>
    <x v="2"/>
    <n v="34330"/>
    <s v="Medium Bulk"/>
  </r>
  <r>
    <x v="74"/>
    <s v="Adam Clark"/>
    <x v="1"/>
    <s v="Binders"/>
    <n v="1"/>
    <x v="3"/>
    <s v="SAN FRANCISCO"/>
    <n v="3887"/>
    <x v="1"/>
    <x v="3"/>
    <x v="42"/>
    <x v="1"/>
    <n v="3887"/>
    <s v="Normal"/>
  </r>
  <r>
    <x v="75"/>
    <s v="Amy Olsen"/>
    <x v="1"/>
    <s v="Binders"/>
    <n v="1"/>
    <x v="1"/>
    <s v="SPRINGFIELD"/>
    <n v="3887"/>
    <x v="1"/>
    <x v="3"/>
    <x v="43"/>
    <x v="2"/>
    <n v="3887"/>
    <s v="Normal"/>
  </r>
  <r>
    <x v="76"/>
    <s v="Stacey Miller"/>
    <x v="1"/>
    <s v="Binders"/>
    <n v="1"/>
    <x v="3"/>
    <s v="SAN DIEGO"/>
    <n v="3887"/>
    <x v="1"/>
    <x v="3"/>
    <x v="43"/>
    <x v="2"/>
    <n v="3887"/>
    <s v="Normal"/>
  </r>
  <r>
    <x v="77"/>
    <s v="Daniel Mosley"/>
    <x v="1"/>
    <s v="Markers"/>
    <n v="20"/>
    <x v="3"/>
    <s v="LOS ANGELES"/>
    <n v="1801"/>
    <x v="3"/>
    <x v="2"/>
    <x v="41"/>
    <x v="1"/>
    <n v="36020"/>
    <s v="High Bulk"/>
  </r>
  <r>
    <x v="77"/>
    <s v="Daniel Mosley"/>
    <x v="2"/>
    <s v="Tables"/>
    <n v="10"/>
    <x v="3"/>
    <s v="LOS ANGELES"/>
    <n v="5301"/>
    <x v="1"/>
    <x v="1"/>
    <x v="41"/>
    <x v="1"/>
    <n v="53010"/>
    <s v="Medium Bulk"/>
  </r>
  <r>
    <x v="77"/>
    <s v="Daniel Mosley"/>
    <x v="1"/>
    <s v="Paper"/>
    <n v="12"/>
    <x v="3"/>
    <s v="LOS ANGELES"/>
    <n v="1166"/>
    <x v="1"/>
    <x v="2"/>
    <x v="41"/>
    <x v="1"/>
    <n v="13992"/>
    <s v="Medium Bulk"/>
  </r>
  <r>
    <x v="77"/>
    <s v="Daniel Mosley"/>
    <x v="1"/>
    <s v="Paper"/>
    <n v="15"/>
    <x v="3"/>
    <s v="LOS ANGELES"/>
    <n v="3196"/>
    <x v="1"/>
    <x v="3"/>
    <x v="41"/>
    <x v="1"/>
    <n v="47940"/>
    <s v="High Bulk"/>
  </r>
  <r>
    <x v="78"/>
    <s v="Monica Gibson"/>
    <x v="2"/>
    <s v="Chairs"/>
    <n v="1"/>
    <x v="1"/>
    <s v="SPRINGFIELD"/>
    <n v="3428"/>
    <x v="3"/>
    <x v="3"/>
    <x v="14"/>
    <x v="0"/>
    <n v="3428"/>
    <s v="Normal"/>
  </r>
  <r>
    <x v="78"/>
    <s v="Monica Gibson"/>
    <x v="1"/>
    <s v="Binders"/>
    <n v="12"/>
    <x v="1"/>
    <s v="SPRINGFIELD"/>
    <n v="7223"/>
    <x v="3"/>
    <x v="4"/>
    <x v="14"/>
    <x v="0"/>
    <n v="86676"/>
    <s v="Medium Bulk"/>
  </r>
  <r>
    <x v="78"/>
    <s v="Monica Gibson"/>
    <x v="1"/>
    <s v="Pens"/>
    <n v="1"/>
    <x v="1"/>
    <s v="SPRINGFIELD"/>
    <n v="3731"/>
    <x v="3"/>
    <x v="3"/>
    <x v="14"/>
    <x v="0"/>
    <n v="3731"/>
    <s v="Normal"/>
  </r>
  <r>
    <x v="79"/>
    <s v="Christopher Jordan"/>
    <x v="1"/>
    <s v="Pens"/>
    <n v="18"/>
    <x v="5"/>
    <s v="COLUMBUS"/>
    <n v="8903"/>
    <x v="3"/>
    <x v="0"/>
    <x v="40"/>
    <x v="3"/>
    <n v="160254"/>
    <s v="High Bulk"/>
  </r>
  <r>
    <x v="80"/>
    <s v="Christina Davis"/>
    <x v="0"/>
    <s v="Phones"/>
    <n v="7"/>
    <x v="1"/>
    <s v="CHICAGO"/>
    <n v="6009"/>
    <x v="0"/>
    <x v="4"/>
    <x v="29"/>
    <x v="3"/>
    <n v="42063"/>
    <s v="Low Bulk"/>
  </r>
  <r>
    <x v="81"/>
    <s v="Claudia Curry"/>
    <x v="0"/>
    <s v="Phones"/>
    <n v="7"/>
    <x v="4"/>
    <s v="AUSTIN"/>
    <n v="6009"/>
    <x v="0"/>
    <x v="4"/>
    <x v="44"/>
    <x v="1"/>
    <n v="42063"/>
    <s v="Low Bulk"/>
  </r>
  <r>
    <x v="80"/>
    <s v="Christina Davis"/>
    <x v="2"/>
    <s v="Tables"/>
    <n v="3"/>
    <x v="1"/>
    <s v="CHICAGO"/>
    <n v="2858"/>
    <x v="3"/>
    <x v="3"/>
    <x v="29"/>
    <x v="3"/>
    <n v="8574"/>
    <s v="Normal"/>
  </r>
  <r>
    <x v="81"/>
    <s v="Claudia Curry"/>
    <x v="2"/>
    <s v="Tables"/>
    <n v="3"/>
    <x v="4"/>
    <s v="AUSTIN"/>
    <n v="2858"/>
    <x v="3"/>
    <x v="3"/>
    <x v="44"/>
    <x v="1"/>
    <n v="8574"/>
    <s v="Normal"/>
  </r>
  <r>
    <x v="80"/>
    <s v="Christina Davis"/>
    <x v="2"/>
    <s v="Sofas"/>
    <n v="7"/>
    <x v="1"/>
    <s v="CHICAGO"/>
    <n v="8175"/>
    <x v="3"/>
    <x v="0"/>
    <x v="29"/>
    <x v="3"/>
    <n v="57225"/>
    <s v="Low Bulk"/>
  </r>
  <r>
    <x v="81"/>
    <s v="Claudia Curry"/>
    <x v="2"/>
    <s v="Sofas"/>
    <n v="7"/>
    <x v="4"/>
    <s v="AUSTIN"/>
    <n v="8175"/>
    <x v="3"/>
    <x v="0"/>
    <x v="44"/>
    <x v="1"/>
    <n v="57225"/>
    <s v="Low Bulk"/>
  </r>
  <r>
    <x v="80"/>
    <s v="Christina Davis"/>
    <x v="2"/>
    <s v="Sofas"/>
    <n v="18"/>
    <x v="1"/>
    <s v="CHICAGO"/>
    <n v="5846"/>
    <x v="0"/>
    <x v="1"/>
    <x v="29"/>
    <x v="3"/>
    <n v="105228"/>
    <s v="High Bulk"/>
  </r>
  <r>
    <x v="81"/>
    <s v="Claudia Curry"/>
    <x v="2"/>
    <s v="Sofas"/>
    <n v="18"/>
    <x v="4"/>
    <s v="AUSTIN"/>
    <n v="5846"/>
    <x v="0"/>
    <x v="1"/>
    <x v="44"/>
    <x v="1"/>
    <n v="105228"/>
    <s v="High Bulk"/>
  </r>
  <r>
    <x v="82"/>
    <s v="Brandon Anderson"/>
    <x v="0"/>
    <s v="Laptops"/>
    <n v="11"/>
    <x v="4"/>
    <s v="AUSTIN"/>
    <n v="706"/>
    <x v="3"/>
    <x v="2"/>
    <x v="12"/>
    <x v="3"/>
    <n v="7766"/>
    <s v="Medium Bulk"/>
  </r>
  <r>
    <x v="83"/>
    <s v="George Foster"/>
    <x v="2"/>
    <s v="Tables"/>
    <n v="16"/>
    <x v="4"/>
    <s v="DALLAS"/>
    <n v="9835"/>
    <x v="4"/>
    <x v="0"/>
    <x v="33"/>
    <x v="3"/>
    <n v="157360"/>
    <s v="High Bulk"/>
  </r>
  <r>
    <x v="84"/>
    <s v="Nicholas Anderson"/>
    <x v="2"/>
    <s v="Tables"/>
    <n v="16"/>
    <x v="0"/>
    <s v="ORLANDO"/>
    <n v="9835"/>
    <x v="4"/>
    <x v="0"/>
    <x v="35"/>
    <x v="2"/>
    <n v="157360"/>
    <s v="High Bulk"/>
  </r>
  <r>
    <x v="85"/>
    <s v="Emily Ellison"/>
    <x v="2"/>
    <s v="Tables"/>
    <n v="16"/>
    <x v="3"/>
    <s v="LOS ANGELES"/>
    <n v="9835"/>
    <x v="4"/>
    <x v="0"/>
    <x v="40"/>
    <x v="3"/>
    <n v="157360"/>
    <s v="High Bulk"/>
  </r>
  <r>
    <x v="83"/>
    <s v="George Foster"/>
    <x v="1"/>
    <s v="Markers"/>
    <n v="13"/>
    <x v="4"/>
    <s v="DALLAS"/>
    <n v="9691"/>
    <x v="3"/>
    <x v="0"/>
    <x v="33"/>
    <x v="3"/>
    <n v="125983"/>
    <s v="Medium Bulk"/>
  </r>
  <r>
    <x v="84"/>
    <s v="Nicholas Anderson"/>
    <x v="1"/>
    <s v="Markers"/>
    <n v="13"/>
    <x v="0"/>
    <s v="ORLANDO"/>
    <n v="9691"/>
    <x v="3"/>
    <x v="0"/>
    <x v="35"/>
    <x v="2"/>
    <n v="125983"/>
    <s v="Medium Bulk"/>
  </r>
  <r>
    <x v="85"/>
    <s v="Emily Ellison"/>
    <x v="1"/>
    <s v="Markers"/>
    <n v="13"/>
    <x v="3"/>
    <s v="LOS ANGELES"/>
    <n v="9691"/>
    <x v="3"/>
    <x v="0"/>
    <x v="40"/>
    <x v="3"/>
    <n v="125983"/>
    <s v="Medium Bulk"/>
  </r>
  <r>
    <x v="83"/>
    <s v="George Foster"/>
    <x v="2"/>
    <s v="Bookcases"/>
    <n v="14"/>
    <x v="4"/>
    <s v="DALLAS"/>
    <n v="7826"/>
    <x v="0"/>
    <x v="4"/>
    <x v="33"/>
    <x v="3"/>
    <n v="109564"/>
    <s v="Medium Bulk"/>
  </r>
  <r>
    <x v="84"/>
    <s v="Nicholas Anderson"/>
    <x v="2"/>
    <s v="Bookcases"/>
    <n v="14"/>
    <x v="0"/>
    <s v="ORLANDO"/>
    <n v="7826"/>
    <x v="0"/>
    <x v="4"/>
    <x v="35"/>
    <x v="2"/>
    <n v="109564"/>
    <s v="Medium Bulk"/>
  </r>
  <r>
    <x v="85"/>
    <s v="Emily Ellison"/>
    <x v="2"/>
    <s v="Bookcases"/>
    <n v="14"/>
    <x v="3"/>
    <s v="LOS ANGELES"/>
    <n v="7826"/>
    <x v="0"/>
    <x v="4"/>
    <x v="40"/>
    <x v="3"/>
    <n v="109564"/>
    <s v="Medium Bulk"/>
  </r>
  <r>
    <x v="86"/>
    <s v="Darren Perez"/>
    <x v="2"/>
    <s v="Sofas"/>
    <n v="11"/>
    <x v="4"/>
    <s v="AUSTIN"/>
    <n v="770"/>
    <x v="4"/>
    <x v="2"/>
    <x v="35"/>
    <x v="2"/>
    <n v="8470"/>
    <s v="Medium Bulk"/>
  </r>
  <r>
    <x v="87"/>
    <s v="Michelle Hunter"/>
    <x v="2"/>
    <s v="Sofas"/>
    <n v="11"/>
    <x v="5"/>
    <s v="CINCINNATI"/>
    <n v="770"/>
    <x v="4"/>
    <x v="2"/>
    <x v="45"/>
    <x v="0"/>
    <n v="8470"/>
    <s v="Medium Bulk"/>
  </r>
  <r>
    <x v="88"/>
    <s v="Janet Guerrero"/>
    <x v="2"/>
    <s v="Bookcases"/>
    <n v="20"/>
    <x v="2"/>
    <s v="ROCHESTER"/>
    <n v="9895"/>
    <x v="4"/>
    <x v="0"/>
    <x v="16"/>
    <x v="0"/>
    <n v="197900"/>
    <s v="High Bulk"/>
  </r>
  <r>
    <x v="89"/>
    <s v="Jeffrey Kline"/>
    <x v="1"/>
    <s v="Paper"/>
    <n v="10"/>
    <x v="0"/>
    <s v="MIAMI"/>
    <n v="6517"/>
    <x v="1"/>
    <x v="4"/>
    <x v="3"/>
    <x v="1"/>
    <n v="65170"/>
    <s v="Medium Bulk"/>
  </r>
  <r>
    <x v="90"/>
    <s v="Ryan Bullock"/>
    <x v="1"/>
    <s v="Paper"/>
    <n v="10"/>
    <x v="0"/>
    <s v="TAMPA"/>
    <n v="6517"/>
    <x v="1"/>
    <x v="4"/>
    <x v="8"/>
    <x v="4"/>
    <n v="65170"/>
    <s v="Medium Bulk"/>
  </r>
  <r>
    <x v="89"/>
    <s v="Jeffrey Kline"/>
    <x v="2"/>
    <s v="Tables"/>
    <n v="11"/>
    <x v="0"/>
    <s v="MIAMI"/>
    <n v="1166"/>
    <x v="3"/>
    <x v="2"/>
    <x v="3"/>
    <x v="1"/>
    <n v="12826"/>
    <s v="Medium Bulk"/>
  </r>
  <r>
    <x v="90"/>
    <s v="Ryan Bullock"/>
    <x v="2"/>
    <s v="Tables"/>
    <n v="11"/>
    <x v="0"/>
    <s v="TAMPA"/>
    <n v="1166"/>
    <x v="3"/>
    <x v="2"/>
    <x v="8"/>
    <x v="4"/>
    <n v="12826"/>
    <s v="Medium Bulk"/>
  </r>
  <r>
    <x v="91"/>
    <s v="Tom Lawson"/>
    <x v="2"/>
    <s v="Chairs"/>
    <n v="16"/>
    <x v="2"/>
    <s v="BUFFALO"/>
    <n v="9820"/>
    <x v="3"/>
    <x v="0"/>
    <x v="36"/>
    <x v="2"/>
    <n v="157120"/>
    <s v="High Bulk"/>
  </r>
  <r>
    <x v="92"/>
    <s v="Rebecca Smith"/>
    <x v="1"/>
    <s v="Binders"/>
    <n v="8"/>
    <x v="4"/>
    <s v="DALLAS"/>
    <n v="8563"/>
    <x v="4"/>
    <x v="0"/>
    <x v="46"/>
    <x v="1"/>
    <n v="68504"/>
    <s v="Low Bulk"/>
  </r>
  <r>
    <x v="92"/>
    <s v="Rebecca Smith"/>
    <x v="0"/>
    <s v="Printers"/>
    <n v="20"/>
    <x v="4"/>
    <s v="DALLAS"/>
    <n v="4441"/>
    <x v="4"/>
    <x v="1"/>
    <x v="46"/>
    <x v="1"/>
    <n v="88820"/>
    <s v="High Bulk"/>
  </r>
  <r>
    <x v="93"/>
    <s v="William Welch"/>
    <x v="1"/>
    <s v="Paper"/>
    <n v="8"/>
    <x v="0"/>
    <s v="ORLANDO"/>
    <n v="7340"/>
    <x v="2"/>
    <x v="4"/>
    <x v="13"/>
    <x v="2"/>
    <n v="58720"/>
    <s v="Low Bulk"/>
  </r>
  <r>
    <x v="93"/>
    <s v="William Welch"/>
    <x v="0"/>
    <s v="Phones"/>
    <n v="1"/>
    <x v="0"/>
    <s v="ORLANDO"/>
    <n v="5442"/>
    <x v="2"/>
    <x v="1"/>
    <x v="13"/>
    <x v="2"/>
    <n v="5442"/>
    <s v="Normal"/>
  </r>
  <r>
    <x v="94"/>
    <s v="Mr. Curtis Bailey"/>
    <x v="2"/>
    <s v="Tables"/>
    <n v="14"/>
    <x v="0"/>
    <s v="TAMPA"/>
    <n v="1895"/>
    <x v="0"/>
    <x v="2"/>
    <x v="41"/>
    <x v="1"/>
    <n v="26530"/>
    <s v="Medium Bulk"/>
  </r>
  <r>
    <x v="94"/>
    <s v="Mr. Curtis Bailey"/>
    <x v="1"/>
    <s v="Binders"/>
    <n v="13"/>
    <x v="0"/>
    <s v="TAMPA"/>
    <n v="5323"/>
    <x v="4"/>
    <x v="1"/>
    <x v="41"/>
    <x v="1"/>
    <n v="69199"/>
    <s v="Medium Bulk"/>
  </r>
  <r>
    <x v="95"/>
    <s v="Janet Carlson"/>
    <x v="1"/>
    <s v="Markers"/>
    <n v="13"/>
    <x v="0"/>
    <s v="MIAMI"/>
    <n v="8850"/>
    <x v="1"/>
    <x v="0"/>
    <x v="47"/>
    <x v="1"/>
    <n v="115050"/>
    <s v="Medium Bulk"/>
  </r>
  <r>
    <x v="95"/>
    <s v="Janet Carlson"/>
    <x v="1"/>
    <s v="Paper"/>
    <n v="6"/>
    <x v="0"/>
    <s v="MIAMI"/>
    <n v="8667"/>
    <x v="1"/>
    <x v="0"/>
    <x v="47"/>
    <x v="1"/>
    <n v="52002"/>
    <s v="Low Bulk"/>
  </r>
  <r>
    <x v="96"/>
    <s v="Spencer Spears"/>
    <x v="2"/>
    <s v="Tables"/>
    <n v="1"/>
    <x v="1"/>
    <s v="CHICAGO"/>
    <n v="6903"/>
    <x v="4"/>
    <x v="4"/>
    <x v="3"/>
    <x v="1"/>
    <n v="6903"/>
    <s v="Normal"/>
  </r>
  <r>
    <x v="96"/>
    <s v="Spencer Spears"/>
    <x v="1"/>
    <s v="Pens"/>
    <n v="7"/>
    <x v="1"/>
    <s v="CHICAGO"/>
    <n v="8793"/>
    <x v="4"/>
    <x v="0"/>
    <x v="3"/>
    <x v="1"/>
    <n v="61551"/>
    <s v="Low Bulk"/>
  </r>
  <r>
    <x v="97"/>
    <s v="Jeffrey Middleton"/>
    <x v="1"/>
    <s v="Paper"/>
    <n v="16"/>
    <x v="2"/>
    <s v="BUFFALO"/>
    <n v="9883"/>
    <x v="0"/>
    <x v="0"/>
    <x v="20"/>
    <x v="4"/>
    <n v="158128"/>
    <s v="High Bulk"/>
  </r>
  <r>
    <x v="98"/>
    <s v="Veronica Kelley"/>
    <x v="1"/>
    <s v="Paper"/>
    <n v="16"/>
    <x v="0"/>
    <s v="ORLANDO"/>
    <n v="9883"/>
    <x v="0"/>
    <x v="0"/>
    <x v="40"/>
    <x v="3"/>
    <n v="158128"/>
    <s v="High Bulk"/>
  </r>
  <r>
    <x v="99"/>
    <s v="Leslie Bean"/>
    <x v="1"/>
    <s v="Paper"/>
    <n v="16"/>
    <x v="1"/>
    <s v="SPRINGFIELD"/>
    <n v="9883"/>
    <x v="0"/>
    <x v="0"/>
    <x v="4"/>
    <x v="2"/>
    <n v="158128"/>
    <s v="High Bulk"/>
  </r>
  <r>
    <x v="97"/>
    <s v="Jeffrey Middleton"/>
    <x v="1"/>
    <s v="Paper"/>
    <n v="7"/>
    <x v="2"/>
    <s v="BUFFALO"/>
    <n v="5210"/>
    <x v="0"/>
    <x v="1"/>
    <x v="20"/>
    <x v="4"/>
    <n v="36470"/>
    <s v="Low Bulk"/>
  </r>
  <r>
    <x v="98"/>
    <s v="Veronica Kelley"/>
    <x v="1"/>
    <s v="Paper"/>
    <n v="7"/>
    <x v="0"/>
    <s v="ORLANDO"/>
    <n v="5210"/>
    <x v="0"/>
    <x v="1"/>
    <x v="40"/>
    <x v="3"/>
    <n v="36470"/>
    <s v="Low Bulk"/>
  </r>
  <r>
    <x v="99"/>
    <s v="Leslie Bean"/>
    <x v="1"/>
    <s v="Paper"/>
    <n v="7"/>
    <x v="1"/>
    <s v="SPRINGFIELD"/>
    <n v="5210"/>
    <x v="0"/>
    <x v="1"/>
    <x v="4"/>
    <x v="2"/>
    <n v="36470"/>
    <s v="Low Bulk"/>
  </r>
  <r>
    <x v="47"/>
    <s v="Amy Wilson"/>
    <x v="0"/>
    <s v="Printers"/>
    <n v="4"/>
    <x v="3"/>
    <s v="LOS ANGELES"/>
    <n v="3574"/>
    <x v="3"/>
    <x v="3"/>
    <x v="26"/>
    <x v="3"/>
    <n v="14296"/>
    <s v="Normal"/>
  </r>
  <r>
    <x v="47"/>
    <s v="Amy Wilson"/>
    <x v="2"/>
    <s v="Sofas"/>
    <n v="13"/>
    <x v="3"/>
    <s v="LOS ANGELES"/>
    <n v="576"/>
    <x v="0"/>
    <x v="2"/>
    <x v="26"/>
    <x v="3"/>
    <n v="7488"/>
    <s v="Medium Bulk"/>
  </r>
  <r>
    <x v="100"/>
    <s v="Susan Ramirez"/>
    <x v="0"/>
    <s v="Printers"/>
    <n v="13"/>
    <x v="5"/>
    <s v="CLEVELAND"/>
    <n v="1860"/>
    <x v="2"/>
    <x v="2"/>
    <x v="48"/>
    <x v="0"/>
    <n v="24180"/>
    <s v="Medium Bulk"/>
  </r>
  <r>
    <x v="101"/>
    <s v="Jacob Meyer"/>
    <x v="1"/>
    <s v="Pens"/>
    <n v="8"/>
    <x v="1"/>
    <s v="PEORIA"/>
    <n v="782"/>
    <x v="2"/>
    <x v="2"/>
    <x v="49"/>
    <x v="2"/>
    <n v="6256"/>
    <s v="Low Bulk"/>
  </r>
  <r>
    <x v="101"/>
    <s v="Jacob Meyer"/>
    <x v="0"/>
    <s v="Laptops"/>
    <n v="1"/>
    <x v="1"/>
    <s v="PEORIA"/>
    <n v="4371"/>
    <x v="0"/>
    <x v="1"/>
    <x v="49"/>
    <x v="2"/>
    <n v="4371"/>
    <s v="Normal"/>
  </r>
  <r>
    <x v="102"/>
    <s v="Scott Lewis"/>
    <x v="0"/>
    <s v="Phones"/>
    <n v="1"/>
    <x v="4"/>
    <s v="HOUSTON"/>
    <n v="8346"/>
    <x v="4"/>
    <x v="0"/>
    <x v="38"/>
    <x v="4"/>
    <n v="8346"/>
    <s v="Normal"/>
  </r>
  <r>
    <x v="103"/>
    <s v="Eric Griffith"/>
    <x v="0"/>
    <s v="Phones"/>
    <n v="1"/>
    <x v="1"/>
    <s v="CHICAGO"/>
    <n v="8346"/>
    <x v="4"/>
    <x v="0"/>
    <x v="28"/>
    <x v="0"/>
    <n v="8346"/>
    <s v="Normal"/>
  </r>
  <r>
    <x v="104"/>
    <s v="Anna Ferguson"/>
    <x v="0"/>
    <s v="Phones"/>
    <n v="1"/>
    <x v="3"/>
    <s v="SAN FRANCISCO"/>
    <n v="8346"/>
    <x v="4"/>
    <x v="0"/>
    <x v="16"/>
    <x v="0"/>
    <n v="8346"/>
    <s v="Normal"/>
  </r>
  <r>
    <x v="102"/>
    <s v="Scott Lewis"/>
    <x v="2"/>
    <s v="Tables"/>
    <n v="5"/>
    <x v="4"/>
    <s v="HOUSTON"/>
    <n v="6218"/>
    <x v="1"/>
    <x v="4"/>
    <x v="38"/>
    <x v="4"/>
    <n v="31090"/>
    <s v="Low Bulk"/>
  </r>
  <r>
    <x v="103"/>
    <s v="Eric Griffith"/>
    <x v="2"/>
    <s v="Tables"/>
    <n v="5"/>
    <x v="1"/>
    <s v="CHICAGO"/>
    <n v="6218"/>
    <x v="1"/>
    <x v="4"/>
    <x v="28"/>
    <x v="0"/>
    <n v="31090"/>
    <s v="Low Bulk"/>
  </r>
  <r>
    <x v="104"/>
    <s v="Anna Ferguson"/>
    <x v="2"/>
    <s v="Tables"/>
    <n v="5"/>
    <x v="3"/>
    <s v="SAN FRANCISCO"/>
    <n v="6218"/>
    <x v="1"/>
    <x v="4"/>
    <x v="16"/>
    <x v="0"/>
    <n v="31090"/>
    <s v="Low Bulk"/>
  </r>
  <r>
    <x v="102"/>
    <s v="Scott Lewis"/>
    <x v="0"/>
    <s v="Printers"/>
    <n v="14"/>
    <x v="4"/>
    <s v="HOUSTON"/>
    <n v="5167"/>
    <x v="3"/>
    <x v="1"/>
    <x v="38"/>
    <x v="4"/>
    <n v="72338"/>
    <s v="Medium Bulk"/>
  </r>
  <r>
    <x v="103"/>
    <s v="Eric Griffith"/>
    <x v="0"/>
    <s v="Printers"/>
    <n v="14"/>
    <x v="1"/>
    <s v="CHICAGO"/>
    <n v="5167"/>
    <x v="3"/>
    <x v="1"/>
    <x v="28"/>
    <x v="0"/>
    <n v="72338"/>
    <s v="Medium Bulk"/>
  </r>
  <r>
    <x v="104"/>
    <s v="Anna Ferguson"/>
    <x v="0"/>
    <s v="Printers"/>
    <n v="14"/>
    <x v="3"/>
    <s v="SAN FRANCISCO"/>
    <n v="5167"/>
    <x v="3"/>
    <x v="1"/>
    <x v="16"/>
    <x v="0"/>
    <n v="72338"/>
    <s v="Medium Bulk"/>
  </r>
  <r>
    <x v="102"/>
    <s v="Scott Lewis"/>
    <x v="2"/>
    <s v="Sofas"/>
    <n v="5"/>
    <x v="4"/>
    <s v="HOUSTON"/>
    <n v="2799"/>
    <x v="1"/>
    <x v="3"/>
    <x v="38"/>
    <x v="4"/>
    <n v="13995"/>
    <s v="Low Bulk"/>
  </r>
  <r>
    <x v="103"/>
    <s v="Eric Griffith"/>
    <x v="2"/>
    <s v="Sofas"/>
    <n v="5"/>
    <x v="1"/>
    <s v="CHICAGO"/>
    <n v="2799"/>
    <x v="1"/>
    <x v="3"/>
    <x v="28"/>
    <x v="0"/>
    <n v="13995"/>
    <s v="Low Bulk"/>
  </r>
  <r>
    <x v="104"/>
    <s v="Anna Ferguson"/>
    <x v="2"/>
    <s v="Sofas"/>
    <n v="5"/>
    <x v="3"/>
    <s v="SAN FRANCISCO"/>
    <n v="2799"/>
    <x v="1"/>
    <x v="3"/>
    <x v="16"/>
    <x v="0"/>
    <n v="13995"/>
    <s v="Low Bulk"/>
  </r>
  <r>
    <x v="105"/>
    <s v="David Figueroa"/>
    <x v="1"/>
    <s v="Markers"/>
    <n v="20"/>
    <x v="0"/>
    <s v="MIAMI"/>
    <n v="3234"/>
    <x v="3"/>
    <x v="3"/>
    <x v="25"/>
    <x v="3"/>
    <n v="64680"/>
    <s v="High Bulk"/>
  </r>
  <r>
    <x v="106"/>
    <s v="Theresa Medina"/>
    <x v="2"/>
    <s v="Tables"/>
    <n v="12"/>
    <x v="1"/>
    <s v="SPRINGFIELD"/>
    <n v="4920"/>
    <x v="1"/>
    <x v="1"/>
    <x v="36"/>
    <x v="2"/>
    <n v="59040"/>
    <s v="Medium Bulk"/>
  </r>
  <r>
    <x v="106"/>
    <s v="Theresa Medina"/>
    <x v="2"/>
    <s v="Bookcases"/>
    <n v="15"/>
    <x v="1"/>
    <s v="SPRINGFIELD"/>
    <n v="9078"/>
    <x v="2"/>
    <x v="0"/>
    <x v="36"/>
    <x v="2"/>
    <n v="136170"/>
    <s v="High Bulk"/>
  </r>
  <r>
    <x v="107"/>
    <s v="Mary Smith"/>
    <x v="2"/>
    <s v="Bookcases"/>
    <n v="7"/>
    <x v="0"/>
    <s v="MIAMI"/>
    <n v="8586"/>
    <x v="0"/>
    <x v="0"/>
    <x v="50"/>
    <x v="4"/>
    <n v="60102"/>
    <s v="Low Bulk"/>
  </r>
  <r>
    <x v="108"/>
    <s v="Lance Cain"/>
    <x v="2"/>
    <s v="Bookcases"/>
    <n v="7"/>
    <x v="0"/>
    <s v="TAMPA"/>
    <n v="8586"/>
    <x v="0"/>
    <x v="0"/>
    <x v="17"/>
    <x v="0"/>
    <n v="60102"/>
    <s v="Low Bulk"/>
  </r>
  <r>
    <x v="109"/>
    <s v="Alexandra Moran"/>
    <x v="2"/>
    <s v="Sofas"/>
    <n v="13"/>
    <x v="3"/>
    <s v="SAN FRANCISCO"/>
    <n v="5047"/>
    <x v="2"/>
    <x v="1"/>
    <x v="21"/>
    <x v="0"/>
    <n v="65611"/>
    <s v="Medium Bulk"/>
  </r>
  <r>
    <x v="110"/>
    <s v="Sara Castro"/>
    <x v="2"/>
    <s v="Sofas"/>
    <n v="13"/>
    <x v="1"/>
    <s v="CHICAGO"/>
    <n v="5047"/>
    <x v="2"/>
    <x v="1"/>
    <x v="51"/>
    <x v="2"/>
    <n v="65611"/>
    <s v="Medium Bulk"/>
  </r>
  <r>
    <x v="111"/>
    <s v="Shawn Leach"/>
    <x v="2"/>
    <s v="Sofas"/>
    <n v="13"/>
    <x v="1"/>
    <s v="PEORIA"/>
    <n v="5047"/>
    <x v="2"/>
    <x v="1"/>
    <x v="24"/>
    <x v="3"/>
    <n v="65611"/>
    <s v="Medium Bulk"/>
  </r>
  <r>
    <x v="112"/>
    <s v="Mark Boyle"/>
    <x v="2"/>
    <s v="Sofas"/>
    <n v="13"/>
    <x v="2"/>
    <s v="BUFFALO"/>
    <n v="5047"/>
    <x v="2"/>
    <x v="1"/>
    <x v="37"/>
    <x v="3"/>
    <n v="65611"/>
    <s v="Medium Bulk"/>
  </r>
  <r>
    <x v="113"/>
    <s v="John Stevens"/>
    <x v="2"/>
    <s v="Sofas"/>
    <n v="1"/>
    <x v="3"/>
    <s v="SAN FRANCISCO"/>
    <n v="3657"/>
    <x v="0"/>
    <x v="3"/>
    <x v="18"/>
    <x v="2"/>
    <n v="3657"/>
    <s v="Normal"/>
  </r>
  <r>
    <x v="114"/>
    <s v="Lisa Graham"/>
    <x v="0"/>
    <s v="Electronic Games"/>
    <n v="18"/>
    <x v="1"/>
    <s v="PEORIA"/>
    <n v="6471"/>
    <x v="0"/>
    <x v="4"/>
    <x v="41"/>
    <x v="1"/>
    <n v="116478"/>
    <s v="High Bulk"/>
  </r>
  <r>
    <x v="115"/>
    <s v="Nancy Jones"/>
    <x v="1"/>
    <s v="Binders"/>
    <n v="9"/>
    <x v="5"/>
    <s v="CLEVELAND"/>
    <n v="949"/>
    <x v="0"/>
    <x v="2"/>
    <x v="1"/>
    <x v="1"/>
    <n v="8541"/>
    <s v="Low Bulk"/>
  </r>
  <r>
    <x v="115"/>
    <s v="Nancy Jones"/>
    <x v="1"/>
    <s v="Binders"/>
    <n v="6"/>
    <x v="5"/>
    <s v="CLEVELAND"/>
    <n v="6823"/>
    <x v="2"/>
    <x v="4"/>
    <x v="1"/>
    <x v="1"/>
    <n v="40938"/>
    <s v="Low Bulk"/>
  </r>
  <r>
    <x v="115"/>
    <s v="Nancy Jones"/>
    <x v="2"/>
    <s v="Tables"/>
    <n v="2"/>
    <x v="5"/>
    <s v="CLEVELAND"/>
    <n v="4364"/>
    <x v="2"/>
    <x v="1"/>
    <x v="1"/>
    <x v="1"/>
    <n v="8728"/>
    <s v="Normal"/>
  </r>
  <r>
    <x v="116"/>
    <s v="Darryl Robbins"/>
    <x v="0"/>
    <s v="Phones"/>
    <n v="10"/>
    <x v="1"/>
    <s v="PEORIA"/>
    <n v="6671"/>
    <x v="0"/>
    <x v="4"/>
    <x v="29"/>
    <x v="3"/>
    <n v="66710"/>
    <s v="Medium Bulk"/>
  </r>
  <r>
    <x v="117"/>
    <s v="Kimberly Smith"/>
    <x v="1"/>
    <s v="Paper"/>
    <n v="3"/>
    <x v="1"/>
    <s v="SPRINGFIELD"/>
    <n v="7472"/>
    <x v="4"/>
    <x v="4"/>
    <x v="15"/>
    <x v="3"/>
    <n v="22416"/>
    <s v="Normal"/>
  </r>
  <r>
    <x v="117"/>
    <s v="Kimberly Smith"/>
    <x v="0"/>
    <s v="Printers"/>
    <n v="9"/>
    <x v="1"/>
    <s v="SPRINGFIELD"/>
    <n v="9548"/>
    <x v="4"/>
    <x v="0"/>
    <x v="15"/>
    <x v="3"/>
    <n v="85932"/>
    <s v="Low Bulk"/>
  </r>
  <r>
    <x v="118"/>
    <s v="Maria Thomas"/>
    <x v="0"/>
    <s v="Printers"/>
    <n v="17"/>
    <x v="0"/>
    <s v="MIAMI"/>
    <n v="7759"/>
    <x v="0"/>
    <x v="4"/>
    <x v="34"/>
    <x v="2"/>
    <n v="131903"/>
    <s v="High Bulk"/>
  </r>
  <r>
    <x v="119"/>
    <s v="Nicholas Johnson"/>
    <x v="0"/>
    <s v="Printers"/>
    <n v="17"/>
    <x v="4"/>
    <s v="DALLAS"/>
    <n v="7759"/>
    <x v="0"/>
    <x v="4"/>
    <x v="52"/>
    <x v="5"/>
    <n v="131903"/>
    <s v="High Bulk"/>
  </r>
  <r>
    <x v="118"/>
    <s v="Maria Thomas"/>
    <x v="1"/>
    <s v="Markers"/>
    <n v="16"/>
    <x v="0"/>
    <s v="MIAMI"/>
    <n v="7521"/>
    <x v="1"/>
    <x v="4"/>
    <x v="34"/>
    <x v="2"/>
    <n v="120336"/>
    <s v="High Bulk"/>
  </r>
  <r>
    <x v="119"/>
    <s v="Nicholas Johnson"/>
    <x v="1"/>
    <s v="Markers"/>
    <n v="16"/>
    <x v="4"/>
    <s v="DALLAS"/>
    <n v="7521"/>
    <x v="1"/>
    <x v="4"/>
    <x v="52"/>
    <x v="5"/>
    <n v="120336"/>
    <s v="High Bulk"/>
  </r>
  <r>
    <x v="120"/>
    <s v="Dawn Howard"/>
    <x v="1"/>
    <s v="Pens"/>
    <n v="12"/>
    <x v="4"/>
    <s v="HOUSTON"/>
    <n v="9704"/>
    <x v="4"/>
    <x v="0"/>
    <x v="34"/>
    <x v="2"/>
    <n v="116448"/>
    <s v="Medium Bulk"/>
  </r>
  <r>
    <x v="120"/>
    <s v="Dawn Howard"/>
    <x v="0"/>
    <s v="Printers"/>
    <n v="18"/>
    <x v="4"/>
    <s v="HOUSTON"/>
    <n v="4948"/>
    <x v="1"/>
    <x v="1"/>
    <x v="34"/>
    <x v="2"/>
    <n v="89064"/>
    <s v="High Bulk"/>
  </r>
  <r>
    <x v="120"/>
    <s v="Dawn Howard"/>
    <x v="0"/>
    <s v="Electronic Games"/>
    <n v="10"/>
    <x v="4"/>
    <s v="HOUSTON"/>
    <n v="6435"/>
    <x v="1"/>
    <x v="4"/>
    <x v="34"/>
    <x v="2"/>
    <n v="64350"/>
    <s v="Medium Bulk"/>
  </r>
  <r>
    <x v="121"/>
    <s v="Jennifer Marshall"/>
    <x v="1"/>
    <s v="Markers"/>
    <n v="16"/>
    <x v="3"/>
    <s v="SAN FRANCISCO"/>
    <n v="9965"/>
    <x v="4"/>
    <x v="0"/>
    <x v="53"/>
    <x v="4"/>
    <n v="159440"/>
    <s v="High Bulk"/>
  </r>
  <r>
    <x v="122"/>
    <s v="Frank Garcia"/>
    <x v="1"/>
    <s v="Markers"/>
    <n v="16"/>
    <x v="2"/>
    <s v="BUFFALO"/>
    <n v="9965"/>
    <x v="4"/>
    <x v="0"/>
    <x v="48"/>
    <x v="0"/>
    <n v="159440"/>
    <s v="High Bulk"/>
  </r>
  <r>
    <x v="123"/>
    <s v="Terri Madden"/>
    <x v="2"/>
    <s v="Sofas"/>
    <n v="3"/>
    <x v="2"/>
    <s v="ROCHESTER"/>
    <n v="1523"/>
    <x v="0"/>
    <x v="2"/>
    <x v="0"/>
    <x v="0"/>
    <n v="4569"/>
    <s v="Normal"/>
  </r>
  <r>
    <x v="123"/>
    <s v="Terri Madden"/>
    <x v="0"/>
    <s v="Electronic Games"/>
    <n v="7"/>
    <x v="2"/>
    <s v="ROCHESTER"/>
    <n v="9073"/>
    <x v="1"/>
    <x v="0"/>
    <x v="0"/>
    <x v="0"/>
    <n v="63511"/>
    <s v="Low Bulk"/>
  </r>
  <r>
    <x v="124"/>
    <s v="James Gutierrez"/>
    <x v="0"/>
    <s v="Laptops"/>
    <n v="20"/>
    <x v="2"/>
    <s v="ROCHESTER"/>
    <n v="6447"/>
    <x v="4"/>
    <x v="4"/>
    <x v="34"/>
    <x v="2"/>
    <n v="128940"/>
    <s v="High Bulk"/>
  </r>
  <r>
    <x v="124"/>
    <s v="James Gutierrez"/>
    <x v="0"/>
    <s v="Electronic Games"/>
    <n v="6"/>
    <x v="2"/>
    <s v="ROCHESTER"/>
    <n v="8947"/>
    <x v="3"/>
    <x v="0"/>
    <x v="34"/>
    <x v="2"/>
    <n v="53682"/>
    <s v="Low Bulk"/>
  </r>
  <r>
    <x v="125"/>
    <s v="Morgan Sellers"/>
    <x v="1"/>
    <s v="Pens"/>
    <n v="8"/>
    <x v="3"/>
    <s v="LOS ANGELES"/>
    <n v="914"/>
    <x v="1"/>
    <x v="2"/>
    <x v="49"/>
    <x v="2"/>
    <n v="7312"/>
    <s v="Low Bulk"/>
  </r>
  <r>
    <x v="125"/>
    <s v="Morgan Sellers"/>
    <x v="1"/>
    <s v="Paper"/>
    <n v="3"/>
    <x v="3"/>
    <s v="LOS ANGELES"/>
    <n v="1548"/>
    <x v="3"/>
    <x v="2"/>
    <x v="49"/>
    <x v="2"/>
    <n v="4644"/>
    <s v="Normal"/>
  </r>
  <r>
    <x v="1"/>
    <s v="Caitlin Thomas"/>
    <x v="2"/>
    <s v="Tables"/>
    <n v="6"/>
    <x v="2"/>
    <s v="NEW YORK CITY"/>
    <n v="2759"/>
    <x v="3"/>
    <x v="3"/>
    <x v="1"/>
    <x v="1"/>
    <n v="16554"/>
    <s v="Low Bulk"/>
  </r>
  <r>
    <x v="126"/>
    <s v="Kimberly Greene"/>
    <x v="0"/>
    <s v="Laptops"/>
    <n v="4"/>
    <x v="0"/>
    <s v="ORLANDO"/>
    <n v="1341"/>
    <x v="0"/>
    <x v="2"/>
    <x v="40"/>
    <x v="3"/>
    <n v="5364"/>
    <s v="Normal"/>
  </r>
  <r>
    <x v="127"/>
    <s v="Tammy Anthony"/>
    <x v="0"/>
    <s v="Electronic Games"/>
    <n v="19"/>
    <x v="5"/>
    <s v="CLEVELAND"/>
    <n v="9851"/>
    <x v="1"/>
    <x v="0"/>
    <x v="25"/>
    <x v="3"/>
    <n v="187169"/>
    <s v="High Bulk"/>
  </r>
  <r>
    <x v="128"/>
    <s v="Jennifer Chase"/>
    <x v="0"/>
    <s v="Electronic Games"/>
    <n v="19"/>
    <x v="2"/>
    <s v="BUFFALO"/>
    <n v="9851"/>
    <x v="1"/>
    <x v="0"/>
    <x v="17"/>
    <x v="0"/>
    <n v="187169"/>
    <s v="High Bulk"/>
  </r>
  <r>
    <x v="129"/>
    <s v="Cassandra Farley"/>
    <x v="0"/>
    <s v="Electronic Games"/>
    <n v="19"/>
    <x v="0"/>
    <s v="ORLANDO"/>
    <n v="9851"/>
    <x v="1"/>
    <x v="0"/>
    <x v="24"/>
    <x v="3"/>
    <n v="187169"/>
    <s v="High Bulk"/>
  </r>
  <r>
    <x v="127"/>
    <s v="Tammy Anthony"/>
    <x v="2"/>
    <s v="Tables"/>
    <n v="14"/>
    <x v="5"/>
    <s v="CLEVELAND"/>
    <n v="9989"/>
    <x v="1"/>
    <x v="0"/>
    <x v="25"/>
    <x v="3"/>
    <n v="139846"/>
    <s v="Medium Bulk"/>
  </r>
  <r>
    <x v="128"/>
    <s v="Jennifer Chase"/>
    <x v="2"/>
    <s v="Tables"/>
    <n v="14"/>
    <x v="2"/>
    <s v="BUFFALO"/>
    <n v="9989"/>
    <x v="1"/>
    <x v="0"/>
    <x v="17"/>
    <x v="0"/>
    <n v="139846"/>
    <s v="Medium Bulk"/>
  </r>
  <r>
    <x v="129"/>
    <s v="Cassandra Farley"/>
    <x v="2"/>
    <s v="Tables"/>
    <n v="14"/>
    <x v="0"/>
    <s v="ORLANDO"/>
    <n v="9989"/>
    <x v="1"/>
    <x v="0"/>
    <x v="24"/>
    <x v="3"/>
    <n v="139846"/>
    <s v="Medium Bulk"/>
  </r>
  <r>
    <x v="130"/>
    <s v="Justin Vasquez"/>
    <x v="2"/>
    <s v="Tables"/>
    <n v="10"/>
    <x v="4"/>
    <s v="HOUSTON"/>
    <n v="7421"/>
    <x v="4"/>
    <x v="4"/>
    <x v="29"/>
    <x v="3"/>
    <n v="74210"/>
    <s v="Medium Bulk"/>
  </r>
  <r>
    <x v="39"/>
    <s v="Melissa Morales"/>
    <x v="2"/>
    <s v="Tables"/>
    <n v="10"/>
    <x v="4"/>
    <s v="HOUSTON"/>
    <n v="7421"/>
    <x v="4"/>
    <x v="4"/>
    <x v="12"/>
    <x v="3"/>
    <n v="74210"/>
    <s v="Medium Bulk"/>
  </r>
  <r>
    <x v="131"/>
    <s v="Tyler Thompson"/>
    <x v="2"/>
    <s v="Tables"/>
    <n v="10"/>
    <x v="4"/>
    <s v="DALLAS"/>
    <n v="7421"/>
    <x v="4"/>
    <x v="4"/>
    <x v="54"/>
    <x v="0"/>
    <n v="74210"/>
    <s v="Medium Bulk"/>
  </r>
  <r>
    <x v="19"/>
    <s v="Heidi Davis"/>
    <x v="1"/>
    <s v="Paper"/>
    <n v="1"/>
    <x v="2"/>
    <s v="BUFFALO"/>
    <n v="3099"/>
    <x v="4"/>
    <x v="3"/>
    <x v="12"/>
    <x v="3"/>
    <n v="3099"/>
    <s v="Normal"/>
  </r>
  <r>
    <x v="19"/>
    <s v="Heidi Davis"/>
    <x v="0"/>
    <s v="Phones"/>
    <n v="7"/>
    <x v="2"/>
    <s v="BUFFALO"/>
    <n v="2521"/>
    <x v="4"/>
    <x v="3"/>
    <x v="12"/>
    <x v="3"/>
    <n v="17647"/>
    <s v="Low Bulk"/>
  </r>
  <r>
    <x v="132"/>
    <s v="Charles Lane"/>
    <x v="0"/>
    <s v="Electronic Games"/>
    <n v="12"/>
    <x v="4"/>
    <s v="DALLAS"/>
    <n v="6962"/>
    <x v="0"/>
    <x v="4"/>
    <x v="55"/>
    <x v="1"/>
    <n v="83544"/>
    <s v="Medium Bulk"/>
  </r>
  <r>
    <x v="133"/>
    <s v="Joyce Good MD"/>
    <x v="0"/>
    <s v="Electronic Games"/>
    <n v="12"/>
    <x v="0"/>
    <s v="MIAMI"/>
    <n v="6962"/>
    <x v="0"/>
    <x v="4"/>
    <x v="9"/>
    <x v="5"/>
    <n v="83544"/>
    <s v="Medium Bulk"/>
  </r>
  <r>
    <x v="134"/>
    <s v="Maria Miller"/>
    <x v="2"/>
    <s v="Bookcases"/>
    <n v="20"/>
    <x v="2"/>
    <s v="BUFFALO"/>
    <n v="1085"/>
    <x v="0"/>
    <x v="2"/>
    <x v="41"/>
    <x v="1"/>
    <n v="21700"/>
    <s v="High Bulk"/>
  </r>
  <r>
    <x v="135"/>
    <s v="Terry Mcdaniel"/>
    <x v="2"/>
    <s v="Chairs"/>
    <n v="2"/>
    <x v="5"/>
    <s v="CINCINNATI"/>
    <n v="738"/>
    <x v="1"/>
    <x v="2"/>
    <x v="28"/>
    <x v="0"/>
    <n v="1476"/>
    <s v="Normal"/>
  </r>
  <r>
    <x v="136"/>
    <s v="Lisa Jacobs"/>
    <x v="2"/>
    <s v="Chairs"/>
    <n v="2"/>
    <x v="2"/>
    <s v="BUFFALO"/>
    <n v="738"/>
    <x v="1"/>
    <x v="2"/>
    <x v="50"/>
    <x v="4"/>
    <n v="1476"/>
    <s v="Normal"/>
  </r>
  <r>
    <x v="137"/>
    <s v="Jeff Duncan"/>
    <x v="2"/>
    <s v="Chairs"/>
    <n v="2"/>
    <x v="5"/>
    <s v="CINCINNATI"/>
    <n v="738"/>
    <x v="1"/>
    <x v="2"/>
    <x v="3"/>
    <x v="1"/>
    <n v="1476"/>
    <s v="Normal"/>
  </r>
  <r>
    <x v="138"/>
    <s v="Pamela Jones"/>
    <x v="2"/>
    <s v="Chairs"/>
    <n v="2"/>
    <x v="2"/>
    <s v="NEW YORK CITY"/>
    <n v="738"/>
    <x v="1"/>
    <x v="2"/>
    <x v="12"/>
    <x v="3"/>
    <n v="1476"/>
    <s v="Normal"/>
  </r>
  <r>
    <x v="139"/>
    <s v="Renee Robinson"/>
    <x v="0"/>
    <s v="Electronic Games"/>
    <n v="17"/>
    <x v="5"/>
    <s v="COLUMBUS"/>
    <n v="1366"/>
    <x v="2"/>
    <x v="2"/>
    <x v="48"/>
    <x v="0"/>
    <n v="23222"/>
    <s v="High Bulk"/>
  </r>
  <r>
    <x v="139"/>
    <s v="Renee Robinson"/>
    <x v="1"/>
    <s v="Markers"/>
    <n v="13"/>
    <x v="5"/>
    <s v="COLUMBUS"/>
    <n v="1518"/>
    <x v="3"/>
    <x v="2"/>
    <x v="48"/>
    <x v="0"/>
    <n v="19734"/>
    <s v="Medium Bulk"/>
  </r>
  <r>
    <x v="140"/>
    <s v="Jessica Kidd"/>
    <x v="0"/>
    <s v="Phones"/>
    <n v="1"/>
    <x v="2"/>
    <s v="BUFFALO"/>
    <n v="2962"/>
    <x v="4"/>
    <x v="3"/>
    <x v="18"/>
    <x v="2"/>
    <n v="2962"/>
    <s v="Normal"/>
  </r>
  <r>
    <x v="141"/>
    <s v="Nicholas Martin"/>
    <x v="0"/>
    <s v="Phones"/>
    <n v="1"/>
    <x v="0"/>
    <s v="TAMPA"/>
    <n v="2962"/>
    <x v="4"/>
    <x v="3"/>
    <x v="48"/>
    <x v="0"/>
    <n v="2962"/>
    <s v="Normal"/>
  </r>
  <r>
    <x v="140"/>
    <s v="Jessica Kidd"/>
    <x v="0"/>
    <s v="Printers"/>
    <n v="12"/>
    <x v="2"/>
    <s v="BUFFALO"/>
    <n v="7131"/>
    <x v="0"/>
    <x v="4"/>
    <x v="18"/>
    <x v="2"/>
    <n v="85572"/>
    <s v="Medium Bulk"/>
  </r>
  <r>
    <x v="141"/>
    <s v="Nicholas Martin"/>
    <x v="0"/>
    <s v="Printers"/>
    <n v="12"/>
    <x v="0"/>
    <s v="TAMPA"/>
    <n v="7131"/>
    <x v="0"/>
    <x v="4"/>
    <x v="48"/>
    <x v="0"/>
    <n v="85572"/>
    <s v="Medium Bulk"/>
  </r>
  <r>
    <x v="140"/>
    <s v="Jessica Kidd"/>
    <x v="1"/>
    <s v="Markers"/>
    <n v="10"/>
    <x v="2"/>
    <s v="BUFFALO"/>
    <n v="4200"/>
    <x v="2"/>
    <x v="1"/>
    <x v="18"/>
    <x v="2"/>
    <n v="42000"/>
    <s v="Medium Bulk"/>
  </r>
  <r>
    <x v="141"/>
    <s v="Nicholas Martin"/>
    <x v="1"/>
    <s v="Markers"/>
    <n v="10"/>
    <x v="0"/>
    <s v="TAMPA"/>
    <n v="4200"/>
    <x v="2"/>
    <x v="1"/>
    <x v="48"/>
    <x v="0"/>
    <n v="42000"/>
    <s v="Medium Bulk"/>
  </r>
  <r>
    <x v="142"/>
    <s v="David Brown"/>
    <x v="1"/>
    <s v="Markers"/>
    <n v="2"/>
    <x v="1"/>
    <s v="PEORIA"/>
    <n v="5934"/>
    <x v="2"/>
    <x v="1"/>
    <x v="31"/>
    <x v="1"/>
    <n v="11868"/>
    <s v="Normal"/>
  </r>
  <r>
    <x v="143"/>
    <s v="Amber Moore"/>
    <x v="0"/>
    <s v="Printers"/>
    <n v="11"/>
    <x v="2"/>
    <s v="NEW YORK CITY"/>
    <n v="2701"/>
    <x v="0"/>
    <x v="3"/>
    <x v="33"/>
    <x v="3"/>
    <n v="29711"/>
    <s v="Medium Bulk"/>
  </r>
  <r>
    <x v="143"/>
    <s v="Amber Moore"/>
    <x v="1"/>
    <s v="Paper"/>
    <n v="18"/>
    <x v="2"/>
    <s v="NEW YORK CITY"/>
    <n v="7273"/>
    <x v="4"/>
    <x v="4"/>
    <x v="33"/>
    <x v="3"/>
    <n v="130914"/>
    <s v="High Bulk"/>
  </r>
  <r>
    <x v="144"/>
    <s v="James Williams"/>
    <x v="1"/>
    <s v="Markers"/>
    <n v="18"/>
    <x v="3"/>
    <s v="SAN FRANCISCO"/>
    <n v="2465"/>
    <x v="1"/>
    <x v="3"/>
    <x v="8"/>
    <x v="4"/>
    <n v="44370"/>
    <s v="High Bulk"/>
  </r>
  <r>
    <x v="145"/>
    <s v="Karina Barr"/>
    <x v="1"/>
    <s v="Markers"/>
    <n v="2"/>
    <x v="4"/>
    <s v="DALLAS"/>
    <n v="3479"/>
    <x v="2"/>
    <x v="3"/>
    <x v="56"/>
    <x v="1"/>
    <n v="6958"/>
    <s v="Normal"/>
  </r>
  <r>
    <x v="145"/>
    <s v="Karina Barr"/>
    <x v="0"/>
    <s v="Printers"/>
    <n v="7"/>
    <x v="4"/>
    <s v="DALLAS"/>
    <n v="5457"/>
    <x v="2"/>
    <x v="1"/>
    <x v="56"/>
    <x v="1"/>
    <n v="38199"/>
    <s v="Low Bulk"/>
  </r>
  <r>
    <x v="146"/>
    <s v="Meghan Rush"/>
    <x v="1"/>
    <s v="Markers"/>
    <n v="8"/>
    <x v="5"/>
    <s v="CLEVELAND"/>
    <n v="4957"/>
    <x v="3"/>
    <x v="1"/>
    <x v="25"/>
    <x v="3"/>
    <n v="39656"/>
    <s v="Low Bulk"/>
  </r>
  <r>
    <x v="147"/>
    <s v="Bianca Brown"/>
    <x v="1"/>
    <s v="Pens"/>
    <n v="17"/>
    <x v="5"/>
    <s v="COLUMBUS"/>
    <n v="4404"/>
    <x v="1"/>
    <x v="1"/>
    <x v="55"/>
    <x v="1"/>
    <n v="74868"/>
    <s v="High Bulk"/>
  </r>
  <r>
    <x v="147"/>
    <s v="Bianca Brown"/>
    <x v="2"/>
    <s v="Sofas"/>
    <n v="15"/>
    <x v="5"/>
    <s v="COLUMBUS"/>
    <n v="8776"/>
    <x v="3"/>
    <x v="0"/>
    <x v="55"/>
    <x v="1"/>
    <n v="131640"/>
    <s v="High Bulk"/>
  </r>
  <r>
    <x v="148"/>
    <s v="Timothy Jensen"/>
    <x v="0"/>
    <s v="Phones"/>
    <n v="9"/>
    <x v="0"/>
    <s v="ORLANDO"/>
    <n v="9536"/>
    <x v="0"/>
    <x v="0"/>
    <x v="32"/>
    <x v="4"/>
    <n v="85824"/>
    <s v="Low Bulk"/>
  </r>
  <r>
    <x v="148"/>
    <s v="Timothy Jensen"/>
    <x v="2"/>
    <s v="Sofas"/>
    <n v="7"/>
    <x v="0"/>
    <s v="ORLANDO"/>
    <n v="2225"/>
    <x v="3"/>
    <x v="3"/>
    <x v="32"/>
    <x v="4"/>
    <n v="15575"/>
    <s v="Low Bulk"/>
  </r>
  <r>
    <x v="149"/>
    <s v="Melinda Montoya"/>
    <x v="2"/>
    <s v="Bookcases"/>
    <n v="19"/>
    <x v="3"/>
    <s v="SAN FRANCISCO"/>
    <n v="9574"/>
    <x v="0"/>
    <x v="0"/>
    <x v="55"/>
    <x v="1"/>
    <n v="181906"/>
    <s v="High Bulk"/>
  </r>
  <r>
    <x v="149"/>
    <s v="Melinda Montoya"/>
    <x v="0"/>
    <s v="Electronic Games"/>
    <n v="17"/>
    <x v="3"/>
    <s v="SAN FRANCISCO"/>
    <n v="4382"/>
    <x v="4"/>
    <x v="1"/>
    <x v="55"/>
    <x v="1"/>
    <n v="74494"/>
    <s v="High Bulk"/>
  </r>
  <r>
    <x v="150"/>
    <s v="Tammy Bell"/>
    <x v="0"/>
    <s v="Laptops"/>
    <n v="19"/>
    <x v="5"/>
    <s v="CINCINNATI"/>
    <n v="8200"/>
    <x v="4"/>
    <x v="0"/>
    <x v="45"/>
    <x v="0"/>
    <n v="155800"/>
    <s v="High Bulk"/>
  </r>
  <r>
    <x v="150"/>
    <s v="Tammy Bell"/>
    <x v="2"/>
    <s v="Sofas"/>
    <n v="13"/>
    <x v="5"/>
    <s v="CINCINNATI"/>
    <n v="9316"/>
    <x v="3"/>
    <x v="0"/>
    <x v="45"/>
    <x v="0"/>
    <n v="121108"/>
    <s v="Medium Bulk"/>
  </r>
  <r>
    <x v="150"/>
    <s v="Tammy Bell"/>
    <x v="0"/>
    <s v="Electronic Games"/>
    <n v="15"/>
    <x v="5"/>
    <s v="CINCINNATI"/>
    <n v="6379"/>
    <x v="4"/>
    <x v="4"/>
    <x v="45"/>
    <x v="0"/>
    <n v="95685"/>
    <s v="High Bulk"/>
  </r>
  <r>
    <x v="151"/>
    <s v="Connie Richards"/>
    <x v="1"/>
    <s v="Markers"/>
    <n v="5"/>
    <x v="5"/>
    <s v="CLEVELAND"/>
    <n v="3348"/>
    <x v="3"/>
    <x v="3"/>
    <x v="55"/>
    <x v="1"/>
    <n v="16740"/>
    <s v="Low Bulk"/>
  </r>
  <r>
    <x v="152"/>
    <s v="Peter Ward"/>
    <x v="1"/>
    <s v="Markers"/>
    <n v="5"/>
    <x v="2"/>
    <s v="ROCHESTER"/>
    <n v="3348"/>
    <x v="3"/>
    <x v="3"/>
    <x v="27"/>
    <x v="2"/>
    <n v="16740"/>
    <s v="Low Bulk"/>
  </r>
  <r>
    <x v="151"/>
    <s v="Connie Richards"/>
    <x v="1"/>
    <s v="Pens"/>
    <n v="9"/>
    <x v="5"/>
    <s v="CLEVELAND"/>
    <n v="8856"/>
    <x v="1"/>
    <x v="0"/>
    <x v="55"/>
    <x v="1"/>
    <n v="79704"/>
    <s v="Low Bulk"/>
  </r>
  <r>
    <x v="152"/>
    <s v="Peter Ward"/>
    <x v="1"/>
    <s v="Pens"/>
    <n v="9"/>
    <x v="2"/>
    <s v="ROCHESTER"/>
    <n v="8856"/>
    <x v="1"/>
    <x v="0"/>
    <x v="27"/>
    <x v="2"/>
    <n v="79704"/>
    <s v="Low Bulk"/>
  </r>
  <r>
    <x v="153"/>
    <s v="Jonathan Alvarez"/>
    <x v="2"/>
    <s v="Sofas"/>
    <n v="16"/>
    <x v="5"/>
    <s v="COLUMBUS"/>
    <n v="1760"/>
    <x v="1"/>
    <x v="2"/>
    <x v="43"/>
    <x v="2"/>
    <n v="28160"/>
    <s v="High Bulk"/>
  </r>
  <r>
    <x v="154"/>
    <s v="Becky Hodges"/>
    <x v="2"/>
    <s v="Sofas"/>
    <n v="16"/>
    <x v="4"/>
    <s v="HOUSTON"/>
    <n v="1760"/>
    <x v="1"/>
    <x v="2"/>
    <x v="54"/>
    <x v="0"/>
    <n v="28160"/>
    <s v="High Bulk"/>
  </r>
  <r>
    <x v="153"/>
    <s v="Jonathan Alvarez"/>
    <x v="0"/>
    <s v="Printers"/>
    <n v="15"/>
    <x v="5"/>
    <s v="COLUMBUS"/>
    <n v="6351"/>
    <x v="0"/>
    <x v="4"/>
    <x v="43"/>
    <x v="2"/>
    <n v="95265"/>
    <s v="High Bulk"/>
  </r>
  <r>
    <x v="154"/>
    <s v="Becky Hodges"/>
    <x v="0"/>
    <s v="Printers"/>
    <n v="15"/>
    <x v="4"/>
    <s v="HOUSTON"/>
    <n v="6351"/>
    <x v="0"/>
    <x v="4"/>
    <x v="54"/>
    <x v="0"/>
    <n v="95265"/>
    <s v="High Bulk"/>
  </r>
  <r>
    <x v="155"/>
    <s v="Larry Hill"/>
    <x v="1"/>
    <s v="Paper"/>
    <n v="14"/>
    <x v="2"/>
    <s v="NEW YORK CITY"/>
    <n v="869"/>
    <x v="3"/>
    <x v="2"/>
    <x v="2"/>
    <x v="2"/>
    <n v="12166"/>
    <s v="Medium Bulk"/>
  </r>
  <r>
    <x v="156"/>
    <s v="Amber Moon"/>
    <x v="1"/>
    <s v="Paper"/>
    <n v="14"/>
    <x v="5"/>
    <s v="CLEVELAND"/>
    <n v="869"/>
    <x v="3"/>
    <x v="2"/>
    <x v="32"/>
    <x v="4"/>
    <n v="12166"/>
    <s v="Medium Bulk"/>
  </r>
  <r>
    <x v="155"/>
    <s v="Larry Hill"/>
    <x v="2"/>
    <s v="Bookcases"/>
    <n v="7"/>
    <x v="2"/>
    <s v="NEW YORK CITY"/>
    <n v="1486"/>
    <x v="0"/>
    <x v="2"/>
    <x v="2"/>
    <x v="2"/>
    <n v="10402"/>
    <s v="Low Bulk"/>
  </r>
  <r>
    <x v="156"/>
    <s v="Amber Moon"/>
    <x v="2"/>
    <s v="Bookcases"/>
    <n v="7"/>
    <x v="5"/>
    <s v="CLEVELAND"/>
    <n v="1486"/>
    <x v="0"/>
    <x v="2"/>
    <x v="32"/>
    <x v="4"/>
    <n v="10402"/>
    <s v="Low Bulk"/>
  </r>
  <r>
    <x v="157"/>
    <s v="Cynthia Wilcox"/>
    <x v="1"/>
    <s v="Binders"/>
    <n v="13"/>
    <x v="1"/>
    <s v="CHICAGO"/>
    <n v="2999"/>
    <x v="4"/>
    <x v="3"/>
    <x v="40"/>
    <x v="3"/>
    <n v="38987"/>
    <s v="Medium Bulk"/>
  </r>
  <r>
    <x v="157"/>
    <s v="Cynthia Wilcox"/>
    <x v="1"/>
    <s v="Paper"/>
    <n v="20"/>
    <x v="1"/>
    <s v="CHICAGO"/>
    <n v="5142"/>
    <x v="2"/>
    <x v="1"/>
    <x v="40"/>
    <x v="3"/>
    <n v="102840"/>
    <s v="High Bulk"/>
  </r>
  <r>
    <x v="158"/>
    <s v="Rebecca Wright"/>
    <x v="0"/>
    <s v="Laptops"/>
    <n v="17"/>
    <x v="2"/>
    <s v="ROCHESTER"/>
    <n v="1239"/>
    <x v="0"/>
    <x v="2"/>
    <x v="29"/>
    <x v="3"/>
    <n v="21063"/>
    <s v="High Bulk"/>
  </r>
  <r>
    <x v="159"/>
    <s v="Sarah Flores"/>
    <x v="0"/>
    <s v="Laptops"/>
    <n v="17"/>
    <x v="1"/>
    <s v="SPRINGFIELD"/>
    <n v="1239"/>
    <x v="0"/>
    <x v="2"/>
    <x v="33"/>
    <x v="3"/>
    <n v="21063"/>
    <s v="High Bulk"/>
  </r>
  <r>
    <x v="158"/>
    <s v="Rebecca Wright"/>
    <x v="0"/>
    <s v="Electronic Games"/>
    <n v="16"/>
    <x v="2"/>
    <s v="ROCHESTER"/>
    <n v="1262"/>
    <x v="2"/>
    <x v="2"/>
    <x v="29"/>
    <x v="3"/>
    <n v="20192"/>
    <s v="High Bulk"/>
  </r>
  <r>
    <x v="159"/>
    <s v="Sarah Flores"/>
    <x v="0"/>
    <s v="Electronic Games"/>
    <n v="16"/>
    <x v="1"/>
    <s v="SPRINGFIELD"/>
    <n v="1262"/>
    <x v="2"/>
    <x v="2"/>
    <x v="33"/>
    <x v="3"/>
    <n v="20192"/>
    <s v="High Bulk"/>
  </r>
  <r>
    <x v="160"/>
    <s v="Carol Norman"/>
    <x v="2"/>
    <s v="Bookcases"/>
    <n v="5"/>
    <x v="2"/>
    <s v="ROCHESTER"/>
    <n v="1033"/>
    <x v="4"/>
    <x v="2"/>
    <x v="38"/>
    <x v="4"/>
    <n v="5165"/>
    <s v="Low Bulk"/>
  </r>
  <r>
    <x v="161"/>
    <s v="Stephanie Gardner"/>
    <x v="0"/>
    <s v="Printers"/>
    <n v="19"/>
    <x v="3"/>
    <s v="SAN DIEGO"/>
    <n v="1518"/>
    <x v="0"/>
    <x v="2"/>
    <x v="57"/>
    <x v="4"/>
    <n v="28842"/>
    <s v="High Bulk"/>
  </r>
  <r>
    <x v="162"/>
    <s v="Philip Baker"/>
    <x v="1"/>
    <s v="Paper"/>
    <n v="2"/>
    <x v="1"/>
    <s v="PEORIA"/>
    <n v="8581"/>
    <x v="1"/>
    <x v="0"/>
    <x v="50"/>
    <x v="4"/>
    <n v="17162"/>
    <s v="Normal"/>
  </r>
  <r>
    <x v="163"/>
    <s v="Randall Dennis"/>
    <x v="1"/>
    <s v="Paper"/>
    <n v="2"/>
    <x v="0"/>
    <s v="ORLANDO"/>
    <n v="8581"/>
    <x v="1"/>
    <x v="0"/>
    <x v="11"/>
    <x v="4"/>
    <n v="17162"/>
    <s v="Normal"/>
  </r>
  <r>
    <x v="164"/>
    <s v="Suzanne Cross"/>
    <x v="1"/>
    <s v="Pens"/>
    <n v="5"/>
    <x v="4"/>
    <s v="AUSTIN"/>
    <n v="1167"/>
    <x v="0"/>
    <x v="2"/>
    <x v="48"/>
    <x v="0"/>
    <n v="5835"/>
    <s v="Low Bulk"/>
  </r>
  <r>
    <x v="164"/>
    <s v="Suzanne Cross"/>
    <x v="0"/>
    <s v="Laptops"/>
    <n v="20"/>
    <x v="4"/>
    <s v="AUSTIN"/>
    <n v="2841"/>
    <x v="3"/>
    <x v="3"/>
    <x v="48"/>
    <x v="0"/>
    <n v="56820"/>
    <s v="High Bulk"/>
  </r>
  <r>
    <x v="164"/>
    <s v="Suzanne Cross"/>
    <x v="2"/>
    <s v="Tables"/>
    <n v="19"/>
    <x v="4"/>
    <s v="AUSTIN"/>
    <n v="5680"/>
    <x v="0"/>
    <x v="1"/>
    <x v="48"/>
    <x v="0"/>
    <n v="107920"/>
    <s v="High Bulk"/>
  </r>
  <r>
    <x v="165"/>
    <s v="Jasmine Delgado"/>
    <x v="1"/>
    <s v="Pens"/>
    <n v="6"/>
    <x v="1"/>
    <s v="CHICAGO"/>
    <n v="8204"/>
    <x v="0"/>
    <x v="0"/>
    <x v="7"/>
    <x v="4"/>
    <n v="49224"/>
    <s v="Low Bulk"/>
  </r>
  <r>
    <x v="97"/>
    <s v="Kristen Harper"/>
    <x v="1"/>
    <s v="Pens"/>
    <n v="6"/>
    <x v="2"/>
    <s v="BUFFALO"/>
    <n v="8204"/>
    <x v="0"/>
    <x v="0"/>
    <x v="20"/>
    <x v="4"/>
    <n v="49224"/>
    <s v="Low Bulk"/>
  </r>
  <r>
    <x v="165"/>
    <s v="Jasmine Delgado"/>
    <x v="0"/>
    <s v="Phones"/>
    <n v="6"/>
    <x v="1"/>
    <s v="CHICAGO"/>
    <n v="2850"/>
    <x v="2"/>
    <x v="3"/>
    <x v="7"/>
    <x v="4"/>
    <n v="17100"/>
    <s v="Low Bulk"/>
  </r>
  <r>
    <x v="97"/>
    <s v="Kristen Harper"/>
    <x v="0"/>
    <s v="Phones"/>
    <n v="6"/>
    <x v="2"/>
    <s v="BUFFALO"/>
    <n v="2850"/>
    <x v="2"/>
    <x v="3"/>
    <x v="20"/>
    <x v="4"/>
    <n v="17100"/>
    <s v="Low Bulk"/>
  </r>
  <r>
    <x v="166"/>
    <s v="Kaitlyn Graham MD"/>
    <x v="1"/>
    <s v="Pens"/>
    <n v="9"/>
    <x v="2"/>
    <s v="NEW YORK CITY"/>
    <n v="907"/>
    <x v="3"/>
    <x v="2"/>
    <x v="21"/>
    <x v="0"/>
    <n v="8163"/>
    <s v="Low Bulk"/>
  </r>
  <r>
    <x v="167"/>
    <s v="Dean Avila"/>
    <x v="1"/>
    <s v="Pens"/>
    <n v="19"/>
    <x v="5"/>
    <s v="CINCINNATI"/>
    <n v="2174"/>
    <x v="3"/>
    <x v="3"/>
    <x v="39"/>
    <x v="3"/>
    <n v="41306"/>
    <s v="High Bulk"/>
  </r>
  <r>
    <x v="167"/>
    <s v="Dean Avila"/>
    <x v="0"/>
    <s v="Electronic Games"/>
    <n v="12"/>
    <x v="5"/>
    <s v="CINCINNATI"/>
    <n v="8541"/>
    <x v="3"/>
    <x v="0"/>
    <x v="39"/>
    <x v="3"/>
    <n v="102492"/>
    <s v="Medium Bulk"/>
  </r>
  <r>
    <x v="167"/>
    <s v="Dean Avila"/>
    <x v="2"/>
    <s v="Bookcases"/>
    <n v="3"/>
    <x v="5"/>
    <s v="CINCINNATI"/>
    <n v="1931"/>
    <x v="2"/>
    <x v="2"/>
    <x v="39"/>
    <x v="3"/>
    <n v="5793"/>
    <s v="Normal"/>
  </r>
  <r>
    <x v="168"/>
    <s v="Megan Mack"/>
    <x v="0"/>
    <s v="Electronic Games"/>
    <n v="3"/>
    <x v="4"/>
    <s v="AUSTIN"/>
    <n v="1281"/>
    <x v="1"/>
    <x v="2"/>
    <x v="13"/>
    <x v="2"/>
    <n v="3843"/>
    <s v="Normal"/>
  </r>
  <r>
    <x v="168"/>
    <s v="Megan Mack"/>
    <x v="0"/>
    <s v="Laptops"/>
    <n v="15"/>
    <x v="4"/>
    <s v="AUSTIN"/>
    <n v="2404"/>
    <x v="4"/>
    <x v="3"/>
    <x v="13"/>
    <x v="2"/>
    <n v="36060"/>
    <s v="High Bulk"/>
  </r>
  <r>
    <x v="169"/>
    <s v="Heather Johnson"/>
    <x v="2"/>
    <s v="Sofas"/>
    <n v="1"/>
    <x v="3"/>
    <s v="LOS ANGELES"/>
    <n v="2119"/>
    <x v="4"/>
    <x v="3"/>
    <x v="38"/>
    <x v="4"/>
    <n v="2119"/>
    <s v="Normal"/>
  </r>
  <r>
    <x v="170"/>
    <s v="Tina Davies"/>
    <x v="1"/>
    <s v="Pens"/>
    <n v="9"/>
    <x v="1"/>
    <s v="CHICAGO"/>
    <n v="3137"/>
    <x v="1"/>
    <x v="3"/>
    <x v="9"/>
    <x v="5"/>
    <n v="28233"/>
    <s v="Low Bulk"/>
  </r>
  <r>
    <x v="171"/>
    <s v="Matthew Harris"/>
    <x v="2"/>
    <s v="Tables"/>
    <n v="7"/>
    <x v="4"/>
    <s v="DALLAS"/>
    <n v="2323"/>
    <x v="4"/>
    <x v="3"/>
    <x v="26"/>
    <x v="3"/>
    <n v="16261"/>
    <s v="Low Bulk"/>
  </r>
  <r>
    <x v="171"/>
    <s v="Matthew Harris"/>
    <x v="2"/>
    <s v="Bookcases"/>
    <n v="9"/>
    <x v="4"/>
    <s v="DALLAS"/>
    <n v="1368"/>
    <x v="0"/>
    <x v="2"/>
    <x v="26"/>
    <x v="3"/>
    <n v="12312"/>
    <s v="Low Bulk"/>
  </r>
  <r>
    <x v="172"/>
    <s v="Christopher Kirk"/>
    <x v="0"/>
    <s v="Laptops"/>
    <n v="16"/>
    <x v="0"/>
    <s v="MIAMI"/>
    <n v="9204"/>
    <x v="3"/>
    <x v="0"/>
    <x v="42"/>
    <x v="1"/>
    <n v="147264"/>
    <s v="High Bulk"/>
  </r>
  <r>
    <x v="173"/>
    <s v="Eric Stevens"/>
    <x v="0"/>
    <s v="Laptops"/>
    <n v="16"/>
    <x v="0"/>
    <s v="MIAMI"/>
    <n v="9204"/>
    <x v="3"/>
    <x v="0"/>
    <x v="22"/>
    <x v="2"/>
    <n v="147264"/>
    <s v="High Bulk"/>
  </r>
  <r>
    <x v="172"/>
    <s v="Christopher Kirk"/>
    <x v="1"/>
    <s v="Paper"/>
    <n v="20"/>
    <x v="0"/>
    <s v="MIAMI"/>
    <n v="9894"/>
    <x v="2"/>
    <x v="0"/>
    <x v="42"/>
    <x v="1"/>
    <n v="197880"/>
    <s v="High Bulk"/>
  </r>
  <r>
    <x v="173"/>
    <s v="Eric Stevens"/>
    <x v="1"/>
    <s v="Paper"/>
    <n v="20"/>
    <x v="0"/>
    <s v="MIAMI"/>
    <n v="9894"/>
    <x v="2"/>
    <x v="0"/>
    <x v="22"/>
    <x v="2"/>
    <n v="197880"/>
    <s v="High Bulk"/>
  </r>
  <r>
    <x v="174"/>
    <s v="James Dickerson"/>
    <x v="2"/>
    <s v="Sofas"/>
    <n v="18"/>
    <x v="4"/>
    <s v="HOUSTON"/>
    <n v="5322"/>
    <x v="4"/>
    <x v="1"/>
    <x v="29"/>
    <x v="3"/>
    <n v="95796"/>
    <s v="High Bulk"/>
  </r>
  <r>
    <x v="175"/>
    <s v="James Jones"/>
    <x v="2"/>
    <s v="Sofas"/>
    <n v="18"/>
    <x v="4"/>
    <s v="DALLAS"/>
    <n v="5322"/>
    <x v="4"/>
    <x v="1"/>
    <x v="16"/>
    <x v="0"/>
    <n v="95796"/>
    <s v="High Bulk"/>
  </r>
  <r>
    <x v="176"/>
    <s v="Hannah Hendricks"/>
    <x v="2"/>
    <s v="Chairs"/>
    <n v="14"/>
    <x v="5"/>
    <s v="CLEVELAND"/>
    <n v="2666"/>
    <x v="4"/>
    <x v="3"/>
    <x v="58"/>
    <x v="3"/>
    <n v="37324"/>
    <s v="Medium Bulk"/>
  </r>
  <r>
    <x v="177"/>
    <s v="Brett Mullins"/>
    <x v="2"/>
    <s v="Sofas"/>
    <n v="4"/>
    <x v="0"/>
    <s v="ORLANDO"/>
    <n v="8383"/>
    <x v="0"/>
    <x v="0"/>
    <x v="3"/>
    <x v="1"/>
    <n v="33532"/>
    <s v="Normal"/>
  </r>
  <r>
    <x v="178"/>
    <s v="Ms. Kim Jordan"/>
    <x v="1"/>
    <s v="Paper"/>
    <n v="4"/>
    <x v="1"/>
    <s v="CHICAGO"/>
    <n v="7560"/>
    <x v="2"/>
    <x v="4"/>
    <x v="4"/>
    <x v="2"/>
    <n v="30240"/>
    <s v="Normal"/>
  </r>
  <r>
    <x v="179"/>
    <s v="Marcus Santiago"/>
    <x v="2"/>
    <s v="Sofas"/>
    <n v="16"/>
    <x v="2"/>
    <s v="BUFFALO"/>
    <n v="1314"/>
    <x v="0"/>
    <x v="2"/>
    <x v="35"/>
    <x v="2"/>
    <n v="21024"/>
    <s v="High Bulk"/>
  </r>
  <r>
    <x v="179"/>
    <s v="Marcus Santiago"/>
    <x v="2"/>
    <s v="Tables"/>
    <n v="1"/>
    <x v="2"/>
    <s v="BUFFALO"/>
    <n v="4390"/>
    <x v="1"/>
    <x v="1"/>
    <x v="35"/>
    <x v="2"/>
    <n v="4390"/>
    <s v="Normal"/>
  </r>
  <r>
    <x v="179"/>
    <s v="Marcus Santiago"/>
    <x v="1"/>
    <s v="Binders"/>
    <n v="7"/>
    <x v="2"/>
    <s v="BUFFALO"/>
    <n v="1150"/>
    <x v="1"/>
    <x v="2"/>
    <x v="35"/>
    <x v="2"/>
    <n v="8050"/>
    <s v="Low Bulk"/>
  </r>
  <r>
    <x v="180"/>
    <s v="Jill Perez"/>
    <x v="1"/>
    <s v="Pens"/>
    <n v="17"/>
    <x v="3"/>
    <s v="SAN DIEGO"/>
    <n v="1574"/>
    <x v="2"/>
    <x v="2"/>
    <x v="57"/>
    <x v="4"/>
    <n v="26758"/>
    <s v="High Bulk"/>
  </r>
  <r>
    <x v="180"/>
    <s v="Jill Perez"/>
    <x v="1"/>
    <s v="Binders"/>
    <n v="17"/>
    <x v="3"/>
    <s v="SAN DIEGO"/>
    <n v="5635"/>
    <x v="0"/>
    <x v="1"/>
    <x v="57"/>
    <x v="4"/>
    <n v="95795"/>
    <s v="High Bulk"/>
  </r>
  <r>
    <x v="180"/>
    <s v="Jill Perez"/>
    <x v="2"/>
    <s v="Sofas"/>
    <n v="11"/>
    <x v="3"/>
    <s v="SAN DIEGO"/>
    <n v="6515"/>
    <x v="1"/>
    <x v="4"/>
    <x v="57"/>
    <x v="4"/>
    <n v="71665"/>
    <s v="Medium Bulk"/>
  </r>
  <r>
    <x v="181"/>
    <s v="Courtney Williams"/>
    <x v="0"/>
    <s v="Laptops"/>
    <n v="20"/>
    <x v="5"/>
    <s v="COLUMBUS"/>
    <n v="1231"/>
    <x v="1"/>
    <x v="2"/>
    <x v="54"/>
    <x v="0"/>
    <n v="24620"/>
    <s v="High Bulk"/>
  </r>
  <r>
    <x v="182"/>
    <s v="Jordan Hahn"/>
    <x v="0"/>
    <s v="Laptops"/>
    <n v="20"/>
    <x v="2"/>
    <s v="ROCHESTER"/>
    <n v="1231"/>
    <x v="1"/>
    <x v="2"/>
    <x v="53"/>
    <x v="4"/>
    <n v="24620"/>
    <s v="High Bulk"/>
  </r>
  <r>
    <x v="183"/>
    <s v="William Cook"/>
    <x v="1"/>
    <s v="Binders"/>
    <n v="3"/>
    <x v="5"/>
    <s v="CLEVELAND"/>
    <n v="6891"/>
    <x v="1"/>
    <x v="4"/>
    <x v="3"/>
    <x v="1"/>
    <n v="20673"/>
    <s v="Normal"/>
  </r>
  <r>
    <x v="184"/>
    <s v="Stephanie Hayes"/>
    <x v="0"/>
    <s v="Laptops"/>
    <n v="15"/>
    <x v="4"/>
    <s v="AUSTIN"/>
    <n v="7524"/>
    <x v="2"/>
    <x v="4"/>
    <x v="16"/>
    <x v="0"/>
    <n v="112860"/>
    <s v="High Bulk"/>
  </r>
  <r>
    <x v="184"/>
    <s v="Stephanie Hayes"/>
    <x v="0"/>
    <s v="Printers"/>
    <n v="14"/>
    <x v="4"/>
    <s v="AUSTIN"/>
    <n v="6864"/>
    <x v="3"/>
    <x v="4"/>
    <x v="16"/>
    <x v="0"/>
    <n v="96096"/>
    <s v="Medium Bulk"/>
  </r>
  <r>
    <x v="185"/>
    <s v="Melissa Wise"/>
    <x v="2"/>
    <s v="Chairs"/>
    <n v="14"/>
    <x v="5"/>
    <s v="COLUMBUS"/>
    <n v="4215"/>
    <x v="1"/>
    <x v="1"/>
    <x v="42"/>
    <x v="1"/>
    <n v="59010"/>
    <s v="Medium Bulk"/>
  </r>
  <r>
    <x v="186"/>
    <s v="Elizabeth Gonzalez"/>
    <x v="2"/>
    <s v="Bookcases"/>
    <n v="19"/>
    <x v="3"/>
    <s v="SAN DIEGO"/>
    <n v="622"/>
    <x v="3"/>
    <x v="2"/>
    <x v="47"/>
    <x v="1"/>
    <n v="11818"/>
    <s v="High Bulk"/>
  </r>
  <r>
    <x v="186"/>
    <s v="Elizabeth Gonzalez"/>
    <x v="1"/>
    <s v="Pens"/>
    <n v="18"/>
    <x v="3"/>
    <s v="SAN DIEGO"/>
    <n v="1755"/>
    <x v="0"/>
    <x v="2"/>
    <x v="47"/>
    <x v="1"/>
    <n v="31590"/>
    <s v="High Bulk"/>
  </r>
  <r>
    <x v="186"/>
    <s v="Elizabeth Gonzalez"/>
    <x v="0"/>
    <s v="Electronic Games"/>
    <n v="20"/>
    <x v="3"/>
    <s v="SAN DIEGO"/>
    <n v="8020"/>
    <x v="2"/>
    <x v="0"/>
    <x v="47"/>
    <x v="1"/>
    <n v="160400"/>
    <s v="High Bulk"/>
  </r>
  <r>
    <x v="187"/>
    <s v="Mr. Eric Lopez"/>
    <x v="0"/>
    <s v="Laptops"/>
    <n v="4"/>
    <x v="2"/>
    <s v="BUFFALO"/>
    <n v="7333"/>
    <x v="3"/>
    <x v="4"/>
    <x v="47"/>
    <x v="1"/>
    <n v="29332"/>
    <s v="Normal"/>
  </r>
  <r>
    <x v="188"/>
    <s v="Benjamin Higgins"/>
    <x v="0"/>
    <s v="Electronic Games"/>
    <n v="4"/>
    <x v="2"/>
    <s v="ROCHESTER"/>
    <n v="7690"/>
    <x v="4"/>
    <x v="4"/>
    <x v="59"/>
    <x v="0"/>
    <n v="30760"/>
    <s v="Normal"/>
  </r>
  <r>
    <x v="188"/>
    <s v="Benjamin Higgins"/>
    <x v="2"/>
    <s v="Sofas"/>
    <n v="2"/>
    <x v="2"/>
    <s v="ROCHESTER"/>
    <n v="912"/>
    <x v="2"/>
    <x v="2"/>
    <x v="59"/>
    <x v="0"/>
    <n v="1824"/>
    <s v="Normal"/>
  </r>
  <r>
    <x v="189"/>
    <s v="Brett Sutton"/>
    <x v="0"/>
    <s v="Laptops"/>
    <n v="14"/>
    <x v="4"/>
    <s v="AUSTIN"/>
    <n v="2791"/>
    <x v="4"/>
    <x v="3"/>
    <x v="15"/>
    <x v="3"/>
    <n v="39074"/>
    <s v="Medium Bulk"/>
  </r>
  <r>
    <x v="190"/>
    <s v="Anna Blackburn"/>
    <x v="0"/>
    <s v="Laptops"/>
    <n v="14"/>
    <x v="5"/>
    <s v="CINCINNATI"/>
    <n v="2791"/>
    <x v="4"/>
    <x v="3"/>
    <x v="59"/>
    <x v="0"/>
    <n v="39074"/>
    <s v="Medium Bulk"/>
  </r>
  <r>
    <x v="191"/>
    <s v="Michelle Bailey"/>
    <x v="0"/>
    <s v="Laptops"/>
    <n v="14"/>
    <x v="4"/>
    <s v="DALLAS"/>
    <n v="2791"/>
    <x v="4"/>
    <x v="3"/>
    <x v="51"/>
    <x v="2"/>
    <n v="39074"/>
    <s v="Medium Bulk"/>
  </r>
  <r>
    <x v="189"/>
    <s v="Brett Sutton"/>
    <x v="2"/>
    <s v="Sofas"/>
    <n v="3"/>
    <x v="4"/>
    <s v="AUSTIN"/>
    <n v="6223"/>
    <x v="1"/>
    <x v="4"/>
    <x v="15"/>
    <x v="3"/>
    <n v="18669"/>
    <s v="Normal"/>
  </r>
  <r>
    <x v="190"/>
    <s v="Anna Blackburn"/>
    <x v="2"/>
    <s v="Sofas"/>
    <n v="3"/>
    <x v="5"/>
    <s v="CINCINNATI"/>
    <n v="6223"/>
    <x v="1"/>
    <x v="4"/>
    <x v="59"/>
    <x v="0"/>
    <n v="18669"/>
    <s v="Normal"/>
  </r>
  <r>
    <x v="191"/>
    <s v="Michelle Bailey"/>
    <x v="2"/>
    <s v="Sofas"/>
    <n v="3"/>
    <x v="4"/>
    <s v="DALLAS"/>
    <n v="6223"/>
    <x v="1"/>
    <x v="4"/>
    <x v="51"/>
    <x v="2"/>
    <n v="18669"/>
    <s v="Normal"/>
  </r>
  <r>
    <x v="189"/>
    <s v="Brett Sutton"/>
    <x v="2"/>
    <s v="Chairs"/>
    <n v="17"/>
    <x v="4"/>
    <s v="AUSTIN"/>
    <n v="8943"/>
    <x v="1"/>
    <x v="0"/>
    <x v="15"/>
    <x v="3"/>
    <n v="152031"/>
    <s v="High Bulk"/>
  </r>
  <r>
    <x v="190"/>
    <s v="Anna Blackburn"/>
    <x v="2"/>
    <s v="Chairs"/>
    <n v="17"/>
    <x v="5"/>
    <s v="CINCINNATI"/>
    <n v="8943"/>
    <x v="1"/>
    <x v="0"/>
    <x v="59"/>
    <x v="0"/>
    <n v="152031"/>
    <s v="High Bulk"/>
  </r>
  <r>
    <x v="191"/>
    <s v="Michelle Bailey"/>
    <x v="2"/>
    <s v="Chairs"/>
    <n v="17"/>
    <x v="4"/>
    <s v="DALLAS"/>
    <n v="8943"/>
    <x v="1"/>
    <x v="0"/>
    <x v="51"/>
    <x v="2"/>
    <n v="152031"/>
    <s v="High Bulk"/>
  </r>
  <r>
    <x v="189"/>
    <s v="Brett Sutton"/>
    <x v="0"/>
    <s v="Phones"/>
    <n v="12"/>
    <x v="4"/>
    <s v="AUSTIN"/>
    <n v="3297"/>
    <x v="3"/>
    <x v="3"/>
    <x v="15"/>
    <x v="3"/>
    <n v="39564"/>
    <s v="Medium Bulk"/>
  </r>
  <r>
    <x v="190"/>
    <s v="Anna Blackburn"/>
    <x v="0"/>
    <s v="Phones"/>
    <n v="12"/>
    <x v="5"/>
    <s v="CINCINNATI"/>
    <n v="3297"/>
    <x v="3"/>
    <x v="3"/>
    <x v="59"/>
    <x v="0"/>
    <n v="39564"/>
    <s v="Medium Bulk"/>
  </r>
  <r>
    <x v="191"/>
    <s v="Michelle Bailey"/>
    <x v="0"/>
    <s v="Phones"/>
    <n v="12"/>
    <x v="4"/>
    <s v="DALLAS"/>
    <n v="3297"/>
    <x v="3"/>
    <x v="3"/>
    <x v="51"/>
    <x v="2"/>
    <n v="39564"/>
    <s v="Medium Bulk"/>
  </r>
  <r>
    <x v="192"/>
    <s v="Sara Peterson"/>
    <x v="1"/>
    <s v="Paper"/>
    <n v="20"/>
    <x v="1"/>
    <s v="CHICAGO"/>
    <n v="8769"/>
    <x v="0"/>
    <x v="0"/>
    <x v="11"/>
    <x v="4"/>
    <n v="175380"/>
    <s v="High Bulk"/>
  </r>
  <r>
    <x v="193"/>
    <s v="Katherine Williams"/>
    <x v="0"/>
    <s v="Printers"/>
    <n v="19"/>
    <x v="0"/>
    <s v="ORLANDO"/>
    <n v="9057"/>
    <x v="4"/>
    <x v="0"/>
    <x v="37"/>
    <x v="3"/>
    <n v="172083"/>
    <s v="High Bulk"/>
  </r>
  <r>
    <x v="193"/>
    <s v="Katherine Williams"/>
    <x v="2"/>
    <s v="Tables"/>
    <n v="11"/>
    <x v="0"/>
    <s v="ORLANDO"/>
    <n v="6864"/>
    <x v="3"/>
    <x v="4"/>
    <x v="37"/>
    <x v="3"/>
    <n v="75504"/>
    <s v="Medium Bulk"/>
  </r>
  <r>
    <x v="193"/>
    <s v="Katherine Williams"/>
    <x v="0"/>
    <s v="Laptops"/>
    <n v="13"/>
    <x v="0"/>
    <s v="ORLANDO"/>
    <n v="9200"/>
    <x v="4"/>
    <x v="0"/>
    <x v="37"/>
    <x v="3"/>
    <n v="119600"/>
    <s v="Medium Bulk"/>
  </r>
  <r>
    <x v="194"/>
    <s v="Cory Evans"/>
    <x v="0"/>
    <s v="Laptops"/>
    <n v="6"/>
    <x v="0"/>
    <s v="ORLANDO"/>
    <n v="6113"/>
    <x v="0"/>
    <x v="4"/>
    <x v="47"/>
    <x v="1"/>
    <n v="36678"/>
    <s v="Low Bulk"/>
  </r>
  <r>
    <x v="194"/>
    <s v="Cory Evans"/>
    <x v="2"/>
    <s v="Tables"/>
    <n v="15"/>
    <x v="0"/>
    <s v="ORLANDO"/>
    <n v="7733"/>
    <x v="2"/>
    <x v="4"/>
    <x v="47"/>
    <x v="1"/>
    <n v="115995"/>
    <s v="High Bulk"/>
  </r>
  <r>
    <x v="194"/>
    <s v="Cory Evans"/>
    <x v="2"/>
    <s v="Tables"/>
    <n v="14"/>
    <x v="0"/>
    <s v="ORLANDO"/>
    <n v="8524"/>
    <x v="4"/>
    <x v="0"/>
    <x v="47"/>
    <x v="1"/>
    <n v="119336"/>
    <s v="Medium Bulk"/>
  </r>
  <r>
    <x v="194"/>
    <s v="Cory Evans"/>
    <x v="2"/>
    <s v="Bookcases"/>
    <n v="15"/>
    <x v="0"/>
    <s v="ORLANDO"/>
    <n v="6187"/>
    <x v="2"/>
    <x v="4"/>
    <x v="47"/>
    <x v="1"/>
    <n v="92805"/>
    <s v="High Bulk"/>
  </r>
  <r>
    <x v="195"/>
    <s v="Michael Rodriguez"/>
    <x v="2"/>
    <s v="Tables"/>
    <n v="18"/>
    <x v="5"/>
    <s v="CINCINNATI"/>
    <n v="4364"/>
    <x v="2"/>
    <x v="1"/>
    <x v="58"/>
    <x v="3"/>
    <n v="78552"/>
    <s v="High Bulk"/>
  </r>
  <r>
    <x v="195"/>
    <s v="Michael Rodriguez"/>
    <x v="1"/>
    <s v="Pens"/>
    <n v="12"/>
    <x v="5"/>
    <s v="CINCINNATI"/>
    <n v="736"/>
    <x v="2"/>
    <x v="2"/>
    <x v="58"/>
    <x v="3"/>
    <n v="8832"/>
    <s v="Medium Bulk"/>
  </r>
  <r>
    <x v="196"/>
    <s v="John Munoz"/>
    <x v="1"/>
    <s v="Pens"/>
    <n v="17"/>
    <x v="4"/>
    <s v="DALLAS"/>
    <n v="9905"/>
    <x v="2"/>
    <x v="0"/>
    <x v="2"/>
    <x v="2"/>
    <n v="168385"/>
    <s v="High Bulk"/>
  </r>
  <r>
    <x v="197"/>
    <s v="David Clark"/>
    <x v="1"/>
    <s v="Pens"/>
    <n v="17"/>
    <x v="0"/>
    <s v="TAMPA"/>
    <n v="9905"/>
    <x v="2"/>
    <x v="0"/>
    <x v="4"/>
    <x v="2"/>
    <n v="168385"/>
    <s v="High Bulk"/>
  </r>
  <r>
    <x v="198"/>
    <s v="April Welch"/>
    <x v="1"/>
    <s v="Paper"/>
    <n v="9"/>
    <x v="1"/>
    <s v="SPRINGFIELD"/>
    <n v="2493"/>
    <x v="3"/>
    <x v="3"/>
    <x v="44"/>
    <x v="1"/>
    <n v="22437"/>
    <s v="Low Bulk"/>
  </r>
  <r>
    <x v="198"/>
    <s v="April Welch"/>
    <x v="1"/>
    <s v="Pens"/>
    <n v="1"/>
    <x v="1"/>
    <s v="SPRINGFIELD"/>
    <n v="9849"/>
    <x v="3"/>
    <x v="0"/>
    <x v="44"/>
    <x v="1"/>
    <n v="9849"/>
    <s v="Normal"/>
  </r>
  <r>
    <x v="199"/>
    <s v="Alan Livingston"/>
    <x v="0"/>
    <s v="Printers"/>
    <n v="4"/>
    <x v="1"/>
    <s v="PEORIA"/>
    <n v="3423"/>
    <x v="3"/>
    <x v="3"/>
    <x v="60"/>
    <x v="4"/>
    <n v="13692"/>
    <s v="Normal"/>
  </r>
  <r>
    <x v="200"/>
    <s v="Angela Jackson"/>
    <x v="0"/>
    <s v="Printers"/>
    <n v="4"/>
    <x v="4"/>
    <s v="DALLAS"/>
    <n v="3423"/>
    <x v="3"/>
    <x v="3"/>
    <x v="60"/>
    <x v="4"/>
    <n v="13692"/>
    <s v="Normal"/>
  </r>
  <r>
    <x v="201"/>
    <s v="Amy Williams"/>
    <x v="0"/>
    <s v="Printers"/>
    <n v="4"/>
    <x v="4"/>
    <s v="AUSTIN"/>
    <n v="3423"/>
    <x v="3"/>
    <x v="3"/>
    <x v="10"/>
    <x v="1"/>
    <n v="13692"/>
    <s v="Normal"/>
  </r>
  <r>
    <x v="8"/>
    <s v="Laura Jordan"/>
    <x v="0"/>
    <s v="Printers"/>
    <n v="4"/>
    <x v="4"/>
    <s v="DALLAS"/>
    <n v="3423"/>
    <x v="3"/>
    <x v="3"/>
    <x v="8"/>
    <x v="4"/>
    <n v="13692"/>
    <s v="Normal"/>
  </r>
  <r>
    <x v="202"/>
    <s v="Richard Maynard"/>
    <x v="0"/>
    <s v="Printers"/>
    <n v="4"/>
    <x v="5"/>
    <s v="CINCINNATI"/>
    <n v="3423"/>
    <x v="3"/>
    <x v="3"/>
    <x v="35"/>
    <x v="2"/>
    <n v="13692"/>
    <s v="Normal"/>
  </r>
  <r>
    <x v="203"/>
    <s v="Lawrence Oliver"/>
    <x v="2"/>
    <s v="Chairs"/>
    <n v="9"/>
    <x v="1"/>
    <s v="SPRINGFIELD"/>
    <n v="3900"/>
    <x v="4"/>
    <x v="3"/>
    <x v="59"/>
    <x v="0"/>
    <n v="35100"/>
    <s v="Low Bulk"/>
  </r>
  <r>
    <x v="204"/>
    <s v="Anthony Williams"/>
    <x v="0"/>
    <s v="Electronic Games"/>
    <n v="11"/>
    <x v="2"/>
    <s v="ROCHESTER"/>
    <n v="8568"/>
    <x v="0"/>
    <x v="0"/>
    <x v="4"/>
    <x v="2"/>
    <n v="94248"/>
    <s v="Medium Bulk"/>
  </r>
  <r>
    <x v="204"/>
    <s v="Anthony Williams"/>
    <x v="1"/>
    <s v="Pens"/>
    <n v="6"/>
    <x v="2"/>
    <s v="ROCHESTER"/>
    <n v="3283"/>
    <x v="2"/>
    <x v="3"/>
    <x v="4"/>
    <x v="2"/>
    <n v="19698"/>
    <s v="Low Bulk"/>
  </r>
  <r>
    <x v="205"/>
    <s v="Lynn Matthews"/>
    <x v="0"/>
    <s v="Electronic Games"/>
    <n v="19"/>
    <x v="4"/>
    <s v="DALLAS"/>
    <n v="7643"/>
    <x v="2"/>
    <x v="4"/>
    <x v="58"/>
    <x v="3"/>
    <n v="145217"/>
    <s v="High Bulk"/>
  </r>
  <r>
    <x v="206"/>
    <s v="Andrew Griffin"/>
    <x v="2"/>
    <s v="Sofas"/>
    <n v="15"/>
    <x v="1"/>
    <s v="CHICAGO"/>
    <n v="3461"/>
    <x v="2"/>
    <x v="3"/>
    <x v="19"/>
    <x v="1"/>
    <n v="51915"/>
    <s v="High Bulk"/>
  </r>
  <r>
    <x v="206"/>
    <s v="Andrew Griffin"/>
    <x v="0"/>
    <s v="Electronic Games"/>
    <n v="6"/>
    <x v="1"/>
    <s v="CHICAGO"/>
    <n v="5714"/>
    <x v="3"/>
    <x v="1"/>
    <x v="19"/>
    <x v="1"/>
    <n v="34284"/>
    <s v="Low Bulk"/>
  </r>
  <r>
    <x v="206"/>
    <s v="Andrew Griffin"/>
    <x v="1"/>
    <s v="Binders"/>
    <n v="10"/>
    <x v="1"/>
    <s v="CHICAGO"/>
    <n v="3853"/>
    <x v="4"/>
    <x v="3"/>
    <x v="19"/>
    <x v="1"/>
    <n v="38530"/>
    <s v="Medium Bulk"/>
  </r>
  <r>
    <x v="207"/>
    <s v="Megan Williams"/>
    <x v="1"/>
    <s v="Pens"/>
    <n v="20"/>
    <x v="1"/>
    <s v="CHICAGO"/>
    <n v="6016"/>
    <x v="0"/>
    <x v="4"/>
    <x v="20"/>
    <x v="4"/>
    <n v="120320"/>
    <s v="High Bulk"/>
  </r>
  <r>
    <x v="208"/>
    <s v="Alison Martin"/>
    <x v="1"/>
    <s v="Markers"/>
    <n v="12"/>
    <x v="2"/>
    <s v="BUFFALO"/>
    <n v="1290"/>
    <x v="0"/>
    <x v="2"/>
    <x v="47"/>
    <x v="1"/>
    <n v="15480"/>
    <s v="Medium Bulk"/>
  </r>
  <r>
    <x v="209"/>
    <s v="Samuel Wallace"/>
    <x v="1"/>
    <s v="Markers"/>
    <n v="12"/>
    <x v="3"/>
    <s v="SAN FRANCISCO"/>
    <n v="1290"/>
    <x v="0"/>
    <x v="2"/>
    <x v="1"/>
    <x v="1"/>
    <n v="15480"/>
    <s v="Medium Bulk"/>
  </r>
  <r>
    <x v="210"/>
    <s v="Manuel Stark"/>
    <x v="0"/>
    <s v="Printers"/>
    <n v="10"/>
    <x v="1"/>
    <s v="SPRINGFIELD"/>
    <n v="4569"/>
    <x v="0"/>
    <x v="1"/>
    <x v="57"/>
    <x v="4"/>
    <n v="45690"/>
    <s v="Medium Bulk"/>
  </r>
  <r>
    <x v="211"/>
    <s v="William Villarreal"/>
    <x v="2"/>
    <s v="Bookcases"/>
    <n v="16"/>
    <x v="0"/>
    <s v="ORLANDO"/>
    <n v="3083"/>
    <x v="1"/>
    <x v="3"/>
    <x v="39"/>
    <x v="3"/>
    <n v="49328"/>
    <s v="High Bulk"/>
  </r>
  <r>
    <x v="212"/>
    <s v="Brandon Kirk"/>
    <x v="1"/>
    <s v="Pens"/>
    <n v="15"/>
    <x v="5"/>
    <s v="CLEVELAND"/>
    <n v="3522"/>
    <x v="3"/>
    <x v="3"/>
    <x v="19"/>
    <x v="1"/>
    <n v="52830"/>
    <s v="High Bulk"/>
  </r>
  <r>
    <x v="213"/>
    <s v="Abigail Brown"/>
    <x v="1"/>
    <s v="Pens"/>
    <n v="15"/>
    <x v="3"/>
    <s v="LOS ANGELES"/>
    <n v="3522"/>
    <x v="3"/>
    <x v="3"/>
    <x v="12"/>
    <x v="3"/>
    <n v="52830"/>
    <s v="High Bulk"/>
  </r>
  <r>
    <x v="214"/>
    <s v="Kristine Carter"/>
    <x v="1"/>
    <s v="Binders"/>
    <n v="3"/>
    <x v="4"/>
    <s v="HOUSTON"/>
    <n v="7301"/>
    <x v="1"/>
    <x v="4"/>
    <x v="44"/>
    <x v="1"/>
    <n v="21903"/>
    <s v="Normal"/>
  </r>
  <r>
    <x v="215"/>
    <s v="Wesley Deleon"/>
    <x v="0"/>
    <s v="Laptops"/>
    <n v="8"/>
    <x v="1"/>
    <s v="SPRINGFIELD"/>
    <n v="4462"/>
    <x v="4"/>
    <x v="1"/>
    <x v="39"/>
    <x v="3"/>
    <n v="35696"/>
    <s v="Low Bulk"/>
  </r>
  <r>
    <x v="215"/>
    <s v="Wesley Deleon"/>
    <x v="0"/>
    <s v="Phones"/>
    <n v="17"/>
    <x v="1"/>
    <s v="SPRINGFIELD"/>
    <n v="6212"/>
    <x v="4"/>
    <x v="4"/>
    <x v="39"/>
    <x v="3"/>
    <n v="105604"/>
    <s v="High Bulk"/>
  </r>
  <r>
    <x v="216"/>
    <s v="Laura Cole"/>
    <x v="2"/>
    <s v="Bookcases"/>
    <n v="3"/>
    <x v="0"/>
    <s v="TAMPA"/>
    <n v="4027"/>
    <x v="2"/>
    <x v="1"/>
    <x v="38"/>
    <x v="4"/>
    <n v="12081"/>
    <s v="Normal"/>
  </r>
  <r>
    <x v="217"/>
    <s v="Lauren Harris"/>
    <x v="0"/>
    <s v="Laptops"/>
    <n v="14"/>
    <x v="5"/>
    <s v="CLEVELAND"/>
    <n v="1676"/>
    <x v="2"/>
    <x v="2"/>
    <x v="45"/>
    <x v="0"/>
    <n v="23464"/>
    <s v="Medium Bulk"/>
  </r>
  <r>
    <x v="217"/>
    <s v="Lauren Harris"/>
    <x v="2"/>
    <s v="Bookcases"/>
    <n v="12"/>
    <x v="5"/>
    <s v="CLEVELAND"/>
    <n v="3927"/>
    <x v="4"/>
    <x v="3"/>
    <x v="45"/>
    <x v="0"/>
    <n v="47124"/>
    <s v="Medium Bulk"/>
  </r>
  <r>
    <x v="217"/>
    <s v="Lauren Harris"/>
    <x v="0"/>
    <s v="Phones"/>
    <n v="9"/>
    <x v="5"/>
    <s v="CLEVELAND"/>
    <n v="2776"/>
    <x v="1"/>
    <x v="3"/>
    <x v="45"/>
    <x v="0"/>
    <n v="24984"/>
    <s v="Low Bulk"/>
  </r>
  <r>
    <x v="218"/>
    <s v="Cameron Miller"/>
    <x v="2"/>
    <s v="Sofas"/>
    <n v="12"/>
    <x v="1"/>
    <s v="CHICAGO"/>
    <n v="7684"/>
    <x v="4"/>
    <x v="4"/>
    <x v="20"/>
    <x v="4"/>
    <n v="92208"/>
    <s v="Medium Bulk"/>
  </r>
  <r>
    <x v="219"/>
    <s v="Jacob Carpenter"/>
    <x v="2"/>
    <s v="Sofas"/>
    <n v="12"/>
    <x v="2"/>
    <s v="BUFFALO"/>
    <n v="7684"/>
    <x v="4"/>
    <x v="4"/>
    <x v="53"/>
    <x v="4"/>
    <n v="92208"/>
    <s v="Medium Bulk"/>
  </r>
  <r>
    <x v="27"/>
    <s v="Pamela Callahan DVM"/>
    <x v="2"/>
    <s v="Sofas"/>
    <n v="12"/>
    <x v="5"/>
    <s v="COLUMBUS"/>
    <n v="7684"/>
    <x v="4"/>
    <x v="4"/>
    <x v="21"/>
    <x v="0"/>
    <n v="92208"/>
    <s v="Medium Bulk"/>
  </r>
  <r>
    <x v="176"/>
    <s v="William Ruiz"/>
    <x v="0"/>
    <s v="Phones"/>
    <n v="17"/>
    <x v="0"/>
    <s v="MIAMI"/>
    <n v="6008"/>
    <x v="3"/>
    <x v="4"/>
    <x v="58"/>
    <x v="3"/>
    <n v="102136"/>
    <s v="High Bulk"/>
  </r>
  <r>
    <x v="220"/>
    <s v="Paula Marshall"/>
    <x v="2"/>
    <s v="Bookcases"/>
    <n v="20"/>
    <x v="4"/>
    <s v="DALLAS"/>
    <n v="7344"/>
    <x v="4"/>
    <x v="4"/>
    <x v="40"/>
    <x v="3"/>
    <n v="146880"/>
    <s v="High Bulk"/>
  </r>
  <r>
    <x v="221"/>
    <s v="Natalie Cox"/>
    <x v="1"/>
    <s v="Pens"/>
    <n v="20"/>
    <x v="0"/>
    <s v="ORLANDO"/>
    <n v="6932"/>
    <x v="4"/>
    <x v="4"/>
    <x v="60"/>
    <x v="4"/>
    <n v="138640"/>
    <s v="High Bulk"/>
  </r>
  <r>
    <x v="222"/>
    <s v="Andrew Fernandez"/>
    <x v="0"/>
    <s v="Electronic Games"/>
    <n v="16"/>
    <x v="5"/>
    <s v="CINCINNATI"/>
    <n v="7748"/>
    <x v="2"/>
    <x v="4"/>
    <x v="8"/>
    <x v="4"/>
    <n v="123968"/>
    <s v="High Bulk"/>
  </r>
  <r>
    <x v="222"/>
    <s v="Andrew Fernandez"/>
    <x v="1"/>
    <s v="Markers"/>
    <n v="20"/>
    <x v="5"/>
    <s v="CINCINNATI"/>
    <n v="6381"/>
    <x v="0"/>
    <x v="4"/>
    <x v="8"/>
    <x v="4"/>
    <n v="127620"/>
    <s v="High Bulk"/>
  </r>
  <r>
    <x v="222"/>
    <s v="Andrew Fernandez"/>
    <x v="0"/>
    <s v="Phones"/>
    <n v="6"/>
    <x v="5"/>
    <s v="CINCINNATI"/>
    <n v="992"/>
    <x v="3"/>
    <x v="2"/>
    <x v="8"/>
    <x v="4"/>
    <n v="5952"/>
    <s v="Low Bulk"/>
  </r>
  <r>
    <x v="223"/>
    <s v="Alisha Saunders"/>
    <x v="0"/>
    <s v="Laptops"/>
    <n v="13"/>
    <x v="3"/>
    <s v="SAN FRANCISCO"/>
    <n v="8649"/>
    <x v="2"/>
    <x v="0"/>
    <x v="10"/>
    <x v="1"/>
    <n v="112437"/>
    <s v="Medium Bulk"/>
  </r>
  <r>
    <x v="224"/>
    <s v="Travis Chandler DDS"/>
    <x v="0"/>
    <s v="Laptops"/>
    <n v="13"/>
    <x v="2"/>
    <s v="ROCHESTER"/>
    <n v="8649"/>
    <x v="2"/>
    <x v="0"/>
    <x v="57"/>
    <x v="4"/>
    <n v="112437"/>
    <s v="Medium Bulk"/>
  </r>
  <r>
    <x v="127"/>
    <s v="Russell Austin"/>
    <x v="0"/>
    <s v="Laptops"/>
    <n v="18"/>
    <x v="2"/>
    <s v="NEW YORK CITY"/>
    <n v="4099"/>
    <x v="0"/>
    <x v="1"/>
    <x v="25"/>
    <x v="3"/>
    <n v="73782"/>
    <s v="High Bulk"/>
  </r>
  <r>
    <x v="225"/>
    <s v="Collin Cameron"/>
    <x v="0"/>
    <s v="Electronic Games"/>
    <n v="5"/>
    <x v="3"/>
    <s v="SAN FRANCISCO"/>
    <n v="2539"/>
    <x v="0"/>
    <x v="3"/>
    <x v="49"/>
    <x v="2"/>
    <n v="12695"/>
    <s v="Low Bulk"/>
  </r>
  <r>
    <x v="226"/>
    <s v="Elizabeth Hernandez"/>
    <x v="1"/>
    <s v="Paper"/>
    <n v="9"/>
    <x v="0"/>
    <s v="ORLANDO"/>
    <n v="9845"/>
    <x v="4"/>
    <x v="0"/>
    <x v="30"/>
    <x v="5"/>
    <n v="88605"/>
    <s v="Low Bulk"/>
  </r>
  <r>
    <x v="227"/>
    <s v="William Russell"/>
    <x v="1"/>
    <s v="Paper"/>
    <n v="2"/>
    <x v="4"/>
    <s v="AUSTIN"/>
    <n v="2901"/>
    <x v="1"/>
    <x v="3"/>
    <x v="4"/>
    <x v="2"/>
    <n v="5802"/>
    <s v="Normal"/>
  </r>
  <r>
    <x v="228"/>
    <s v="Sheri Berg"/>
    <x v="1"/>
    <s v="Paper"/>
    <n v="2"/>
    <x v="3"/>
    <s v="LOS ANGELES"/>
    <n v="2901"/>
    <x v="1"/>
    <x v="3"/>
    <x v="54"/>
    <x v="0"/>
    <n v="5802"/>
    <s v="Normal"/>
  </r>
  <r>
    <x v="227"/>
    <s v="William Russell"/>
    <x v="1"/>
    <s v="Pens"/>
    <n v="6"/>
    <x v="4"/>
    <s v="AUSTIN"/>
    <n v="6934"/>
    <x v="3"/>
    <x v="4"/>
    <x v="4"/>
    <x v="2"/>
    <n v="41604"/>
    <s v="Low Bulk"/>
  </r>
  <r>
    <x v="228"/>
    <s v="Sheri Berg"/>
    <x v="1"/>
    <s v="Pens"/>
    <n v="6"/>
    <x v="3"/>
    <s v="LOS ANGELES"/>
    <n v="6934"/>
    <x v="3"/>
    <x v="4"/>
    <x v="54"/>
    <x v="0"/>
    <n v="41604"/>
    <s v="Low Bulk"/>
  </r>
  <r>
    <x v="229"/>
    <s v="Anthony Barnett"/>
    <x v="2"/>
    <s v="Bookcases"/>
    <n v="2"/>
    <x v="1"/>
    <s v="PEORIA"/>
    <n v="9640"/>
    <x v="3"/>
    <x v="0"/>
    <x v="4"/>
    <x v="2"/>
    <n v="19280"/>
    <s v="Normal"/>
  </r>
  <r>
    <x v="230"/>
    <s v="Kaitlyn Flores"/>
    <x v="2"/>
    <s v="Chairs"/>
    <n v="13"/>
    <x v="5"/>
    <s v="CLEVELAND"/>
    <n v="7930"/>
    <x v="3"/>
    <x v="4"/>
    <x v="23"/>
    <x v="0"/>
    <n v="103090"/>
    <s v="Medium Bulk"/>
  </r>
  <r>
    <x v="231"/>
    <s v="Rebecca Owen"/>
    <x v="2"/>
    <s v="Chairs"/>
    <n v="13"/>
    <x v="1"/>
    <s v="SPRINGFIELD"/>
    <n v="7930"/>
    <x v="3"/>
    <x v="4"/>
    <x v="19"/>
    <x v="1"/>
    <n v="103090"/>
    <s v="Medium Bulk"/>
  </r>
  <r>
    <x v="232"/>
    <s v="Michael Bell"/>
    <x v="1"/>
    <s v="Binders"/>
    <n v="1"/>
    <x v="3"/>
    <s v="SAN DIEGO"/>
    <n v="9894"/>
    <x v="4"/>
    <x v="0"/>
    <x v="40"/>
    <x v="3"/>
    <n v="9894"/>
    <s v="Normal"/>
  </r>
  <r>
    <x v="232"/>
    <s v="Michael Bell"/>
    <x v="2"/>
    <s v="Tables"/>
    <n v="4"/>
    <x v="3"/>
    <s v="SAN DIEGO"/>
    <n v="4534"/>
    <x v="4"/>
    <x v="1"/>
    <x v="40"/>
    <x v="3"/>
    <n v="18136"/>
    <s v="Normal"/>
  </r>
  <r>
    <x v="233"/>
    <s v="Willie Huynh"/>
    <x v="0"/>
    <s v="Phones"/>
    <n v="20"/>
    <x v="2"/>
    <s v="BUFFALO"/>
    <n v="4911"/>
    <x v="1"/>
    <x v="1"/>
    <x v="33"/>
    <x v="3"/>
    <n v="98220"/>
    <s v="High Bulk"/>
  </r>
  <r>
    <x v="233"/>
    <s v="Willie Huynh"/>
    <x v="2"/>
    <s v="Bookcases"/>
    <n v="20"/>
    <x v="2"/>
    <s v="BUFFALO"/>
    <n v="531"/>
    <x v="1"/>
    <x v="2"/>
    <x v="33"/>
    <x v="3"/>
    <n v="10620"/>
    <s v="High Bulk"/>
  </r>
  <r>
    <x v="234"/>
    <s v="Samuel Hayes"/>
    <x v="0"/>
    <s v="Electronic Games"/>
    <n v="10"/>
    <x v="1"/>
    <s v="PEORIA"/>
    <n v="9707"/>
    <x v="2"/>
    <x v="0"/>
    <x v="52"/>
    <x v="5"/>
    <n v="97070"/>
    <s v="Medium Bulk"/>
  </r>
  <r>
    <x v="234"/>
    <s v="Samuel Hayes"/>
    <x v="1"/>
    <s v="Paper"/>
    <n v="7"/>
    <x v="1"/>
    <s v="PEORIA"/>
    <n v="8521"/>
    <x v="4"/>
    <x v="0"/>
    <x v="52"/>
    <x v="5"/>
    <n v="59647"/>
    <s v="Low Bulk"/>
  </r>
  <r>
    <x v="213"/>
    <s v="Sherry Tran"/>
    <x v="1"/>
    <s v="Binders"/>
    <n v="12"/>
    <x v="2"/>
    <s v="BUFFALO"/>
    <n v="8438"/>
    <x v="3"/>
    <x v="0"/>
    <x v="12"/>
    <x v="3"/>
    <n v="101256"/>
    <s v="Medium Bulk"/>
  </r>
  <r>
    <x v="213"/>
    <s v="Sherry Tran"/>
    <x v="0"/>
    <s v="Electronic Games"/>
    <n v="9"/>
    <x v="2"/>
    <s v="BUFFALO"/>
    <n v="1689"/>
    <x v="0"/>
    <x v="2"/>
    <x v="12"/>
    <x v="3"/>
    <n v="15201"/>
    <s v="Low Bulk"/>
  </r>
  <r>
    <x v="213"/>
    <s v="Sherry Tran"/>
    <x v="1"/>
    <s v="Paper"/>
    <n v="14"/>
    <x v="2"/>
    <s v="BUFFALO"/>
    <n v="3936"/>
    <x v="4"/>
    <x v="3"/>
    <x v="12"/>
    <x v="3"/>
    <n v="55104"/>
    <s v="Medium Bulk"/>
  </r>
  <r>
    <x v="235"/>
    <s v="Heather Gray"/>
    <x v="0"/>
    <s v="Phones"/>
    <n v="19"/>
    <x v="5"/>
    <s v="CINCINNATI"/>
    <n v="7664"/>
    <x v="1"/>
    <x v="4"/>
    <x v="0"/>
    <x v="0"/>
    <n v="145616"/>
    <s v="High Bulk"/>
  </r>
  <r>
    <x v="236"/>
    <s v="Benjamin Meadows"/>
    <x v="0"/>
    <s v="Laptops"/>
    <n v="13"/>
    <x v="1"/>
    <s v="PEORIA"/>
    <n v="721"/>
    <x v="1"/>
    <x v="2"/>
    <x v="59"/>
    <x v="0"/>
    <n v="9373"/>
    <s v="Medium Bulk"/>
  </r>
  <r>
    <x v="237"/>
    <s v="Micheal Graham"/>
    <x v="0"/>
    <s v="Laptops"/>
    <n v="13"/>
    <x v="2"/>
    <s v="BUFFALO"/>
    <n v="721"/>
    <x v="1"/>
    <x v="2"/>
    <x v="33"/>
    <x v="3"/>
    <n v="9373"/>
    <s v="Medium Bulk"/>
  </r>
  <r>
    <x v="236"/>
    <s v="Benjamin Meadows"/>
    <x v="0"/>
    <s v="Laptops"/>
    <n v="17"/>
    <x v="1"/>
    <s v="PEORIA"/>
    <n v="8364"/>
    <x v="3"/>
    <x v="0"/>
    <x v="59"/>
    <x v="0"/>
    <n v="142188"/>
    <s v="High Bulk"/>
  </r>
  <r>
    <x v="237"/>
    <s v="Micheal Graham"/>
    <x v="0"/>
    <s v="Laptops"/>
    <n v="17"/>
    <x v="2"/>
    <s v="BUFFALO"/>
    <n v="8364"/>
    <x v="3"/>
    <x v="0"/>
    <x v="33"/>
    <x v="3"/>
    <n v="142188"/>
    <s v="High Bulk"/>
  </r>
  <r>
    <x v="236"/>
    <s v="Benjamin Meadows"/>
    <x v="2"/>
    <s v="Bookcases"/>
    <n v="15"/>
    <x v="1"/>
    <s v="PEORIA"/>
    <n v="5234"/>
    <x v="2"/>
    <x v="1"/>
    <x v="59"/>
    <x v="0"/>
    <n v="78510"/>
    <s v="High Bulk"/>
  </r>
  <r>
    <x v="237"/>
    <s v="Micheal Graham"/>
    <x v="2"/>
    <s v="Bookcases"/>
    <n v="15"/>
    <x v="2"/>
    <s v="BUFFALO"/>
    <n v="5234"/>
    <x v="2"/>
    <x v="1"/>
    <x v="33"/>
    <x v="3"/>
    <n v="78510"/>
    <s v="High Bulk"/>
  </r>
  <r>
    <x v="238"/>
    <s v="Jean Jackson"/>
    <x v="0"/>
    <s v="Phones"/>
    <n v="18"/>
    <x v="3"/>
    <s v="SAN FRANCISCO"/>
    <n v="3944"/>
    <x v="3"/>
    <x v="3"/>
    <x v="47"/>
    <x v="1"/>
    <n v="70992"/>
    <s v="High Bulk"/>
  </r>
  <r>
    <x v="238"/>
    <s v="Jean Jackson"/>
    <x v="1"/>
    <s v="Pens"/>
    <n v="12"/>
    <x v="3"/>
    <s v="SAN FRANCISCO"/>
    <n v="6711"/>
    <x v="3"/>
    <x v="4"/>
    <x v="47"/>
    <x v="1"/>
    <n v="80532"/>
    <s v="Medium Bulk"/>
  </r>
  <r>
    <x v="238"/>
    <s v="Jean Jackson"/>
    <x v="2"/>
    <s v="Tables"/>
    <n v="4"/>
    <x v="3"/>
    <s v="SAN FRANCISCO"/>
    <n v="5031"/>
    <x v="3"/>
    <x v="1"/>
    <x v="47"/>
    <x v="1"/>
    <n v="20124"/>
    <s v="Normal"/>
  </r>
  <r>
    <x v="238"/>
    <s v="Jean Jackson"/>
    <x v="1"/>
    <s v="Binders"/>
    <n v="14"/>
    <x v="3"/>
    <s v="SAN FRANCISCO"/>
    <n v="6295"/>
    <x v="2"/>
    <x v="4"/>
    <x v="47"/>
    <x v="1"/>
    <n v="88130"/>
    <s v="Medium Bulk"/>
  </r>
  <r>
    <x v="45"/>
    <s v="Timothy Murphy"/>
    <x v="1"/>
    <s v="Paper"/>
    <n v="1"/>
    <x v="3"/>
    <s v="SAN FRANCISCO"/>
    <n v="9654"/>
    <x v="0"/>
    <x v="0"/>
    <x v="33"/>
    <x v="3"/>
    <n v="9654"/>
    <s v="Normal"/>
  </r>
  <r>
    <x v="45"/>
    <s v="Timothy Murphy"/>
    <x v="1"/>
    <s v="Binders"/>
    <n v="20"/>
    <x v="3"/>
    <s v="SAN FRANCISCO"/>
    <n v="3112"/>
    <x v="4"/>
    <x v="3"/>
    <x v="33"/>
    <x v="3"/>
    <n v="62240"/>
    <s v="High Bulk"/>
  </r>
  <r>
    <x v="239"/>
    <s v="Mrs. Jennifer Lewis"/>
    <x v="0"/>
    <s v="Phones"/>
    <n v="13"/>
    <x v="3"/>
    <s v="SAN FRANCISCO"/>
    <n v="7838"/>
    <x v="0"/>
    <x v="4"/>
    <x v="51"/>
    <x v="2"/>
    <n v="101894"/>
    <s v="Medium Bulk"/>
  </r>
  <r>
    <x v="239"/>
    <s v="Mrs. Jennifer Lewis"/>
    <x v="0"/>
    <s v="Phones"/>
    <n v="6"/>
    <x v="3"/>
    <s v="SAN FRANCISCO"/>
    <n v="9300"/>
    <x v="3"/>
    <x v="0"/>
    <x v="51"/>
    <x v="2"/>
    <n v="55800"/>
    <s v="Low Bulk"/>
  </r>
  <r>
    <x v="239"/>
    <s v="Mrs. Jennifer Lewis"/>
    <x v="1"/>
    <s v="Paper"/>
    <n v="17"/>
    <x v="3"/>
    <s v="SAN FRANCISCO"/>
    <n v="1733"/>
    <x v="1"/>
    <x v="2"/>
    <x v="51"/>
    <x v="2"/>
    <n v="29461"/>
    <s v="High Bulk"/>
  </r>
  <r>
    <x v="240"/>
    <s v="Bryan Brown"/>
    <x v="1"/>
    <s v="Binders"/>
    <n v="15"/>
    <x v="2"/>
    <s v="ROCHESTER"/>
    <n v="874"/>
    <x v="1"/>
    <x v="2"/>
    <x v="23"/>
    <x v="0"/>
    <n v="13110"/>
    <s v="High Bulk"/>
  </r>
  <r>
    <x v="241"/>
    <s v="Christopher Johnson"/>
    <x v="1"/>
    <s v="Binders"/>
    <n v="15"/>
    <x v="0"/>
    <s v="MIAMI"/>
    <n v="874"/>
    <x v="1"/>
    <x v="2"/>
    <x v="22"/>
    <x v="2"/>
    <n v="13110"/>
    <s v="High Bulk"/>
  </r>
  <r>
    <x v="242"/>
    <s v="Christina Conner"/>
    <x v="1"/>
    <s v="Pens"/>
    <n v="13"/>
    <x v="5"/>
    <s v="COLUMBUS"/>
    <n v="1248"/>
    <x v="2"/>
    <x v="2"/>
    <x v="10"/>
    <x v="1"/>
    <n v="16224"/>
    <s v="Medium Bulk"/>
  </r>
  <r>
    <x v="243"/>
    <s v="Luis Luna"/>
    <x v="1"/>
    <s v="Pens"/>
    <n v="13"/>
    <x v="3"/>
    <s v="SAN FRANCISCO"/>
    <n v="1248"/>
    <x v="2"/>
    <x v="2"/>
    <x v="29"/>
    <x v="3"/>
    <n v="16224"/>
    <s v="Medium Bulk"/>
  </r>
  <r>
    <x v="242"/>
    <s v="Christina Conner"/>
    <x v="1"/>
    <s v="Markers"/>
    <n v="14"/>
    <x v="5"/>
    <s v="COLUMBUS"/>
    <n v="3669"/>
    <x v="2"/>
    <x v="3"/>
    <x v="10"/>
    <x v="1"/>
    <n v="51366"/>
    <s v="Medium Bulk"/>
  </r>
  <r>
    <x v="243"/>
    <s v="Luis Luna"/>
    <x v="1"/>
    <s v="Markers"/>
    <n v="14"/>
    <x v="3"/>
    <s v="SAN FRANCISCO"/>
    <n v="3669"/>
    <x v="2"/>
    <x v="3"/>
    <x v="29"/>
    <x v="3"/>
    <n v="51366"/>
    <s v="Medium Bulk"/>
  </r>
  <r>
    <x v="242"/>
    <s v="Christina Conner"/>
    <x v="1"/>
    <s v="Paper"/>
    <n v="15"/>
    <x v="5"/>
    <s v="COLUMBUS"/>
    <n v="514"/>
    <x v="1"/>
    <x v="2"/>
    <x v="10"/>
    <x v="1"/>
    <n v="7710"/>
    <s v="High Bulk"/>
  </r>
  <r>
    <x v="243"/>
    <s v="Luis Luna"/>
    <x v="1"/>
    <s v="Paper"/>
    <n v="15"/>
    <x v="3"/>
    <s v="SAN FRANCISCO"/>
    <n v="514"/>
    <x v="1"/>
    <x v="2"/>
    <x v="29"/>
    <x v="3"/>
    <n v="7710"/>
    <s v="High Bulk"/>
  </r>
  <r>
    <x v="244"/>
    <s v="Julie Chavez"/>
    <x v="0"/>
    <s v="Phones"/>
    <n v="16"/>
    <x v="5"/>
    <s v="CINCINNATI"/>
    <n v="3273"/>
    <x v="0"/>
    <x v="3"/>
    <x v="55"/>
    <x v="1"/>
    <n v="52368"/>
    <s v="High Bulk"/>
  </r>
  <r>
    <x v="245"/>
    <s v="Richard Blair"/>
    <x v="2"/>
    <s v="Chairs"/>
    <n v="2"/>
    <x v="0"/>
    <s v="MIAMI"/>
    <n v="5035"/>
    <x v="4"/>
    <x v="1"/>
    <x v="32"/>
    <x v="4"/>
    <n v="10070"/>
    <s v="Normal"/>
  </r>
  <r>
    <x v="245"/>
    <s v="Richard Blair"/>
    <x v="0"/>
    <s v="Printers"/>
    <n v="19"/>
    <x v="0"/>
    <s v="MIAMI"/>
    <n v="7702"/>
    <x v="0"/>
    <x v="4"/>
    <x v="32"/>
    <x v="4"/>
    <n v="146338"/>
    <s v="High Bulk"/>
  </r>
  <r>
    <x v="245"/>
    <s v="Richard Blair"/>
    <x v="0"/>
    <s v="Printers"/>
    <n v="7"/>
    <x v="0"/>
    <s v="MIAMI"/>
    <n v="9884"/>
    <x v="2"/>
    <x v="0"/>
    <x v="32"/>
    <x v="4"/>
    <n v="69188"/>
    <s v="Low Bulk"/>
  </r>
  <r>
    <x v="246"/>
    <s v="Mitchell Lester"/>
    <x v="0"/>
    <s v="Laptops"/>
    <n v="11"/>
    <x v="1"/>
    <s v="CHICAGO"/>
    <n v="5564"/>
    <x v="4"/>
    <x v="1"/>
    <x v="54"/>
    <x v="0"/>
    <n v="61204"/>
    <s v="Medium Bulk"/>
  </r>
  <r>
    <x v="247"/>
    <s v="Mr. John Tyler PhD"/>
    <x v="0"/>
    <s v="Laptops"/>
    <n v="11"/>
    <x v="4"/>
    <s v="HOUSTON"/>
    <n v="5564"/>
    <x v="4"/>
    <x v="1"/>
    <x v="39"/>
    <x v="3"/>
    <n v="61204"/>
    <s v="Medium Bulk"/>
  </r>
  <r>
    <x v="248"/>
    <s v="Juan Kelly"/>
    <x v="0"/>
    <s v="Laptops"/>
    <n v="11"/>
    <x v="0"/>
    <s v="MIAMI"/>
    <n v="5564"/>
    <x v="4"/>
    <x v="1"/>
    <x v="16"/>
    <x v="0"/>
    <n v="61204"/>
    <s v="Medium Bulk"/>
  </r>
  <r>
    <x v="246"/>
    <s v="Mitchell Lester"/>
    <x v="0"/>
    <s v="Electronic Games"/>
    <n v="15"/>
    <x v="1"/>
    <s v="CHICAGO"/>
    <n v="3953"/>
    <x v="0"/>
    <x v="3"/>
    <x v="54"/>
    <x v="0"/>
    <n v="59295"/>
    <s v="High Bulk"/>
  </r>
  <r>
    <x v="247"/>
    <s v="Mr. John Tyler PhD"/>
    <x v="0"/>
    <s v="Electronic Games"/>
    <n v="15"/>
    <x v="4"/>
    <s v="HOUSTON"/>
    <n v="3953"/>
    <x v="0"/>
    <x v="3"/>
    <x v="39"/>
    <x v="3"/>
    <n v="59295"/>
    <s v="High Bulk"/>
  </r>
  <r>
    <x v="248"/>
    <s v="Juan Kelly"/>
    <x v="0"/>
    <s v="Electronic Games"/>
    <n v="15"/>
    <x v="0"/>
    <s v="MIAMI"/>
    <n v="3953"/>
    <x v="0"/>
    <x v="3"/>
    <x v="16"/>
    <x v="0"/>
    <n v="59295"/>
    <s v="High Bulk"/>
  </r>
  <r>
    <x v="249"/>
    <s v="Morgan Mccarthy"/>
    <x v="0"/>
    <s v="Printers"/>
    <n v="18"/>
    <x v="4"/>
    <s v="DALLAS"/>
    <n v="6488"/>
    <x v="2"/>
    <x v="4"/>
    <x v="23"/>
    <x v="0"/>
    <n v="116784"/>
    <s v="High Bulk"/>
  </r>
  <r>
    <x v="250"/>
    <s v="Morgan Sullivan"/>
    <x v="0"/>
    <s v="Printers"/>
    <n v="18"/>
    <x v="4"/>
    <s v="HOUSTON"/>
    <n v="6488"/>
    <x v="2"/>
    <x v="4"/>
    <x v="11"/>
    <x v="4"/>
    <n v="116784"/>
    <s v="High Bulk"/>
  </r>
  <r>
    <x v="118"/>
    <s v="Eric Clark"/>
    <x v="0"/>
    <s v="Electronic Games"/>
    <n v="17"/>
    <x v="0"/>
    <s v="ORLANDO"/>
    <n v="7856"/>
    <x v="0"/>
    <x v="4"/>
    <x v="34"/>
    <x v="2"/>
    <n v="133552"/>
    <s v="High Bulk"/>
  </r>
  <r>
    <x v="118"/>
    <s v="Eric Clark"/>
    <x v="1"/>
    <s v="Pens"/>
    <n v="3"/>
    <x v="0"/>
    <s v="ORLANDO"/>
    <n v="1165"/>
    <x v="2"/>
    <x v="2"/>
    <x v="34"/>
    <x v="2"/>
    <n v="3495"/>
    <s v="Normal"/>
  </r>
  <r>
    <x v="251"/>
    <s v="Mark Padilla"/>
    <x v="1"/>
    <s v="Markers"/>
    <n v="20"/>
    <x v="3"/>
    <s v="SAN DIEGO"/>
    <n v="9386"/>
    <x v="3"/>
    <x v="0"/>
    <x v="38"/>
    <x v="4"/>
    <n v="187720"/>
    <s v="High Bulk"/>
  </r>
  <r>
    <x v="117"/>
    <s v="Anthony Lane"/>
    <x v="1"/>
    <s v="Markers"/>
    <n v="20"/>
    <x v="5"/>
    <s v="CLEVELAND"/>
    <n v="9386"/>
    <x v="3"/>
    <x v="0"/>
    <x v="15"/>
    <x v="3"/>
    <n v="187720"/>
    <s v="High Bulk"/>
  </r>
  <r>
    <x v="100"/>
    <s v="Jeffrey Henderson"/>
    <x v="1"/>
    <s v="Pens"/>
    <n v="12"/>
    <x v="0"/>
    <s v="TAMPA"/>
    <n v="3956"/>
    <x v="1"/>
    <x v="3"/>
    <x v="48"/>
    <x v="0"/>
    <n v="47472"/>
    <s v="Medium Bulk"/>
  </r>
  <r>
    <x v="252"/>
    <s v="Michelle Hardy"/>
    <x v="1"/>
    <s v="Pens"/>
    <n v="12"/>
    <x v="4"/>
    <s v="DALLAS"/>
    <n v="3956"/>
    <x v="1"/>
    <x v="3"/>
    <x v="1"/>
    <x v="1"/>
    <n v="47472"/>
    <s v="Medium Bulk"/>
  </r>
  <r>
    <x v="100"/>
    <s v="Jeffrey Henderson"/>
    <x v="2"/>
    <s v="Bookcases"/>
    <n v="11"/>
    <x v="0"/>
    <s v="TAMPA"/>
    <n v="6449"/>
    <x v="2"/>
    <x v="4"/>
    <x v="48"/>
    <x v="0"/>
    <n v="70939"/>
    <s v="Medium Bulk"/>
  </r>
  <r>
    <x v="252"/>
    <s v="Michelle Hardy"/>
    <x v="2"/>
    <s v="Bookcases"/>
    <n v="11"/>
    <x v="4"/>
    <s v="DALLAS"/>
    <n v="6449"/>
    <x v="2"/>
    <x v="4"/>
    <x v="1"/>
    <x v="1"/>
    <n v="70939"/>
    <s v="Medium Bulk"/>
  </r>
  <r>
    <x v="253"/>
    <s v="Ms. Barbara Cervantes"/>
    <x v="1"/>
    <s v="Markers"/>
    <n v="18"/>
    <x v="2"/>
    <s v="ROCHESTER"/>
    <n v="6255"/>
    <x v="4"/>
    <x v="4"/>
    <x v="13"/>
    <x v="2"/>
    <n v="112590"/>
    <s v="High Bulk"/>
  </r>
  <r>
    <x v="253"/>
    <s v="Ms. Barbara Cervantes"/>
    <x v="0"/>
    <s v="Electronic Games"/>
    <n v="20"/>
    <x v="2"/>
    <s v="ROCHESTER"/>
    <n v="2109"/>
    <x v="0"/>
    <x v="3"/>
    <x v="13"/>
    <x v="2"/>
    <n v="42180"/>
    <s v="High Bulk"/>
  </r>
  <r>
    <x v="254"/>
    <s v="Steven Proctor"/>
    <x v="0"/>
    <s v="Phones"/>
    <n v="20"/>
    <x v="4"/>
    <s v="AUSTIN"/>
    <n v="6707"/>
    <x v="3"/>
    <x v="4"/>
    <x v="43"/>
    <x v="2"/>
    <n v="134140"/>
    <s v="High Bulk"/>
  </r>
  <r>
    <x v="255"/>
    <s v="Shannon Patterson"/>
    <x v="1"/>
    <s v="Pens"/>
    <n v="13"/>
    <x v="1"/>
    <s v="SPRINGFIELD"/>
    <n v="7633"/>
    <x v="4"/>
    <x v="4"/>
    <x v="43"/>
    <x v="2"/>
    <n v="99229"/>
    <s v="Medium Bulk"/>
  </r>
  <r>
    <x v="256"/>
    <s v="William Valdez"/>
    <x v="1"/>
    <s v="Pens"/>
    <n v="18"/>
    <x v="3"/>
    <s v="SAN DIEGO"/>
    <n v="975"/>
    <x v="4"/>
    <x v="2"/>
    <x v="13"/>
    <x v="2"/>
    <n v="17550"/>
    <s v="High Bulk"/>
  </r>
  <r>
    <x v="256"/>
    <s v="William Valdez"/>
    <x v="2"/>
    <s v="Tables"/>
    <n v="7"/>
    <x v="3"/>
    <s v="SAN DIEGO"/>
    <n v="4492"/>
    <x v="2"/>
    <x v="1"/>
    <x v="13"/>
    <x v="2"/>
    <n v="31444"/>
    <s v="Low Bulk"/>
  </r>
  <r>
    <x v="256"/>
    <s v="William Valdez"/>
    <x v="2"/>
    <s v="Chairs"/>
    <n v="12"/>
    <x v="3"/>
    <s v="SAN DIEGO"/>
    <n v="7957"/>
    <x v="0"/>
    <x v="4"/>
    <x v="13"/>
    <x v="2"/>
    <n v="95484"/>
    <s v="Medium Bulk"/>
  </r>
  <r>
    <x v="257"/>
    <s v="Laura Yu"/>
    <x v="2"/>
    <s v="Tables"/>
    <n v="7"/>
    <x v="4"/>
    <s v="HOUSTON"/>
    <n v="4906"/>
    <x v="1"/>
    <x v="1"/>
    <x v="37"/>
    <x v="3"/>
    <n v="34342"/>
    <s v="Low Bulk"/>
  </r>
  <r>
    <x v="258"/>
    <s v="Jonathan Mcmillan"/>
    <x v="1"/>
    <s v="Pens"/>
    <n v="3"/>
    <x v="2"/>
    <s v="BUFFALO"/>
    <n v="1379"/>
    <x v="3"/>
    <x v="2"/>
    <x v="20"/>
    <x v="4"/>
    <n v="4137"/>
    <s v="Normal"/>
  </r>
  <r>
    <x v="258"/>
    <s v="Jonathan Mcmillan"/>
    <x v="0"/>
    <s v="Laptops"/>
    <n v="10"/>
    <x v="2"/>
    <s v="BUFFALO"/>
    <n v="4244"/>
    <x v="1"/>
    <x v="1"/>
    <x v="20"/>
    <x v="4"/>
    <n v="42440"/>
    <s v="Medium Bulk"/>
  </r>
  <r>
    <x v="259"/>
    <s v="Austin Davis"/>
    <x v="2"/>
    <s v="Bookcases"/>
    <n v="14"/>
    <x v="3"/>
    <s v="SAN DIEGO"/>
    <n v="5911"/>
    <x v="2"/>
    <x v="1"/>
    <x v="40"/>
    <x v="3"/>
    <n v="82754"/>
    <s v="Medium Bulk"/>
  </r>
  <r>
    <x v="260"/>
    <s v="Mark Roy"/>
    <x v="2"/>
    <s v="Bookcases"/>
    <n v="14"/>
    <x v="3"/>
    <s v="SAN FRANCISCO"/>
    <n v="5911"/>
    <x v="2"/>
    <x v="1"/>
    <x v="46"/>
    <x v="1"/>
    <n v="82754"/>
    <s v="Medium Bulk"/>
  </r>
  <r>
    <x v="259"/>
    <s v="Austin Davis"/>
    <x v="1"/>
    <s v="Markers"/>
    <n v="11"/>
    <x v="3"/>
    <s v="SAN DIEGO"/>
    <n v="1818"/>
    <x v="2"/>
    <x v="2"/>
    <x v="40"/>
    <x v="3"/>
    <n v="19998"/>
    <s v="Medium Bulk"/>
  </r>
  <r>
    <x v="260"/>
    <s v="Mark Roy"/>
    <x v="1"/>
    <s v="Markers"/>
    <n v="11"/>
    <x v="3"/>
    <s v="SAN FRANCISCO"/>
    <n v="1818"/>
    <x v="2"/>
    <x v="2"/>
    <x v="46"/>
    <x v="1"/>
    <n v="19998"/>
    <s v="Medium Bulk"/>
  </r>
  <r>
    <x v="224"/>
    <s v="Jillian Williams"/>
    <x v="1"/>
    <s v="Paper"/>
    <n v="4"/>
    <x v="3"/>
    <s v="SAN DIEGO"/>
    <n v="2140"/>
    <x v="3"/>
    <x v="3"/>
    <x v="57"/>
    <x v="4"/>
    <n v="8560"/>
    <s v="Normal"/>
  </r>
  <r>
    <x v="261"/>
    <s v="Rebekah Carter"/>
    <x v="1"/>
    <s v="Paper"/>
    <n v="4"/>
    <x v="0"/>
    <s v="ORLANDO"/>
    <n v="2140"/>
    <x v="3"/>
    <x v="3"/>
    <x v="9"/>
    <x v="5"/>
    <n v="8560"/>
    <s v="Normal"/>
  </r>
  <r>
    <x v="105"/>
    <s v="Jonathan Reed"/>
    <x v="1"/>
    <s v="Paper"/>
    <n v="4"/>
    <x v="3"/>
    <s v="SAN FRANCISCO"/>
    <n v="2140"/>
    <x v="3"/>
    <x v="3"/>
    <x v="25"/>
    <x v="3"/>
    <n v="8560"/>
    <s v="Normal"/>
  </r>
  <r>
    <x v="224"/>
    <s v="Jillian Williams"/>
    <x v="0"/>
    <s v="Laptops"/>
    <n v="1"/>
    <x v="3"/>
    <s v="SAN DIEGO"/>
    <n v="2670"/>
    <x v="1"/>
    <x v="3"/>
    <x v="57"/>
    <x v="4"/>
    <n v="2670"/>
    <s v="Normal"/>
  </r>
  <r>
    <x v="261"/>
    <s v="Rebekah Carter"/>
    <x v="0"/>
    <s v="Laptops"/>
    <n v="1"/>
    <x v="0"/>
    <s v="ORLANDO"/>
    <n v="2670"/>
    <x v="1"/>
    <x v="3"/>
    <x v="9"/>
    <x v="5"/>
    <n v="2670"/>
    <s v="Normal"/>
  </r>
  <r>
    <x v="105"/>
    <s v="Jonathan Reed"/>
    <x v="0"/>
    <s v="Laptops"/>
    <n v="1"/>
    <x v="3"/>
    <s v="SAN FRANCISCO"/>
    <n v="2670"/>
    <x v="1"/>
    <x v="3"/>
    <x v="25"/>
    <x v="3"/>
    <n v="2670"/>
    <s v="Normal"/>
  </r>
  <r>
    <x v="262"/>
    <s v="Roger Harris"/>
    <x v="0"/>
    <s v="Laptops"/>
    <n v="18"/>
    <x v="1"/>
    <s v="SPRINGFIELD"/>
    <n v="1108"/>
    <x v="1"/>
    <x v="2"/>
    <x v="30"/>
    <x v="5"/>
    <n v="19944"/>
    <s v="High Bulk"/>
  </r>
  <r>
    <x v="262"/>
    <s v="Roger Harris"/>
    <x v="1"/>
    <s v="Binders"/>
    <n v="9"/>
    <x v="1"/>
    <s v="SPRINGFIELD"/>
    <n v="9776"/>
    <x v="0"/>
    <x v="0"/>
    <x v="30"/>
    <x v="5"/>
    <n v="87984"/>
    <s v="Low Bulk"/>
  </r>
  <r>
    <x v="262"/>
    <s v="Roger Harris"/>
    <x v="2"/>
    <s v="Bookcases"/>
    <n v="6"/>
    <x v="1"/>
    <s v="SPRINGFIELD"/>
    <n v="535"/>
    <x v="4"/>
    <x v="2"/>
    <x v="30"/>
    <x v="5"/>
    <n v="3210"/>
    <s v="Low Bulk"/>
  </r>
  <r>
    <x v="194"/>
    <s v="Louis Jimenez"/>
    <x v="1"/>
    <s v="Paper"/>
    <n v="5"/>
    <x v="0"/>
    <s v="TAMPA"/>
    <n v="7564"/>
    <x v="3"/>
    <x v="4"/>
    <x v="47"/>
    <x v="1"/>
    <n v="37820"/>
    <s v="Low Bulk"/>
  </r>
  <r>
    <x v="263"/>
    <s v="Jessica Jones"/>
    <x v="1"/>
    <s v="Paper"/>
    <n v="5"/>
    <x v="1"/>
    <s v="PEORIA"/>
    <n v="7564"/>
    <x v="3"/>
    <x v="4"/>
    <x v="11"/>
    <x v="4"/>
    <n v="37820"/>
    <s v="Low Bulk"/>
  </r>
  <r>
    <x v="264"/>
    <s v="Renee Gomez"/>
    <x v="1"/>
    <s v="Paper"/>
    <n v="5"/>
    <x v="0"/>
    <s v="MIAMI"/>
    <n v="7564"/>
    <x v="3"/>
    <x v="4"/>
    <x v="56"/>
    <x v="1"/>
    <n v="37820"/>
    <s v="Low Bulk"/>
  </r>
  <r>
    <x v="265"/>
    <s v="Connie Olson"/>
    <x v="1"/>
    <s v="Paper"/>
    <n v="5"/>
    <x v="4"/>
    <s v="HOUSTON"/>
    <n v="7564"/>
    <x v="3"/>
    <x v="4"/>
    <x v="41"/>
    <x v="1"/>
    <n v="37820"/>
    <s v="Low Bulk"/>
  </r>
  <r>
    <x v="194"/>
    <s v="Louis Jimenez"/>
    <x v="0"/>
    <s v="Electronic Games"/>
    <n v="20"/>
    <x v="0"/>
    <s v="TAMPA"/>
    <n v="3409"/>
    <x v="0"/>
    <x v="3"/>
    <x v="47"/>
    <x v="1"/>
    <n v="68180"/>
    <s v="High Bulk"/>
  </r>
  <r>
    <x v="263"/>
    <s v="Jessica Jones"/>
    <x v="0"/>
    <s v="Electronic Games"/>
    <n v="20"/>
    <x v="1"/>
    <s v="PEORIA"/>
    <n v="3409"/>
    <x v="0"/>
    <x v="3"/>
    <x v="11"/>
    <x v="4"/>
    <n v="68180"/>
    <s v="High Bulk"/>
  </r>
  <r>
    <x v="264"/>
    <s v="Renee Gomez"/>
    <x v="0"/>
    <s v="Electronic Games"/>
    <n v="20"/>
    <x v="0"/>
    <s v="MIAMI"/>
    <n v="3409"/>
    <x v="0"/>
    <x v="3"/>
    <x v="56"/>
    <x v="1"/>
    <n v="68180"/>
    <s v="High Bulk"/>
  </r>
  <r>
    <x v="265"/>
    <s v="Connie Olson"/>
    <x v="0"/>
    <s v="Electronic Games"/>
    <n v="20"/>
    <x v="4"/>
    <s v="HOUSTON"/>
    <n v="3409"/>
    <x v="0"/>
    <x v="3"/>
    <x v="41"/>
    <x v="1"/>
    <n v="68180"/>
    <s v="High Bulk"/>
  </r>
  <r>
    <x v="266"/>
    <s v="Christian Jones"/>
    <x v="1"/>
    <s v="Pens"/>
    <n v="13"/>
    <x v="2"/>
    <s v="BUFFALO"/>
    <n v="9751"/>
    <x v="4"/>
    <x v="0"/>
    <x v="11"/>
    <x v="4"/>
    <n v="126763"/>
    <s v="Medium Bulk"/>
  </r>
  <r>
    <x v="267"/>
    <s v="Matthew Kelley"/>
    <x v="0"/>
    <s v="Printers"/>
    <n v="11"/>
    <x v="0"/>
    <s v="ORLANDO"/>
    <n v="6385"/>
    <x v="3"/>
    <x v="4"/>
    <x v="45"/>
    <x v="0"/>
    <n v="70235"/>
    <s v="Medium Bulk"/>
  </r>
  <r>
    <x v="268"/>
    <s v="Candace Martinez"/>
    <x v="0"/>
    <s v="Printers"/>
    <n v="11"/>
    <x v="0"/>
    <s v="TAMPA"/>
    <n v="6385"/>
    <x v="3"/>
    <x v="4"/>
    <x v="15"/>
    <x v="3"/>
    <n v="70235"/>
    <s v="Medium Bulk"/>
  </r>
  <r>
    <x v="269"/>
    <s v="Jacob Mann"/>
    <x v="0"/>
    <s v="Electronic Games"/>
    <n v="15"/>
    <x v="4"/>
    <s v="AUSTIN"/>
    <n v="6355"/>
    <x v="1"/>
    <x v="4"/>
    <x v="21"/>
    <x v="0"/>
    <n v="95325"/>
    <s v="High Bulk"/>
  </r>
  <r>
    <x v="270"/>
    <s v="Keith Reese"/>
    <x v="0"/>
    <s v="Electronic Games"/>
    <n v="15"/>
    <x v="4"/>
    <s v="AUSTIN"/>
    <n v="6355"/>
    <x v="1"/>
    <x v="4"/>
    <x v="22"/>
    <x v="2"/>
    <n v="95325"/>
    <s v="High Bulk"/>
  </r>
  <r>
    <x v="271"/>
    <s v="Aaron Jones"/>
    <x v="0"/>
    <s v="Printers"/>
    <n v="15"/>
    <x v="4"/>
    <s v="AUSTIN"/>
    <n v="7377"/>
    <x v="1"/>
    <x v="4"/>
    <x v="29"/>
    <x v="3"/>
    <n v="110655"/>
    <s v="High Bulk"/>
  </r>
  <r>
    <x v="271"/>
    <s v="Aaron Jones"/>
    <x v="1"/>
    <s v="Markers"/>
    <n v="12"/>
    <x v="4"/>
    <s v="AUSTIN"/>
    <n v="2054"/>
    <x v="2"/>
    <x v="3"/>
    <x v="29"/>
    <x v="3"/>
    <n v="24648"/>
    <s v="Medium Bulk"/>
  </r>
  <r>
    <x v="272"/>
    <s v="Christopher Brooks"/>
    <x v="2"/>
    <s v="Chairs"/>
    <n v="18"/>
    <x v="1"/>
    <s v="PEORIA"/>
    <n v="7497"/>
    <x v="4"/>
    <x v="4"/>
    <x v="42"/>
    <x v="1"/>
    <n v="134946"/>
    <s v="High Bulk"/>
  </r>
  <r>
    <x v="61"/>
    <s v="Charles Moore"/>
    <x v="0"/>
    <s v="Electronic Games"/>
    <n v="20"/>
    <x v="0"/>
    <s v="MIAMI"/>
    <n v="2565"/>
    <x v="1"/>
    <x v="3"/>
    <x v="29"/>
    <x v="3"/>
    <n v="51300"/>
    <s v="High Bulk"/>
  </r>
  <r>
    <x v="61"/>
    <s v="Charles Moore"/>
    <x v="1"/>
    <s v="Pens"/>
    <n v="19"/>
    <x v="0"/>
    <s v="MIAMI"/>
    <n v="5024"/>
    <x v="4"/>
    <x v="1"/>
    <x v="29"/>
    <x v="3"/>
    <n v="95456"/>
    <s v="High Bulk"/>
  </r>
  <r>
    <x v="273"/>
    <s v="Manuel Walls"/>
    <x v="1"/>
    <s v="Binders"/>
    <n v="15"/>
    <x v="4"/>
    <s v="HOUSTON"/>
    <n v="8243"/>
    <x v="1"/>
    <x v="0"/>
    <x v="27"/>
    <x v="2"/>
    <n v="123645"/>
    <s v="High Bulk"/>
  </r>
  <r>
    <x v="274"/>
    <s v="Darren Moore"/>
    <x v="1"/>
    <s v="Paper"/>
    <n v="13"/>
    <x v="1"/>
    <s v="PEORIA"/>
    <n v="7792"/>
    <x v="0"/>
    <x v="4"/>
    <x v="51"/>
    <x v="2"/>
    <n v="101296"/>
    <s v="Medium Bulk"/>
  </r>
  <r>
    <x v="243"/>
    <s v="Stephanie Thomas"/>
    <x v="1"/>
    <s v="Paper"/>
    <n v="13"/>
    <x v="2"/>
    <s v="ROCHESTER"/>
    <n v="7792"/>
    <x v="0"/>
    <x v="4"/>
    <x v="29"/>
    <x v="3"/>
    <n v="101296"/>
    <s v="Medium Bulk"/>
  </r>
  <r>
    <x v="275"/>
    <s v="Kristy Hernandez"/>
    <x v="1"/>
    <s v="Paper"/>
    <n v="13"/>
    <x v="3"/>
    <s v="SAN DIEGO"/>
    <n v="7792"/>
    <x v="0"/>
    <x v="4"/>
    <x v="10"/>
    <x v="1"/>
    <n v="101296"/>
    <s v="Medium Bulk"/>
  </r>
  <r>
    <x v="274"/>
    <s v="Darren Moore"/>
    <x v="2"/>
    <s v="Chairs"/>
    <n v="14"/>
    <x v="1"/>
    <s v="PEORIA"/>
    <n v="2346"/>
    <x v="1"/>
    <x v="3"/>
    <x v="51"/>
    <x v="2"/>
    <n v="32844"/>
    <s v="Medium Bulk"/>
  </r>
  <r>
    <x v="243"/>
    <s v="Stephanie Thomas"/>
    <x v="2"/>
    <s v="Chairs"/>
    <n v="14"/>
    <x v="2"/>
    <s v="ROCHESTER"/>
    <n v="2346"/>
    <x v="1"/>
    <x v="3"/>
    <x v="29"/>
    <x v="3"/>
    <n v="32844"/>
    <s v="Medium Bulk"/>
  </r>
  <r>
    <x v="275"/>
    <s v="Kristy Hernandez"/>
    <x v="2"/>
    <s v="Chairs"/>
    <n v="14"/>
    <x v="3"/>
    <s v="SAN DIEGO"/>
    <n v="2346"/>
    <x v="1"/>
    <x v="3"/>
    <x v="10"/>
    <x v="1"/>
    <n v="32844"/>
    <s v="Medium Bulk"/>
  </r>
  <r>
    <x v="276"/>
    <s v="Randy Johnson"/>
    <x v="2"/>
    <s v="Sofas"/>
    <n v="10"/>
    <x v="5"/>
    <s v="COLUMBUS"/>
    <n v="7346"/>
    <x v="3"/>
    <x v="4"/>
    <x v="29"/>
    <x v="3"/>
    <n v="73460"/>
    <s v="Medium Bulk"/>
  </r>
  <r>
    <x v="276"/>
    <s v="Randy Johnson"/>
    <x v="0"/>
    <s v="Electronic Games"/>
    <n v="7"/>
    <x v="5"/>
    <s v="COLUMBUS"/>
    <n v="9770"/>
    <x v="0"/>
    <x v="0"/>
    <x v="29"/>
    <x v="3"/>
    <n v="68390"/>
    <s v="Low Bulk"/>
  </r>
  <r>
    <x v="276"/>
    <s v="Randy Johnson"/>
    <x v="0"/>
    <s v="Laptops"/>
    <n v="13"/>
    <x v="5"/>
    <s v="COLUMBUS"/>
    <n v="7179"/>
    <x v="3"/>
    <x v="4"/>
    <x v="29"/>
    <x v="3"/>
    <n v="93327"/>
    <s v="Medium Bulk"/>
  </r>
  <r>
    <x v="277"/>
    <s v="James Benitez"/>
    <x v="0"/>
    <s v="Phones"/>
    <n v="2"/>
    <x v="0"/>
    <s v="MIAMI"/>
    <n v="5449"/>
    <x v="0"/>
    <x v="1"/>
    <x v="15"/>
    <x v="3"/>
    <n v="10898"/>
    <s v="Normal"/>
  </r>
  <r>
    <x v="278"/>
    <s v="Donald York"/>
    <x v="2"/>
    <s v="Chairs"/>
    <n v="6"/>
    <x v="2"/>
    <s v="BUFFALO"/>
    <n v="2895"/>
    <x v="4"/>
    <x v="3"/>
    <x v="32"/>
    <x v="4"/>
    <n v="17370"/>
    <s v="Low Bulk"/>
  </r>
  <r>
    <x v="279"/>
    <s v="Tiffany Parker"/>
    <x v="2"/>
    <s v="Chairs"/>
    <n v="6"/>
    <x v="4"/>
    <s v="HOUSTON"/>
    <n v="2895"/>
    <x v="4"/>
    <x v="3"/>
    <x v="3"/>
    <x v="1"/>
    <n v="17370"/>
    <s v="Low Bulk"/>
  </r>
  <r>
    <x v="278"/>
    <s v="Donald York"/>
    <x v="2"/>
    <s v="Chairs"/>
    <n v="1"/>
    <x v="2"/>
    <s v="BUFFALO"/>
    <n v="697"/>
    <x v="0"/>
    <x v="2"/>
    <x v="32"/>
    <x v="4"/>
    <n v="697"/>
    <s v="Normal"/>
  </r>
  <r>
    <x v="279"/>
    <s v="Tiffany Parker"/>
    <x v="2"/>
    <s v="Chairs"/>
    <n v="1"/>
    <x v="4"/>
    <s v="HOUSTON"/>
    <n v="697"/>
    <x v="0"/>
    <x v="2"/>
    <x v="3"/>
    <x v="1"/>
    <n v="697"/>
    <s v="Normal"/>
  </r>
  <r>
    <x v="280"/>
    <s v="Melissa Mcknight"/>
    <x v="2"/>
    <s v="Chairs"/>
    <n v="4"/>
    <x v="3"/>
    <s v="LOS ANGELES"/>
    <n v="6145"/>
    <x v="4"/>
    <x v="4"/>
    <x v="20"/>
    <x v="4"/>
    <n v="24580"/>
    <s v="Normal"/>
  </r>
  <r>
    <x v="280"/>
    <s v="Melissa Mcknight"/>
    <x v="0"/>
    <s v="Printers"/>
    <n v="18"/>
    <x v="3"/>
    <s v="LOS ANGELES"/>
    <n v="2504"/>
    <x v="0"/>
    <x v="3"/>
    <x v="20"/>
    <x v="4"/>
    <n v="45072"/>
    <s v="High Bulk"/>
  </r>
  <r>
    <x v="280"/>
    <s v="Melissa Mcknight"/>
    <x v="0"/>
    <s v="Phones"/>
    <n v="16"/>
    <x v="3"/>
    <s v="LOS ANGELES"/>
    <n v="3124"/>
    <x v="1"/>
    <x v="3"/>
    <x v="20"/>
    <x v="4"/>
    <n v="49984"/>
    <s v="High Bulk"/>
  </r>
  <r>
    <x v="281"/>
    <s v="Mr. Jack Mercado"/>
    <x v="0"/>
    <s v="Electronic Games"/>
    <n v="1"/>
    <x v="5"/>
    <s v="CINCINNATI"/>
    <n v="6934"/>
    <x v="1"/>
    <x v="4"/>
    <x v="22"/>
    <x v="2"/>
    <n v="6934"/>
    <s v="Normal"/>
  </r>
  <r>
    <x v="76"/>
    <s v="Christian Jones"/>
    <x v="0"/>
    <s v="Electronic Games"/>
    <n v="1"/>
    <x v="2"/>
    <s v="ROCHESTER"/>
    <n v="6934"/>
    <x v="1"/>
    <x v="4"/>
    <x v="43"/>
    <x v="2"/>
    <n v="6934"/>
    <s v="Normal"/>
  </r>
  <r>
    <x v="282"/>
    <s v="Rachel Fisher"/>
    <x v="1"/>
    <s v="Markers"/>
    <n v="3"/>
    <x v="1"/>
    <s v="PEORIA"/>
    <n v="4202"/>
    <x v="4"/>
    <x v="1"/>
    <x v="5"/>
    <x v="3"/>
    <n v="12606"/>
    <s v="Normal"/>
  </r>
  <r>
    <x v="283"/>
    <s v="Donald Moore"/>
    <x v="1"/>
    <s v="Markers"/>
    <n v="3"/>
    <x v="2"/>
    <s v="ROCHESTER"/>
    <n v="4202"/>
    <x v="4"/>
    <x v="1"/>
    <x v="15"/>
    <x v="3"/>
    <n v="12606"/>
    <s v="Normal"/>
  </r>
  <r>
    <x v="284"/>
    <s v="William Wu"/>
    <x v="1"/>
    <s v="Markers"/>
    <n v="3"/>
    <x v="0"/>
    <s v="TAMPA"/>
    <n v="4202"/>
    <x v="4"/>
    <x v="1"/>
    <x v="6"/>
    <x v="0"/>
    <n v="12606"/>
    <s v="Normal"/>
  </r>
  <r>
    <x v="6"/>
    <s v="Jesus Zuniga"/>
    <x v="1"/>
    <s v="Markers"/>
    <n v="3"/>
    <x v="4"/>
    <s v="HOUSTON"/>
    <n v="4202"/>
    <x v="4"/>
    <x v="1"/>
    <x v="6"/>
    <x v="0"/>
    <n v="12606"/>
    <s v="Normal"/>
  </r>
  <r>
    <x v="285"/>
    <s v="Michael Gallegos"/>
    <x v="0"/>
    <s v="Printers"/>
    <n v="1"/>
    <x v="3"/>
    <s v="LOS ANGELES"/>
    <n v="2239"/>
    <x v="0"/>
    <x v="3"/>
    <x v="0"/>
    <x v="0"/>
    <n v="2239"/>
    <s v="Normal"/>
  </r>
  <r>
    <x v="286"/>
    <s v="Robert Daniels"/>
    <x v="0"/>
    <s v="Printers"/>
    <n v="1"/>
    <x v="1"/>
    <s v="CHICAGO"/>
    <n v="2239"/>
    <x v="0"/>
    <x v="3"/>
    <x v="48"/>
    <x v="0"/>
    <n v="2239"/>
    <s v="Normal"/>
  </r>
  <r>
    <x v="285"/>
    <s v="Michael Gallegos"/>
    <x v="0"/>
    <s v="Phones"/>
    <n v="4"/>
    <x v="3"/>
    <s v="LOS ANGELES"/>
    <n v="2450"/>
    <x v="1"/>
    <x v="3"/>
    <x v="0"/>
    <x v="0"/>
    <n v="9800"/>
    <s v="Normal"/>
  </r>
  <r>
    <x v="286"/>
    <s v="Robert Daniels"/>
    <x v="0"/>
    <s v="Phones"/>
    <n v="4"/>
    <x v="1"/>
    <s v="CHICAGO"/>
    <n v="2450"/>
    <x v="1"/>
    <x v="3"/>
    <x v="48"/>
    <x v="0"/>
    <n v="9800"/>
    <s v="Normal"/>
  </r>
  <r>
    <x v="287"/>
    <s v="Jill Jones"/>
    <x v="2"/>
    <s v="Chairs"/>
    <n v="13"/>
    <x v="2"/>
    <s v="NEW YORK CITY"/>
    <n v="9827"/>
    <x v="1"/>
    <x v="0"/>
    <x v="57"/>
    <x v="4"/>
    <n v="127751"/>
    <s v="Medium Bulk"/>
  </r>
  <r>
    <x v="287"/>
    <s v="Jill Jones"/>
    <x v="2"/>
    <s v="Sofas"/>
    <n v="15"/>
    <x v="2"/>
    <s v="NEW YORK CITY"/>
    <n v="8077"/>
    <x v="3"/>
    <x v="0"/>
    <x v="57"/>
    <x v="4"/>
    <n v="121155"/>
    <s v="High Bulk"/>
  </r>
  <r>
    <x v="288"/>
    <s v="Elizabeth Miller"/>
    <x v="0"/>
    <s v="Phones"/>
    <n v="14"/>
    <x v="1"/>
    <s v="SPRINGFIELD"/>
    <n v="5152"/>
    <x v="0"/>
    <x v="1"/>
    <x v="11"/>
    <x v="4"/>
    <n v="72128"/>
    <s v="Medium Bulk"/>
  </r>
  <r>
    <x v="289"/>
    <s v="Sabrina Clark"/>
    <x v="0"/>
    <s v="Phones"/>
    <n v="14"/>
    <x v="3"/>
    <s v="LOS ANGELES"/>
    <n v="5152"/>
    <x v="0"/>
    <x v="1"/>
    <x v="40"/>
    <x v="3"/>
    <n v="72128"/>
    <s v="Medium Bulk"/>
  </r>
  <r>
    <x v="290"/>
    <s v="Larry Casey"/>
    <x v="0"/>
    <s v="Phones"/>
    <n v="14"/>
    <x v="1"/>
    <s v="CHICAGO"/>
    <n v="5152"/>
    <x v="0"/>
    <x v="1"/>
    <x v="21"/>
    <x v="0"/>
    <n v="72128"/>
    <s v="Medium Bulk"/>
  </r>
  <r>
    <x v="291"/>
    <s v="Daniel Burns"/>
    <x v="0"/>
    <s v="Phones"/>
    <n v="14"/>
    <x v="2"/>
    <s v="ROCHESTER"/>
    <n v="5152"/>
    <x v="0"/>
    <x v="1"/>
    <x v="59"/>
    <x v="0"/>
    <n v="72128"/>
    <s v="Medium Bulk"/>
  </r>
  <r>
    <x v="292"/>
    <s v="James Tanner"/>
    <x v="1"/>
    <s v="Markers"/>
    <n v="1"/>
    <x v="4"/>
    <s v="HOUSTON"/>
    <n v="2542"/>
    <x v="3"/>
    <x v="3"/>
    <x v="39"/>
    <x v="3"/>
    <n v="2542"/>
    <s v="Normal"/>
  </r>
  <r>
    <x v="293"/>
    <s v="Leonard Gonzalez"/>
    <x v="1"/>
    <s v="Markers"/>
    <n v="5"/>
    <x v="3"/>
    <s v="SAN FRANCISCO"/>
    <n v="8102"/>
    <x v="0"/>
    <x v="0"/>
    <x v="48"/>
    <x v="0"/>
    <n v="40510"/>
    <s v="Low Bulk"/>
  </r>
  <r>
    <x v="294"/>
    <s v="Richard Lee"/>
    <x v="1"/>
    <s v="Markers"/>
    <n v="5"/>
    <x v="2"/>
    <s v="BUFFALO"/>
    <n v="8102"/>
    <x v="0"/>
    <x v="0"/>
    <x v="32"/>
    <x v="4"/>
    <n v="40510"/>
    <s v="Low Bulk"/>
  </r>
  <r>
    <x v="295"/>
    <s v="Matthew Schroeder"/>
    <x v="1"/>
    <s v="Markers"/>
    <n v="5"/>
    <x v="5"/>
    <s v="CLEVELAND"/>
    <n v="8102"/>
    <x v="0"/>
    <x v="0"/>
    <x v="50"/>
    <x v="4"/>
    <n v="40510"/>
    <s v="Low Bulk"/>
  </r>
  <r>
    <x v="293"/>
    <s v="Leonard Gonzalez"/>
    <x v="2"/>
    <s v="Tables"/>
    <n v="10"/>
    <x v="3"/>
    <s v="SAN FRANCISCO"/>
    <n v="3234"/>
    <x v="2"/>
    <x v="3"/>
    <x v="48"/>
    <x v="0"/>
    <n v="32340"/>
    <s v="Medium Bulk"/>
  </r>
  <r>
    <x v="294"/>
    <s v="Richard Lee"/>
    <x v="2"/>
    <s v="Tables"/>
    <n v="10"/>
    <x v="2"/>
    <s v="BUFFALO"/>
    <n v="3234"/>
    <x v="2"/>
    <x v="3"/>
    <x v="32"/>
    <x v="4"/>
    <n v="32340"/>
    <s v="Medium Bulk"/>
  </r>
  <r>
    <x v="295"/>
    <s v="Matthew Schroeder"/>
    <x v="2"/>
    <s v="Tables"/>
    <n v="10"/>
    <x v="5"/>
    <s v="CLEVELAND"/>
    <n v="3234"/>
    <x v="2"/>
    <x v="3"/>
    <x v="50"/>
    <x v="4"/>
    <n v="32340"/>
    <s v="Medium Bulk"/>
  </r>
  <r>
    <x v="296"/>
    <s v="Marcus Flores"/>
    <x v="2"/>
    <s v="Tables"/>
    <n v="18"/>
    <x v="3"/>
    <s v="LOS ANGELES"/>
    <n v="6200"/>
    <x v="3"/>
    <x v="4"/>
    <x v="41"/>
    <x v="1"/>
    <n v="111600"/>
    <s v="High Bulk"/>
  </r>
  <r>
    <x v="297"/>
    <s v="Tonya Long"/>
    <x v="2"/>
    <s v="Tables"/>
    <n v="18"/>
    <x v="0"/>
    <s v="MIAMI"/>
    <n v="6200"/>
    <x v="3"/>
    <x v="4"/>
    <x v="31"/>
    <x v="1"/>
    <n v="111600"/>
    <s v="High Bulk"/>
  </r>
  <r>
    <x v="170"/>
    <s v="Michael Chambers"/>
    <x v="0"/>
    <s v="Laptops"/>
    <n v="13"/>
    <x v="3"/>
    <s v="LOS ANGELES"/>
    <n v="4470"/>
    <x v="0"/>
    <x v="1"/>
    <x v="9"/>
    <x v="5"/>
    <n v="58110"/>
    <s v="Medium Bulk"/>
  </r>
  <r>
    <x v="298"/>
    <s v="Kaylee Glover"/>
    <x v="1"/>
    <s v="Pens"/>
    <n v="7"/>
    <x v="1"/>
    <s v="SPRINGFIELD"/>
    <n v="916"/>
    <x v="0"/>
    <x v="2"/>
    <x v="15"/>
    <x v="3"/>
    <n v="6412"/>
    <s v="Low Bulk"/>
  </r>
  <r>
    <x v="299"/>
    <s v="Pamela Patterson"/>
    <x v="1"/>
    <s v="Pens"/>
    <n v="7"/>
    <x v="3"/>
    <s v="SAN FRANCISCO"/>
    <n v="916"/>
    <x v="0"/>
    <x v="2"/>
    <x v="20"/>
    <x v="4"/>
    <n v="6412"/>
    <s v="Low Bulk"/>
  </r>
  <r>
    <x v="298"/>
    <s v="Kaylee Glover"/>
    <x v="2"/>
    <s v="Sofas"/>
    <n v="20"/>
    <x v="1"/>
    <s v="SPRINGFIELD"/>
    <n v="1165"/>
    <x v="0"/>
    <x v="2"/>
    <x v="15"/>
    <x v="3"/>
    <n v="23300"/>
    <s v="High Bulk"/>
  </r>
  <r>
    <x v="299"/>
    <s v="Pamela Patterson"/>
    <x v="2"/>
    <s v="Sofas"/>
    <n v="20"/>
    <x v="3"/>
    <s v="SAN FRANCISCO"/>
    <n v="1165"/>
    <x v="0"/>
    <x v="2"/>
    <x v="20"/>
    <x v="4"/>
    <n v="23300"/>
    <s v="High Bulk"/>
  </r>
  <r>
    <x v="298"/>
    <s v="Kaylee Glover"/>
    <x v="2"/>
    <s v="Chairs"/>
    <n v="12"/>
    <x v="1"/>
    <s v="SPRINGFIELD"/>
    <n v="7846"/>
    <x v="0"/>
    <x v="4"/>
    <x v="15"/>
    <x v="3"/>
    <n v="94152"/>
    <s v="Medium Bulk"/>
  </r>
  <r>
    <x v="299"/>
    <s v="Pamela Patterson"/>
    <x v="2"/>
    <s v="Chairs"/>
    <n v="12"/>
    <x v="3"/>
    <s v="SAN FRANCISCO"/>
    <n v="7846"/>
    <x v="0"/>
    <x v="4"/>
    <x v="20"/>
    <x v="4"/>
    <n v="94152"/>
    <s v="Medium Bulk"/>
  </r>
  <r>
    <x v="300"/>
    <s v="Ronald Mckinney"/>
    <x v="1"/>
    <s v="Pens"/>
    <n v="1"/>
    <x v="4"/>
    <s v="AUSTIN"/>
    <n v="3022"/>
    <x v="3"/>
    <x v="3"/>
    <x v="12"/>
    <x v="3"/>
    <n v="3022"/>
    <s v="Normal"/>
  </r>
  <r>
    <x v="301"/>
    <s v="James Hart"/>
    <x v="1"/>
    <s v="Pens"/>
    <n v="1"/>
    <x v="1"/>
    <s v="CHICAGO"/>
    <n v="3022"/>
    <x v="3"/>
    <x v="3"/>
    <x v="51"/>
    <x v="2"/>
    <n v="3022"/>
    <s v="Normal"/>
  </r>
  <r>
    <x v="300"/>
    <s v="Ronald Mckinney"/>
    <x v="0"/>
    <s v="Electronic Games"/>
    <n v="13"/>
    <x v="4"/>
    <s v="AUSTIN"/>
    <n v="5266"/>
    <x v="1"/>
    <x v="1"/>
    <x v="12"/>
    <x v="3"/>
    <n v="68458"/>
    <s v="Medium Bulk"/>
  </r>
  <r>
    <x v="301"/>
    <s v="James Hart"/>
    <x v="0"/>
    <s v="Electronic Games"/>
    <n v="13"/>
    <x v="1"/>
    <s v="CHICAGO"/>
    <n v="5266"/>
    <x v="1"/>
    <x v="1"/>
    <x v="51"/>
    <x v="2"/>
    <n v="68458"/>
    <s v="Medium Bulk"/>
  </r>
  <r>
    <x v="302"/>
    <s v="Rhonda Harris"/>
    <x v="1"/>
    <s v="Pens"/>
    <n v="9"/>
    <x v="0"/>
    <s v="ORLANDO"/>
    <n v="4853"/>
    <x v="1"/>
    <x v="1"/>
    <x v="35"/>
    <x v="2"/>
    <n v="43677"/>
    <s v="Low Bulk"/>
  </r>
  <r>
    <x v="303"/>
    <s v="Randy Fisher"/>
    <x v="1"/>
    <s v="Pens"/>
    <n v="9"/>
    <x v="4"/>
    <s v="HOUSTON"/>
    <n v="4853"/>
    <x v="1"/>
    <x v="1"/>
    <x v="40"/>
    <x v="3"/>
    <n v="43677"/>
    <s v="Low Bulk"/>
  </r>
  <r>
    <x v="23"/>
    <s v="James Hernandez"/>
    <x v="1"/>
    <s v="Pens"/>
    <n v="1"/>
    <x v="3"/>
    <s v="SAN FRANCISCO"/>
    <n v="9832"/>
    <x v="4"/>
    <x v="0"/>
    <x v="15"/>
    <x v="3"/>
    <n v="9832"/>
    <s v="Normal"/>
  </r>
  <r>
    <x v="23"/>
    <s v="James Hernandez"/>
    <x v="1"/>
    <s v="Pens"/>
    <n v="15"/>
    <x v="3"/>
    <s v="SAN FRANCISCO"/>
    <n v="796"/>
    <x v="3"/>
    <x v="2"/>
    <x v="15"/>
    <x v="3"/>
    <n v="11940"/>
    <s v="High Bulk"/>
  </r>
  <r>
    <x v="304"/>
    <s v="Brenda Murphy"/>
    <x v="2"/>
    <s v="Chairs"/>
    <n v="7"/>
    <x v="3"/>
    <s v="SAN FRANCISCO"/>
    <n v="883"/>
    <x v="4"/>
    <x v="2"/>
    <x v="0"/>
    <x v="0"/>
    <n v="6181"/>
    <s v="Low Bulk"/>
  </r>
  <r>
    <x v="304"/>
    <s v="Brenda Murphy"/>
    <x v="2"/>
    <s v="Bookcases"/>
    <n v="8"/>
    <x v="3"/>
    <s v="SAN FRANCISCO"/>
    <n v="4539"/>
    <x v="1"/>
    <x v="1"/>
    <x v="0"/>
    <x v="0"/>
    <n v="36312"/>
    <s v="Low Bulk"/>
  </r>
  <r>
    <x v="304"/>
    <s v="Brenda Murphy"/>
    <x v="1"/>
    <s v="Binders"/>
    <n v="16"/>
    <x v="3"/>
    <s v="SAN FRANCISCO"/>
    <n v="9659"/>
    <x v="1"/>
    <x v="0"/>
    <x v="0"/>
    <x v="0"/>
    <n v="154544"/>
    <s v="High Bulk"/>
  </r>
  <r>
    <x v="305"/>
    <s v="Andrew Kirby"/>
    <x v="0"/>
    <s v="Printers"/>
    <n v="2"/>
    <x v="3"/>
    <s v="SAN DIEGO"/>
    <n v="9562"/>
    <x v="1"/>
    <x v="0"/>
    <x v="37"/>
    <x v="3"/>
    <n v="19124"/>
    <s v="Normal"/>
  </r>
  <r>
    <x v="306"/>
    <s v="Justin Thomas"/>
    <x v="0"/>
    <s v="Laptops"/>
    <n v="3"/>
    <x v="3"/>
    <s v="SAN FRANCISCO"/>
    <n v="4688"/>
    <x v="3"/>
    <x v="1"/>
    <x v="54"/>
    <x v="0"/>
    <n v="14064"/>
    <s v="Normal"/>
  </r>
  <r>
    <x v="2"/>
    <s v="Jillian Johnson MD"/>
    <x v="0"/>
    <s v="Laptops"/>
    <n v="3"/>
    <x v="3"/>
    <s v="SAN DIEGO"/>
    <n v="4688"/>
    <x v="3"/>
    <x v="1"/>
    <x v="2"/>
    <x v="2"/>
    <n v="14064"/>
    <s v="Normal"/>
  </r>
  <r>
    <x v="307"/>
    <s v="William Martin"/>
    <x v="0"/>
    <s v="Phones"/>
    <n v="4"/>
    <x v="5"/>
    <s v="COLUMBUS"/>
    <n v="7900"/>
    <x v="4"/>
    <x v="4"/>
    <x v="30"/>
    <x v="5"/>
    <n v="31600"/>
    <s v="Normal"/>
  </r>
  <r>
    <x v="276"/>
    <s v="Mark Dixon"/>
    <x v="2"/>
    <s v="Bookcases"/>
    <n v="17"/>
    <x v="5"/>
    <s v="CINCINNATI"/>
    <n v="6967"/>
    <x v="4"/>
    <x v="4"/>
    <x v="29"/>
    <x v="3"/>
    <n v="118439"/>
    <s v="High Bulk"/>
  </r>
  <r>
    <x v="276"/>
    <s v="Mark Dixon"/>
    <x v="1"/>
    <s v="Paper"/>
    <n v="6"/>
    <x v="5"/>
    <s v="CINCINNATI"/>
    <n v="1091"/>
    <x v="4"/>
    <x v="2"/>
    <x v="29"/>
    <x v="3"/>
    <n v="6546"/>
    <s v="Low Bulk"/>
  </r>
  <r>
    <x v="276"/>
    <s v="Mark Dixon"/>
    <x v="1"/>
    <s v="Binders"/>
    <n v="2"/>
    <x v="5"/>
    <s v="CINCINNATI"/>
    <n v="6027"/>
    <x v="3"/>
    <x v="4"/>
    <x v="29"/>
    <x v="3"/>
    <n v="12054"/>
    <s v="Normal"/>
  </r>
  <r>
    <x v="308"/>
    <s v="Alicia Allen"/>
    <x v="2"/>
    <s v="Tables"/>
    <n v="2"/>
    <x v="4"/>
    <s v="DALLAS"/>
    <n v="4852"/>
    <x v="2"/>
    <x v="1"/>
    <x v="44"/>
    <x v="1"/>
    <n v="9704"/>
    <s v="Normal"/>
  </r>
  <r>
    <x v="309"/>
    <s v="Cynthia Meyer"/>
    <x v="2"/>
    <s v="Tables"/>
    <n v="2"/>
    <x v="0"/>
    <s v="TAMPA"/>
    <n v="4852"/>
    <x v="2"/>
    <x v="1"/>
    <x v="13"/>
    <x v="2"/>
    <n v="9704"/>
    <s v="Normal"/>
  </r>
  <r>
    <x v="310"/>
    <s v="Brandon Norton"/>
    <x v="2"/>
    <s v="Tables"/>
    <n v="2"/>
    <x v="1"/>
    <s v="SPRINGFIELD"/>
    <n v="4852"/>
    <x v="2"/>
    <x v="1"/>
    <x v="48"/>
    <x v="0"/>
    <n v="9704"/>
    <s v="Normal"/>
  </r>
  <r>
    <x v="311"/>
    <s v="Christina Scott"/>
    <x v="2"/>
    <s v="Sofas"/>
    <n v="6"/>
    <x v="0"/>
    <s v="TAMPA"/>
    <n v="4314"/>
    <x v="4"/>
    <x v="1"/>
    <x v="36"/>
    <x v="2"/>
    <n v="25884"/>
    <s v="Low Bulk"/>
  </r>
  <r>
    <x v="312"/>
    <s v="Andrew Macias"/>
    <x v="1"/>
    <s v="Pens"/>
    <n v="3"/>
    <x v="4"/>
    <s v="AUSTIN"/>
    <n v="3288"/>
    <x v="2"/>
    <x v="3"/>
    <x v="3"/>
    <x v="1"/>
    <n v="9864"/>
    <s v="Normal"/>
  </r>
  <r>
    <x v="313"/>
    <s v="Alejandro Williams"/>
    <x v="1"/>
    <s v="Pens"/>
    <n v="3"/>
    <x v="1"/>
    <s v="SPRINGFIELD"/>
    <n v="3288"/>
    <x v="2"/>
    <x v="3"/>
    <x v="26"/>
    <x v="3"/>
    <n v="9864"/>
    <s v="Normal"/>
  </r>
  <r>
    <x v="314"/>
    <s v="Mark Rodriguez"/>
    <x v="1"/>
    <s v="Binders"/>
    <n v="5"/>
    <x v="2"/>
    <s v="NEW YORK CITY"/>
    <n v="3977"/>
    <x v="3"/>
    <x v="3"/>
    <x v="1"/>
    <x v="1"/>
    <n v="19885"/>
    <s v="Low Bulk"/>
  </r>
  <r>
    <x v="315"/>
    <s v="Sarah Montgomery"/>
    <x v="0"/>
    <s v="Printers"/>
    <n v="2"/>
    <x v="1"/>
    <s v="CHICAGO"/>
    <n v="6252"/>
    <x v="2"/>
    <x v="4"/>
    <x v="0"/>
    <x v="0"/>
    <n v="12504"/>
    <s v="Normal"/>
  </r>
  <r>
    <x v="316"/>
    <s v="Marisa Prince"/>
    <x v="1"/>
    <s v="Pens"/>
    <n v="12"/>
    <x v="2"/>
    <s v="BUFFALO"/>
    <n v="9084"/>
    <x v="1"/>
    <x v="0"/>
    <x v="6"/>
    <x v="0"/>
    <n v="109008"/>
    <s v="Medium Bulk"/>
  </r>
  <r>
    <x v="317"/>
    <s v="James Bonilla"/>
    <x v="0"/>
    <s v="Phones"/>
    <n v="15"/>
    <x v="3"/>
    <s v="SAN DIEGO"/>
    <n v="8994"/>
    <x v="3"/>
    <x v="0"/>
    <x v="53"/>
    <x v="4"/>
    <n v="134910"/>
    <s v="High Bulk"/>
  </r>
  <r>
    <x v="318"/>
    <s v="Robin Myers"/>
    <x v="1"/>
    <s v="Markers"/>
    <n v="16"/>
    <x v="4"/>
    <s v="DALLAS"/>
    <n v="1089"/>
    <x v="2"/>
    <x v="2"/>
    <x v="20"/>
    <x v="4"/>
    <n v="17424"/>
    <s v="High Bulk"/>
  </r>
  <r>
    <x v="319"/>
    <s v="Nancy Sanchez"/>
    <x v="1"/>
    <s v="Binders"/>
    <n v="19"/>
    <x v="1"/>
    <s v="SPRINGFIELD"/>
    <n v="6690"/>
    <x v="0"/>
    <x v="4"/>
    <x v="33"/>
    <x v="3"/>
    <n v="127110"/>
    <s v="High Bulk"/>
  </r>
  <r>
    <x v="202"/>
    <s v="Sydney Walls"/>
    <x v="1"/>
    <s v="Binders"/>
    <n v="19"/>
    <x v="1"/>
    <s v="CHICAGO"/>
    <n v="6690"/>
    <x v="0"/>
    <x v="4"/>
    <x v="35"/>
    <x v="2"/>
    <n v="127110"/>
    <s v="High Bulk"/>
  </r>
  <r>
    <x v="319"/>
    <s v="Nancy Sanchez"/>
    <x v="2"/>
    <s v="Bookcases"/>
    <n v="10"/>
    <x v="1"/>
    <s v="SPRINGFIELD"/>
    <n v="4985"/>
    <x v="3"/>
    <x v="1"/>
    <x v="33"/>
    <x v="3"/>
    <n v="49850"/>
    <s v="Medium Bulk"/>
  </r>
  <r>
    <x v="202"/>
    <s v="Sydney Walls"/>
    <x v="2"/>
    <s v="Bookcases"/>
    <n v="10"/>
    <x v="1"/>
    <s v="CHICAGO"/>
    <n v="4985"/>
    <x v="3"/>
    <x v="1"/>
    <x v="35"/>
    <x v="2"/>
    <n v="49850"/>
    <s v="Medium Bulk"/>
  </r>
  <r>
    <x v="320"/>
    <s v="Deborah Hoffman"/>
    <x v="0"/>
    <s v="Electronic Games"/>
    <n v="15"/>
    <x v="0"/>
    <s v="MIAMI"/>
    <n v="8590"/>
    <x v="2"/>
    <x v="0"/>
    <x v="35"/>
    <x v="2"/>
    <n v="128850"/>
    <s v="High Bulk"/>
  </r>
  <r>
    <x v="320"/>
    <s v="Deborah Hoffman"/>
    <x v="2"/>
    <s v="Tables"/>
    <n v="10"/>
    <x v="0"/>
    <s v="MIAMI"/>
    <n v="6973"/>
    <x v="4"/>
    <x v="4"/>
    <x v="35"/>
    <x v="2"/>
    <n v="69730"/>
    <s v="Medium Bulk"/>
  </r>
  <r>
    <x v="321"/>
    <s v="Megan Williams"/>
    <x v="0"/>
    <s v="Printers"/>
    <n v="19"/>
    <x v="4"/>
    <s v="DALLAS"/>
    <n v="4591"/>
    <x v="2"/>
    <x v="1"/>
    <x v="2"/>
    <x v="2"/>
    <n v="87229"/>
    <s v="High Bulk"/>
  </r>
  <r>
    <x v="321"/>
    <s v="Megan Williams"/>
    <x v="1"/>
    <s v="Pens"/>
    <n v="17"/>
    <x v="4"/>
    <s v="DALLAS"/>
    <n v="9612"/>
    <x v="3"/>
    <x v="0"/>
    <x v="2"/>
    <x v="2"/>
    <n v="163404"/>
    <s v="High Bulk"/>
  </r>
  <r>
    <x v="322"/>
    <s v="Shane Clark"/>
    <x v="2"/>
    <s v="Chairs"/>
    <n v="1"/>
    <x v="3"/>
    <s v="SAN DIEGO"/>
    <n v="5343"/>
    <x v="2"/>
    <x v="1"/>
    <x v="44"/>
    <x v="1"/>
    <n v="5343"/>
    <s v="Normal"/>
  </r>
  <r>
    <x v="55"/>
    <s v="Steven Haynes"/>
    <x v="1"/>
    <s v="Markers"/>
    <n v="20"/>
    <x v="1"/>
    <s v="SPRINGFIELD"/>
    <n v="6956"/>
    <x v="1"/>
    <x v="4"/>
    <x v="39"/>
    <x v="3"/>
    <n v="139120"/>
    <s v="High Bulk"/>
  </r>
  <r>
    <x v="323"/>
    <s v="Kimberly Fuller"/>
    <x v="2"/>
    <s v="Tables"/>
    <n v="17"/>
    <x v="2"/>
    <s v="BUFFALO"/>
    <n v="5306"/>
    <x v="2"/>
    <x v="1"/>
    <x v="55"/>
    <x v="1"/>
    <n v="90202"/>
    <s v="High Bulk"/>
  </r>
  <r>
    <x v="324"/>
    <s v="Angela Lyons"/>
    <x v="2"/>
    <s v="Sofas"/>
    <n v="17"/>
    <x v="2"/>
    <s v="NEW YORK CITY"/>
    <n v="8982"/>
    <x v="0"/>
    <x v="0"/>
    <x v="18"/>
    <x v="2"/>
    <n v="152694"/>
    <s v="High Bulk"/>
  </r>
  <r>
    <x v="324"/>
    <s v="Angela Lyons"/>
    <x v="1"/>
    <s v="Paper"/>
    <n v="5"/>
    <x v="2"/>
    <s v="NEW YORK CITY"/>
    <n v="4826"/>
    <x v="1"/>
    <x v="1"/>
    <x v="18"/>
    <x v="2"/>
    <n v="24130"/>
    <s v="Low Bulk"/>
  </r>
  <r>
    <x v="112"/>
    <s v="Betty Tucker"/>
    <x v="1"/>
    <s v="Pens"/>
    <n v="15"/>
    <x v="5"/>
    <s v="CINCINNATI"/>
    <n v="972"/>
    <x v="2"/>
    <x v="2"/>
    <x v="37"/>
    <x v="3"/>
    <n v="14580"/>
    <s v="High Bulk"/>
  </r>
  <r>
    <x v="325"/>
    <s v="Brianna Hunt"/>
    <x v="1"/>
    <s v="Markers"/>
    <n v="4"/>
    <x v="0"/>
    <s v="MIAMI"/>
    <n v="3665"/>
    <x v="3"/>
    <x v="3"/>
    <x v="36"/>
    <x v="2"/>
    <n v="14660"/>
    <s v="Normal"/>
  </r>
  <r>
    <x v="326"/>
    <s v="Cathy Clark"/>
    <x v="1"/>
    <s v="Markers"/>
    <n v="4"/>
    <x v="0"/>
    <s v="TAMPA"/>
    <n v="3665"/>
    <x v="3"/>
    <x v="3"/>
    <x v="9"/>
    <x v="5"/>
    <n v="14660"/>
    <s v="Normal"/>
  </r>
  <r>
    <x v="327"/>
    <s v="Nicole Warren"/>
    <x v="1"/>
    <s v="Pens"/>
    <n v="2"/>
    <x v="3"/>
    <s v="LOS ANGELES"/>
    <n v="9808"/>
    <x v="0"/>
    <x v="0"/>
    <x v="44"/>
    <x v="1"/>
    <n v="19616"/>
    <s v="Normal"/>
  </r>
  <r>
    <x v="328"/>
    <s v="Richard Castaneda"/>
    <x v="2"/>
    <s v="Chairs"/>
    <n v="17"/>
    <x v="5"/>
    <s v="CLEVELAND"/>
    <n v="1133"/>
    <x v="0"/>
    <x v="2"/>
    <x v="14"/>
    <x v="0"/>
    <n v="19261"/>
    <s v="High Bulk"/>
  </r>
  <r>
    <x v="329"/>
    <s v="Sarah Torres"/>
    <x v="2"/>
    <s v="Chairs"/>
    <n v="17"/>
    <x v="3"/>
    <s v="SAN DIEGO"/>
    <n v="1133"/>
    <x v="0"/>
    <x v="2"/>
    <x v="47"/>
    <x v="1"/>
    <n v="19261"/>
    <s v="High Bulk"/>
  </r>
  <r>
    <x v="328"/>
    <s v="Richard Castaneda"/>
    <x v="2"/>
    <s v="Bookcases"/>
    <n v="19"/>
    <x v="5"/>
    <s v="CLEVELAND"/>
    <n v="6248"/>
    <x v="4"/>
    <x v="4"/>
    <x v="14"/>
    <x v="0"/>
    <n v="118712"/>
    <s v="High Bulk"/>
  </r>
  <r>
    <x v="329"/>
    <s v="Sarah Torres"/>
    <x v="2"/>
    <s v="Bookcases"/>
    <n v="19"/>
    <x v="3"/>
    <s v="SAN DIEGO"/>
    <n v="6248"/>
    <x v="4"/>
    <x v="4"/>
    <x v="47"/>
    <x v="1"/>
    <n v="118712"/>
    <s v="High Bulk"/>
  </r>
  <r>
    <x v="330"/>
    <s v="Vanessa Deleon"/>
    <x v="0"/>
    <s v="Electronic Games"/>
    <n v="17"/>
    <x v="0"/>
    <s v="TAMPA"/>
    <n v="5666"/>
    <x v="3"/>
    <x v="1"/>
    <x v="52"/>
    <x v="5"/>
    <n v="96322"/>
    <s v="High Bulk"/>
  </r>
  <r>
    <x v="331"/>
    <s v="Richard Lyons"/>
    <x v="1"/>
    <s v="Markers"/>
    <n v="18"/>
    <x v="4"/>
    <s v="DALLAS"/>
    <n v="4171"/>
    <x v="4"/>
    <x v="1"/>
    <x v="28"/>
    <x v="0"/>
    <n v="75078"/>
    <s v="High Bulk"/>
  </r>
  <r>
    <x v="332"/>
    <s v="Eric Adams"/>
    <x v="0"/>
    <s v="Printers"/>
    <n v="7"/>
    <x v="1"/>
    <s v="SPRINGFIELD"/>
    <n v="6236"/>
    <x v="3"/>
    <x v="4"/>
    <x v="12"/>
    <x v="3"/>
    <n v="43652"/>
    <s v="Low Bulk"/>
  </r>
  <r>
    <x v="333"/>
    <s v="Chad Brown"/>
    <x v="0"/>
    <s v="Printers"/>
    <n v="7"/>
    <x v="0"/>
    <s v="ORLANDO"/>
    <n v="6236"/>
    <x v="3"/>
    <x v="4"/>
    <x v="37"/>
    <x v="3"/>
    <n v="43652"/>
    <s v="Low Bulk"/>
  </r>
  <r>
    <x v="334"/>
    <s v="Kayla Becker"/>
    <x v="2"/>
    <s v="Chairs"/>
    <n v="8"/>
    <x v="3"/>
    <s v="LOS ANGELES"/>
    <n v="5410"/>
    <x v="3"/>
    <x v="1"/>
    <x v="3"/>
    <x v="1"/>
    <n v="43280"/>
    <s v="Low Bulk"/>
  </r>
  <r>
    <x v="335"/>
    <s v="Ashley Freeman"/>
    <x v="2"/>
    <s v="Chairs"/>
    <n v="8"/>
    <x v="0"/>
    <s v="TAMPA"/>
    <n v="5410"/>
    <x v="3"/>
    <x v="1"/>
    <x v="12"/>
    <x v="3"/>
    <n v="43280"/>
    <s v="Low Bulk"/>
  </r>
  <r>
    <x v="336"/>
    <s v="Scott Harris"/>
    <x v="2"/>
    <s v="Sofas"/>
    <n v="1"/>
    <x v="3"/>
    <s v="LOS ANGELES"/>
    <n v="3024"/>
    <x v="3"/>
    <x v="3"/>
    <x v="3"/>
    <x v="1"/>
    <n v="3024"/>
    <s v="Normal"/>
  </r>
  <r>
    <x v="337"/>
    <s v="John James"/>
    <x v="2"/>
    <s v="Sofas"/>
    <n v="1"/>
    <x v="5"/>
    <s v="COLUMBUS"/>
    <n v="3024"/>
    <x v="3"/>
    <x v="3"/>
    <x v="13"/>
    <x v="2"/>
    <n v="3024"/>
    <s v="Normal"/>
  </r>
  <r>
    <x v="116"/>
    <s v="Jesse Bond"/>
    <x v="1"/>
    <s v="Markers"/>
    <n v="5"/>
    <x v="1"/>
    <s v="SPRINGFIELD"/>
    <n v="7434"/>
    <x v="0"/>
    <x v="4"/>
    <x v="29"/>
    <x v="3"/>
    <n v="37170"/>
    <s v="Low Bulk"/>
  </r>
  <r>
    <x v="338"/>
    <s v="Brandon Hughes"/>
    <x v="0"/>
    <s v="Electronic Games"/>
    <n v="19"/>
    <x v="4"/>
    <s v="DALLAS"/>
    <n v="7213"/>
    <x v="1"/>
    <x v="4"/>
    <x v="21"/>
    <x v="0"/>
    <n v="137047"/>
    <s v="High Bulk"/>
  </r>
  <r>
    <x v="339"/>
    <s v="Lynn Reynolds"/>
    <x v="0"/>
    <s v="Electronic Games"/>
    <n v="19"/>
    <x v="5"/>
    <s v="CINCINNATI"/>
    <n v="7213"/>
    <x v="1"/>
    <x v="4"/>
    <x v="35"/>
    <x v="2"/>
    <n v="137047"/>
    <s v="High Bulk"/>
  </r>
  <r>
    <x v="338"/>
    <s v="Brandon Hughes"/>
    <x v="2"/>
    <s v="Tables"/>
    <n v="9"/>
    <x v="4"/>
    <s v="DALLAS"/>
    <n v="3176"/>
    <x v="2"/>
    <x v="3"/>
    <x v="21"/>
    <x v="0"/>
    <n v="28584"/>
    <s v="Low Bulk"/>
  </r>
  <r>
    <x v="339"/>
    <s v="Lynn Reynolds"/>
    <x v="2"/>
    <s v="Tables"/>
    <n v="9"/>
    <x v="5"/>
    <s v="CINCINNATI"/>
    <n v="3176"/>
    <x v="2"/>
    <x v="3"/>
    <x v="35"/>
    <x v="2"/>
    <n v="28584"/>
    <s v="Low Bulk"/>
  </r>
  <r>
    <x v="340"/>
    <s v="Ronald Good"/>
    <x v="1"/>
    <s v="Binders"/>
    <n v="18"/>
    <x v="0"/>
    <s v="MIAMI"/>
    <n v="9144"/>
    <x v="3"/>
    <x v="0"/>
    <x v="22"/>
    <x v="2"/>
    <n v="164592"/>
    <s v="High Bulk"/>
  </r>
  <r>
    <x v="341"/>
    <s v="Kyle Baker"/>
    <x v="2"/>
    <s v="Tables"/>
    <n v="19"/>
    <x v="4"/>
    <s v="HOUSTON"/>
    <n v="4146"/>
    <x v="2"/>
    <x v="1"/>
    <x v="58"/>
    <x v="3"/>
    <n v="78774"/>
    <s v="High Bulk"/>
  </r>
  <r>
    <x v="341"/>
    <s v="Kyle Baker"/>
    <x v="2"/>
    <s v="Tables"/>
    <n v="7"/>
    <x v="4"/>
    <s v="HOUSTON"/>
    <n v="3793"/>
    <x v="2"/>
    <x v="3"/>
    <x v="58"/>
    <x v="3"/>
    <n v="26551"/>
    <s v="Low Bulk"/>
  </r>
  <r>
    <x v="342"/>
    <s v="Michael Rivera"/>
    <x v="2"/>
    <s v="Sofas"/>
    <n v="11"/>
    <x v="3"/>
    <s v="LOS ANGELES"/>
    <n v="7169"/>
    <x v="4"/>
    <x v="4"/>
    <x v="22"/>
    <x v="2"/>
    <n v="78859"/>
    <s v="Medium Bulk"/>
  </r>
  <r>
    <x v="342"/>
    <s v="Michael Rivera"/>
    <x v="2"/>
    <s v="Chairs"/>
    <n v="18"/>
    <x v="3"/>
    <s v="LOS ANGELES"/>
    <n v="4046"/>
    <x v="3"/>
    <x v="1"/>
    <x v="22"/>
    <x v="2"/>
    <n v="72828"/>
    <s v="High Bulk"/>
  </r>
  <r>
    <x v="343"/>
    <s v="Lori Adkins"/>
    <x v="0"/>
    <s v="Phones"/>
    <n v="11"/>
    <x v="3"/>
    <s v="SAN DIEGO"/>
    <n v="4164"/>
    <x v="4"/>
    <x v="1"/>
    <x v="16"/>
    <x v="0"/>
    <n v="45804"/>
    <s v="Medium Bulk"/>
  </r>
  <r>
    <x v="343"/>
    <s v="Lori Adkins"/>
    <x v="2"/>
    <s v="Tables"/>
    <n v="5"/>
    <x v="3"/>
    <s v="SAN DIEGO"/>
    <n v="5389"/>
    <x v="0"/>
    <x v="1"/>
    <x v="16"/>
    <x v="0"/>
    <n v="26945"/>
    <s v="Low Bulk"/>
  </r>
  <r>
    <x v="344"/>
    <s v="Luis Warner"/>
    <x v="2"/>
    <s v="Sofas"/>
    <n v="5"/>
    <x v="2"/>
    <s v="NEW YORK CITY"/>
    <n v="5448"/>
    <x v="4"/>
    <x v="1"/>
    <x v="40"/>
    <x v="3"/>
    <n v="27240"/>
    <s v="Low Bulk"/>
  </r>
  <r>
    <x v="156"/>
    <s v="Donald Perry"/>
    <x v="2"/>
    <s v="Sofas"/>
    <n v="1"/>
    <x v="0"/>
    <s v="ORLANDO"/>
    <n v="4115"/>
    <x v="0"/>
    <x v="1"/>
    <x v="32"/>
    <x v="4"/>
    <n v="4115"/>
    <s v="Normal"/>
  </r>
  <r>
    <x v="156"/>
    <s v="Donald Perry"/>
    <x v="2"/>
    <s v="Tables"/>
    <n v="12"/>
    <x v="0"/>
    <s v="ORLANDO"/>
    <n v="4761"/>
    <x v="0"/>
    <x v="1"/>
    <x v="32"/>
    <x v="4"/>
    <n v="57132"/>
    <s v="Medium Bulk"/>
  </r>
  <r>
    <x v="345"/>
    <s v="Adam Stevens"/>
    <x v="1"/>
    <s v="Binders"/>
    <n v="6"/>
    <x v="2"/>
    <s v="BUFFALO"/>
    <n v="5899"/>
    <x v="2"/>
    <x v="1"/>
    <x v="59"/>
    <x v="0"/>
    <n v="35394"/>
    <s v="Low Bulk"/>
  </r>
  <r>
    <x v="346"/>
    <s v="Kimberly Johnson"/>
    <x v="2"/>
    <s v="Chairs"/>
    <n v="9"/>
    <x v="2"/>
    <s v="BUFFALO"/>
    <n v="6109"/>
    <x v="2"/>
    <x v="4"/>
    <x v="26"/>
    <x v="3"/>
    <n v="54981"/>
    <s v="Low Bulk"/>
  </r>
  <r>
    <x v="347"/>
    <s v="Kelly Jones"/>
    <x v="2"/>
    <s v="Chairs"/>
    <n v="9"/>
    <x v="2"/>
    <s v="ROCHESTER"/>
    <n v="6109"/>
    <x v="2"/>
    <x v="4"/>
    <x v="59"/>
    <x v="0"/>
    <n v="54981"/>
    <s v="Low Bulk"/>
  </r>
  <r>
    <x v="346"/>
    <s v="Kimberly Johnson"/>
    <x v="0"/>
    <s v="Electronic Games"/>
    <n v="17"/>
    <x v="2"/>
    <s v="BUFFALO"/>
    <n v="4628"/>
    <x v="0"/>
    <x v="1"/>
    <x v="26"/>
    <x v="3"/>
    <n v="78676"/>
    <s v="High Bulk"/>
  </r>
  <r>
    <x v="347"/>
    <s v="Kelly Jones"/>
    <x v="0"/>
    <s v="Electronic Games"/>
    <n v="17"/>
    <x v="2"/>
    <s v="ROCHESTER"/>
    <n v="4628"/>
    <x v="0"/>
    <x v="1"/>
    <x v="59"/>
    <x v="0"/>
    <n v="78676"/>
    <s v="High Bulk"/>
  </r>
  <r>
    <x v="129"/>
    <s v="Ashley Petty"/>
    <x v="1"/>
    <s v="Pens"/>
    <n v="13"/>
    <x v="1"/>
    <s v="PEORIA"/>
    <n v="4369"/>
    <x v="3"/>
    <x v="1"/>
    <x v="24"/>
    <x v="3"/>
    <n v="56797"/>
    <s v="Medium Bulk"/>
  </r>
  <r>
    <x v="348"/>
    <s v="Crystal Ross"/>
    <x v="1"/>
    <s v="Pens"/>
    <n v="13"/>
    <x v="4"/>
    <s v="AUSTIN"/>
    <n v="4369"/>
    <x v="3"/>
    <x v="1"/>
    <x v="27"/>
    <x v="2"/>
    <n v="56797"/>
    <s v="Medium Bulk"/>
  </r>
  <r>
    <x v="349"/>
    <s v="Alexis Duffy"/>
    <x v="2"/>
    <s v="Sofas"/>
    <n v="20"/>
    <x v="3"/>
    <s v="LOS ANGELES"/>
    <n v="5632"/>
    <x v="3"/>
    <x v="1"/>
    <x v="18"/>
    <x v="2"/>
    <n v="112640"/>
    <s v="High Bulk"/>
  </r>
  <r>
    <x v="350"/>
    <s v="Stephanie Sanchez"/>
    <x v="2"/>
    <s v="Sofas"/>
    <n v="20"/>
    <x v="0"/>
    <s v="MIAMI"/>
    <n v="5632"/>
    <x v="3"/>
    <x v="1"/>
    <x v="42"/>
    <x v="1"/>
    <n v="112640"/>
    <s v="High Bulk"/>
  </r>
  <r>
    <x v="351"/>
    <s v="Reginald Espinoza"/>
    <x v="2"/>
    <s v="Sofas"/>
    <n v="20"/>
    <x v="5"/>
    <s v="CLEVELAND"/>
    <n v="5632"/>
    <x v="3"/>
    <x v="1"/>
    <x v="9"/>
    <x v="5"/>
    <n v="112640"/>
    <s v="High Bulk"/>
  </r>
  <r>
    <x v="352"/>
    <s v="Sandra Hicks"/>
    <x v="1"/>
    <s v="Paper"/>
    <n v="14"/>
    <x v="3"/>
    <s v="SAN DIEGO"/>
    <n v="7519"/>
    <x v="0"/>
    <x v="4"/>
    <x v="15"/>
    <x v="3"/>
    <n v="105266"/>
    <s v="Medium Bulk"/>
  </r>
  <r>
    <x v="352"/>
    <s v="Sandra Hicks"/>
    <x v="0"/>
    <s v="Electronic Games"/>
    <n v="13"/>
    <x v="3"/>
    <s v="SAN DIEGO"/>
    <n v="1564"/>
    <x v="1"/>
    <x v="2"/>
    <x v="15"/>
    <x v="3"/>
    <n v="20332"/>
    <s v="Medium Bulk"/>
  </r>
  <r>
    <x v="353"/>
    <s v="Olivia Orozco"/>
    <x v="0"/>
    <s v="Electronic Games"/>
    <n v="10"/>
    <x v="4"/>
    <s v="AUSTIN"/>
    <n v="2804"/>
    <x v="3"/>
    <x v="3"/>
    <x v="26"/>
    <x v="3"/>
    <n v="28040"/>
    <s v="Medium Bulk"/>
  </r>
  <r>
    <x v="354"/>
    <s v="Larry Moore"/>
    <x v="0"/>
    <s v="Electronic Games"/>
    <n v="10"/>
    <x v="0"/>
    <s v="TAMPA"/>
    <n v="2804"/>
    <x v="3"/>
    <x v="3"/>
    <x v="11"/>
    <x v="4"/>
    <n v="28040"/>
    <s v="Medium Bulk"/>
  </r>
  <r>
    <x v="355"/>
    <s v="Mrs. Rachel Cannon DDS"/>
    <x v="0"/>
    <s v="Electronic Games"/>
    <n v="10"/>
    <x v="0"/>
    <s v="TAMPA"/>
    <n v="2804"/>
    <x v="3"/>
    <x v="3"/>
    <x v="23"/>
    <x v="0"/>
    <n v="28040"/>
    <s v="Medium Bulk"/>
  </r>
  <r>
    <x v="356"/>
    <s v="Daniel Flowers"/>
    <x v="2"/>
    <s v="Chairs"/>
    <n v="6"/>
    <x v="1"/>
    <s v="SPRINGFIELD"/>
    <n v="2321"/>
    <x v="2"/>
    <x v="3"/>
    <x v="15"/>
    <x v="3"/>
    <n v="13926"/>
    <s v="Low Bulk"/>
  </r>
  <r>
    <x v="357"/>
    <s v="Randy Acosta"/>
    <x v="0"/>
    <s v="Laptops"/>
    <n v="6"/>
    <x v="0"/>
    <s v="TAMPA"/>
    <n v="5730"/>
    <x v="4"/>
    <x v="1"/>
    <x v="19"/>
    <x v="1"/>
    <n v="34380"/>
    <s v="Low Bulk"/>
  </r>
  <r>
    <x v="179"/>
    <s v="Deborah Williams"/>
    <x v="2"/>
    <s v="Sofas"/>
    <n v="12"/>
    <x v="1"/>
    <s v="CHICAGO"/>
    <n v="7441"/>
    <x v="4"/>
    <x v="4"/>
    <x v="35"/>
    <x v="2"/>
    <n v="89292"/>
    <s v="Medium Bulk"/>
  </r>
  <r>
    <x v="358"/>
    <s v="Robert Michael"/>
    <x v="2"/>
    <s v="Sofas"/>
    <n v="12"/>
    <x v="4"/>
    <s v="AUSTIN"/>
    <n v="7441"/>
    <x v="4"/>
    <x v="4"/>
    <x v="8"/>
    <x v="4"/>
    <n v="89292"/>
    <s v="Medium Bulk"/>
  </r>
  <r>
    <x v="78"/>
    <s v="Danny Ramirez"/>
    <x v="1"/>
    <s v="Binders"/>
    <n v="7"/>
    <x v="2"/>
    <s v="NEW YORK CITY"/>
    <n v="1732"/>
    <x v="0"/>
    <x v="2"/>
    <x v="14"/>
    <x v="0"/>
    <n v="12124"/>
    <s v="Low Bulk"/>
  </r>
  <r>
    <x v="78"/>
    <s v="Danny Ramirez"/>
    <x v="1"/>
    <s v="Paper"/>
    <n v="19"/>
    <x v="2"/>
    <s v="NEW YORK CITY"/>
    <n v="8788"/>
    <x v="2"/>
    <x v="0"/>
    <x v="14"/>
    <x v="0"/>
    <n v="166972"/>
    <s v="High Bulk"/>
  </r>
  <r>
    <x v="359"/>
    <s v="Stephen Baker"/>
    <x v="1"/>
    <s v="Markers"/>
    <n v="11"/>
    <x v="5"/>
    <s v="COLUMBUS"/>
    <n v="838"/>
    <x v="2"/>
    <x v="2"/>
    <x v="49"/>
    <x v="2"/>
    <n v="9218"/>
    <s v="Medium Bulk"/>
  </r>
  <r>
    <x v="360"/>
    <s v="Jeffrey Wilcox"/>
    <x v="1"/>
    <s v="Markers"/>
    <n v="11"/>
    <x v="1"/>
    <s v="PEORIA"/>
    <n v="838"/>
    <x v="2"/>
    <x v="2"/>
    <x v="26"/>
    <x v="3"/>
    <n v="9218"/>
    <s v="Medium Bulk"/>
  </r>
  <r>
    <x v="359"/>
    <s v="Stephen Baker"/>
    <x v="2"/>
    <s v="Tables"/>
    <n v="2"/>
    <x v="5"/>
    <s v="COLUMBUS"/>
    <n v="3577"/>
    <x v="0"/>
    <x v="3"/>
    <x v="49"/>
    <x v="2"/>
    <n v="7154"/>
    <s v="Normal"/>
  </r>
  <r>
    <x v="360"/>
    <s v="Jeffrey Wilcox"/>
    <x v="2"/>
    <s v="Tables"/>
    <n v="2"/>
    <x v="1"/>
    <s v="PEORIA"/>
    <n v="3577"/>
    <x v="0"/>
    <x v="3"/>
    <x v="26"/>
    <x v="3"/>
    <n v="7154"/>
    <s v="Normal"/>
  </r>
  <r>
    <x v="361"/>
    <s v="James Clarke"/>
    <x v="0"/>
    <s v="Phones"/>
    <n v="6"/>
    <x v="4"/>
    <s v="DALLAS"/>
    <n v="7122"/>
    <x v="1"/>
    <x v="4"/>
    <x v="44"/>
    <x v="1"/>
    <n v="42732"/>
    <s v="Low Bulk"/>
  </r>
  <r>
    <x v="362"/>
    <s v="Julia Gallagher"/>
    <x v="0"/>
    <s v="Phones"/>
    <n v="6"/>
    <x v="4"/>
    <s v="HOUSTON"/>
    <n v="7122"/>
    <x v="1"/>
    <x v="4"/>
    <x v="45"/>
    <x v="0"/>
    <n v="42732"/>
    <s v="Low Bulk"/>
  </r>
  <r>
    <x v="363"/>
    <s v="Ronald Frey Jr."/>
    <x v="0"/>
    <s v="Phones"/>
    <n v="6"/>
    <x v="2"/>
    <s v="NEW YORK CITY"/>
    <n v="7122"/>
    <x v="1"/>
    <x v="4"/>
    <x v="17"/>
    <x v="0"/>
    <n v="42732"/>
    <s v="Low Bulk"/>
  </r>
  <r>
    <x v="361"/>
    <s v="James Clarke"/>
    <x v="1"/>
    <s v="Markers"/>
    <n v="15"/>
    <x v="4"/>
    <s v="DALLAS"/>
    <n v="7327"/>
    <x v="3"/>
    <x v="4"/>
    <x v="44"/>
    <x v="1"/>
    <n v="109905"/>
    <s v="High Bulk"/>
  </r>
  <r>
    <x v="362"/>
    <s v="Julia Gallagher"/>
    <x v="1"/>
    <s v="Markers"/>
    <n v="15"/>
    <x v="4"/>
    <s v="HOUSTON"/>
    <n v="7327"/>
    <x v="3"/>
    <x v="4"/>
    <x v="45"/>
    <x v="0"/>
    <n v="109905"/>
    <s v="High Bulk"/>
  </r>
  <r>
    <x v="363"/>
    <s v="Ronald Frey Jr."/>
    <x v="1"/>
    <s v="Markers"/>
    <n v="15"/>
    <x v="2"/>
    <s v="NEW YORK CITY"/>
    <n v="7327"/>
    <x v="3"/>
    <x v="4"/>
    <x v="17"/>
    <x v="0"/>
    <n v="109905"/>
    <s v="High Bulk"/>
  </r>
  <r>
    <x v="364"/>
    <s v="Megan Charles"/>
    <x v="0"/>
    <s v="Printers"/>
    <n v="18"/>
    <x v="0"/>
    <s v="TAMPA"/>
    <n v="2239"/>
    <x v="4"/>
    <x v="3"/>
    <x v="41"/>
    <x v="1"/>
    <n v="40302"/>
    <s v="High Bulk"/>
  </r>
  <r>
    <x v="364"/>
    <s v="Megan Charles"/>
    <x v="1"/>
    <s v="Markers"/>
    <n v="1"/>
    <x v="0"/>
    <s v="TAMPA"/>
    <n v="4932"/>
    <x v="4"/>
    <x v="1"/>
    <x v="41"/>
    <x v="1"/>
    <n v="4932"/>
    <s v="Normal"/>
  </r>
  <r>
    <x v="365"/>
    <s v="Amy Duran MD"/>
    <x v="0"/>
    <s v="Printers"/>
    <n v="8"/>
    <x v="0"/>
    <s v="ORLANDO"/>
    <n v="4609"/>
    <x v="0"/>
    <x v="1"/>
    <x v="17"/>
    <x v="0"/>
    <n v="36872"/>
    <s v="Low Bulk"/>
  </r>
  <r>
    <x v="365"/>
    <s v="Amy Duran MD"/>
    <x v="1"/>
    <s v="Paper"/>
    <n v="4"/>
    <x v="0"/>
    <s v="ORLANDO"/>
    <n v="2328"/>
    <x v="0"/>
    <x v="3"/>
    <x v="17"/>
    <x v="0"/>
    <n v="9312"/>
    <s v="Normal"/>
  </r>
  <r>
    <x v="365"/>
    <s v="Amy Duran MD"/>
    <x v="0"/>
    <s v="Printers"/>
    <n v="7"/>
    <x v="0"/>
    <s v="ORLANDO"/>
    <n v="4734"/>
    <x v="1"/>
    <x v="1"/>
    <x v="17"/>
    <x v="0"/>
    <n v="33138"/>
    <s v="Low Bulk"/>
  </r>
  <r>
    <x v="366"/>
    <s v="Christopher Thomas"/>
    <x v="2"/>
    <s v="Sofas"/>
    <n v="5"/>
    <x v="2"/>
    <s v="NEW YORK CITY"/>
    <n v="1388"/>
    <x v="0"/>
    <x v="2"/>
    <x v="56"/>
    <x v="1"/>
    <n v="6940"/>
    <s v="Low Bulk"/>
  </r>
  <r>
    <x v="366"/>
    <s v="Christopher Thomas"/>
    <x v="0"/>
    <s v="Laptops"/>
    <n v="8"/>
    <x v="2"/>
    <s v="NEW YORK CITY"/>
    <n v="8555"/>
    <x v="3"/>
    <x v="0"/>
    <x v="56"/>
    <x v="1"/>
    <n v="68440"/>
    <s v="Low Bulk"/>
  </r>
  <r>
    <x v="367"/>
    <s v="Peter Castro"/>
    <x v="2"/>
    <s v="Tables"/>
    <n v="4"/>
    <x v="4"/>
    <s v="DALLAS"/>
    <n v="9024"/>
    <x v="3"/>
    <x v="0"/>
    <x v="42"/>
    <x v="1"/>
    <n v="36096"/>
    <s v="Normal"/>
  </r>
  <r>
    <x v="367"/>
    <s v="Peter Castro"/>
    <x v="0"/>
    <s v="Laptops"/>
    <n v="4"/>
    <x v="4"/>
    <s v="DALLAS"/>
    <n v="2468"/>
    <x v="3"/>
    <x v="3"/>
    <x v="42"/>
    <x v="1"/>
    <n v="9872"/>
    <s v="Normal"/>
  </r>
  <r>
    <x v="368"/>
    <s v="Steven Acosta"/>
    <x v="0"/>
    <s v="Electronic Games"/>
    <n v="4"/>
    <x v="0"/>
    <s v="ORLANDO"/>
    <n v="9438"/>
    <x v="4"/>
    <x v="0"/>
    <x v="28"/>
    <x v="0"/>
    <n v="37752"/>
    <s v="Normal"/>
  </r>
  <r>
    <x v="369"/>
    <s v="Lindsay Jackson"/>
    <x v="0"/>
    <s v="Electronic Games"/>
    <n v="4"/>
    <x v="4"/>
    <s v="AUSTIN"/>
    <n v="9438"/>
    <x v="4"/>
    <x v="0"/>
    <x v="59"/>
    <x v="0"/>
    <n v="37752"/>
    <s v="Normal"/>
  </r>
  <r>
    <x v="370"/>
    <s v="Kelly Smith"/>
    <x v="0"/>
    <s v="Phones"/>
    <n v="18"/>
    <x v="5"/>
    <s v="CLEVELAND"/>
    <n v="2685"/>
    <x v="0"/>
    <x v="3"/>
    <x v="25"/>
    <x v="3"/>
    <n v="48330"/>
    <s v="High Bulk"/>
  </r>
  <r>
    <x v="174"/>
    <s v="Sabrina Hartman"/>
    <x v="0"/>
    <s v="Phones"/>
    <n v="18"/>
    <x v="0"/>
    <s v="TAMPA"/>
    <n v="2685"/>
    <x v="0"/>
    <x v="3"/>
    <x v="29"/>
    <x v="3"/>
    <n v="48330"/>
    <s v="High Bulk"/>
  </r>
  <r>
    <x v="370"/>
    <s v="Kelly Smith"/>
    <x v="2"/>
    <s v="Chairs"/>
    <n v="14"/>
    <x v="5"/>
    <s v="CLEVELAND"/>
    <n v="9916"/>
    <x v="0"/>
    <x v="0"/>
    <x v="25"/>
    <x v="3"/>
    <n v="138824"/>
    <s v="Medium Bulk"/>
  </r>
  <r>
    <x v="174"/>
    <s v="Sabrina Hartman"/>
    <x v="2"/>
    <s v="Chairs"/>
    <n v="14"/>
    <x v="0"/>
    <s v="TAMPA"/>
    <n v="9916"/>
    <x v="0"/>
    <x v="0"/>
    <x v="29"/>
    <x v="3"/>
    <n v="138824"/>
    <s v="Medium Bulk"/>
  </r>
  <r>
    <x v="370"/>
    <s v="Kelly Smith"/>
    <x v="0"/>
    <s v="Electronic Games"/>
    <n v="14"/>
    <x v="5"/>
    <s v="CLEVELAND"/>
    <n v="6184"/>
    <x v="3"/>
    <x v="4"/>
    <x v="25"/>
    <x v="3"/>
    <n v="86576"/>
    <s v="Medium Bulk"/>
  </r>
  <r>
    <x v="174"/>
    <s v="Sabrina Hartman"/>
    <x v="0"/>
    <s v="Electronic Games"/>
    <n v="14"/>
    <x v="0"/>
    <s v="TAMPA"/>
    <n v="6184"/>
    <x v="3"/>
    <x v="4"/>
    <x v="29"/>
    <x v="3"/>
    <n v="86576"/>
    <s v="Medium Bulk"/>
  </r>
  <r>
    <x v="370"/>
    <s v="Kelly Smith"/>
    <x v="1"/>
    <s v="Markers"/>
    <n v="8"/>
    <x v="5"/>
    <s v="CLEVELAND"/>
    <n v="4548"/>
    <x v="1"/>
    <x v="1"/>
    <x v="25"/>
    <x v="3"/>
    <n v="36384"/>
    <s v="Low Bulk"/>
  </r>
  <r>
    <x v="174"/>
    <s v="Sabrina Hartman"/>
    <x v="1"/>
    <s v="Markers"/>
    <n v="8"/>
    <x v="0"/>
    <s v="TAMPA"/>
    <n v="4548"/>
    <x v="1"/>
    <x v="1"/>
    <x v="29"/>
    <x v="3"/>
    <n v="36384"/>
    <s v="Low Bulk"/>
  </r>
  <r>
    <x v="371"/>
    <s v="Cynthia Smith"/>
    <x v="1"/>
    <s v="Markers"/>
    <n v="7"/>
    <x v="2"/>
    <s v="ROCHESTER"/>
    <n v="7195"/>
    <x v="4"/>
    <x v="4"/>
    <x v="41"/>
    <x v="1"/>
    <n v="50365"/>
    <s v="Low Bulk"/>
  </r>
  <r>
    <x v="372"/>
    <s v="Olivia Dickerson"/>
    <x v="1"/>
    <s v="Markers"/>
    <n v="7"/>
    <x v="2"/>
    <s v="BUFFALO"/>
    <n v="7195"/>
    <x v="4"/>
    <x v="4"/>
    <x v="58"/>
    <x v="3"/>
    <n v="50365"/>
    <s v="Low Bulk"/>
  </r>
  <r>
    <x v="373"/>
    <s v="Whitney Stout"/>
    <x v="2"/>
    <s v="Bookcases"/>
    <n v="18"/>
    <x v="4"/>
    <s v="AUSTIN"/>
    <n v="3098"/>
    <x v="4"/>
    <x v="3"/>
    <x v="41"/>
    <x v="1"/>
    <n v="55764"/>
    <s v="High Bulk"/>
  </r>
  <r>
    <x v="374"/>
    <s v="Stephanie Flores"/>
    <x v="2"/>
    <s v="Tables"/>
    <n v="18"/>
    <x v="3"/>
    <s v="SAN DIEGO"/>
    <n v="5412"/>
    <x v="3"/>
    <x v="1"/>
    <x v="42"/>
    <x v="1"/>
    <n v="97416"/>
    <s v="High Bulk"/>
  </r>
  <r>
    <x v="375"/>
    <s v="Gregory English"/>
    <x v="2"/>
    <s v="Tables"/>
    <n v="18"/>
    <x v="3"/>
    <s v="LOS ANGELES"/>
    <n v="5412"/>
    <x v="3"/>
    <x v="1"/>
    <x v="52"/>
    <x v="5"/>
    <n v="97416"/>
    <s v="High Bulk"/>
  </r>
  <r>
    <x v="376"/>
    <s v="Natalie Maxwell"/>
    <x v="2"/>
    <s v="Chairs"/>
    <n v="11"/>
    <x v="2"/>
    <s v="NEW YORK CITY"/>
    <n v="1397"/>
    <x v="3"/>
    <x v="2"/>
    <x v="13"/>
    <x v="2"/>
    <n v="15367"/>
    <s v="Medium Bulk"/>
  </r>
  <r>
    <x v="377"/>
    <s v="Tina Blake"/>
    <x v="2"/>
    <s v="Chairs"/>
    <n v="14"/>
    <x v="2"/>
    <s v="BUFFALO"/>
    <n v="9279"/>
    <x v="2"/>
    <x v="0"/>
    <x v="13"/>
    <x v="2"/>
    <n v="129906"/>
    <s v="Medium Bulk"/>
  </r>
  <r>
    <x v="378"/>
    <s v="Clarence Cooke"/>
    <x v="2"/>
    <s v="Chairs"/>
    <n v="14"/>
    <x v="3"/>
    <s v="SAN FRANCISCO"/>
    <n v="9279"/>
    <x v="2"/>
    <x v="0"/>
    <x v="11"/>
    <x v="4"/>
    <n v="129906"/>
    <s v="Medium Bulk"/>
  </r>
  <r>
    <x v="377"/>
    <s v="Tina Blake"/>
    <x v="1"/>
    <s v="Paper"/>
    <n v="19"/>
    <x v="2"/>
    <s v="BUFFALO"/>
    <n v="2596"/>
    <x v="3"/>
    <x v="3"/>
    <x v="13"/>
    <x v="2"/>
    <n v="49324"/>
    <s v="High Bulk"/>
  </r>
  <r>
    <x v="378"/>
    <s v="Clarence Cooke"/>
    <x v="1"/>
    <s v="Paper"/>
    <n v="19"/>
    <x v="3"/>
    <s v="SAN FRANCISCO"/>
    <n v="2596"/>
    <x v="3"/>
    <x v="3"/>
    <x v="11"/>
    <x v="4"/>
    <n v="49324"/>
    <s v="High Bulk"/>
  </r>
  <r>
    <x v="379"/>
    <s v="Tamara Guzman"/>
    <x v="2"/>
    <s v="Bookcases"/>
    <n v="19"/>
    <x v="2"/>
    <s v="BUFFALO"/>
    <n v="6732"/>
    <x v="2"/>
    <x v="4"/>
    <x v="13"/>
    <x v="2"/>
    <n v="127908"/>
    <s v="High Bulk"/>
  </r>
  <r>
    <x v="379"/>
    <s v="Tamara Guzman"/>
    <x v="1"/>
    <s v="Pens"/>
    <n v="14"/>
    <x v="2"/>
    <s v="BUFFALO"/>
    <n v="4495"/>
    <x v="2"/>
    <x v="1"/>
    <x v="13"/>
    <x v="2"/>
    <n v="62930"/>
    <s v="Medium Bulk"/>
  </r>
  <r>
    <x v="380"/>
    <s v="Marissa Hartman"/>
    <x v="1"/>
    <s v="Paper"/>
    <n v="6"/>
    <x v="2"/>
    <s v="BUFFALO"/>
    <n v="9653"/>
    <x v="0"/>
    <x v="0"/>
    <x v="41"/>
    <x v="1"/>
    <n v="57918"/>
    <s v="Low Bulk"/>
  </r>
  <r>
    <x v="381"/>
    <s v="Sara Garcia"/>
    <x v="2"/>
    <s v="Tables"/>
    <n v="10"/>
    <x v="1"/>
    <s v="PEORIA"/>
    <n v="8945"/>
    <x v="0"/>
    <x v="0"/>
    <x v="51"/>
    <x v="2"/>
    <n v="89450"/>
    <s v="Medium Bulk"/>
  </r>
  <r>
    <x v="299"/>
    <s v="Kathryn Rogers"/>
    <x v="2"/>
    <s v="Bookcases"/>
    <n v="13"/>
    <x v="5"/>
    <s v="COLUMBUS"/>
    <n v="4007"/>
    <x v="4"/>
    <x v="1"/>
    <x v="20"/>
    <x v="4"/>
    <n v="52091"/>
    <s v="Medium Bulk"/>
  </r>
  <r>
    <x v="103"/>
    <s v="Kyle Dickson"/>
    <x v="2"/>
    <s v="Bookcases"/>
    <n v="13"/>
    <x v="4"/>
    <s v="DALLAS"/>
    <n v="4007"/>
    <x v="4"/>
    <x v="1"/>
    <x v="28"/>
    <x v="0"/>
    <n v="52091"/>
    <s v="Medium Bulk"/>
  </r>
  <r>
    <x v="299"/>
    <s v="Jacob Decker"/>
    <x v="2"/>
    <s v="Bookcases"/>
    <n v="18"/>
    <x v="0"/>
    <s v="TAMPA"/>
    <n v="810"/>
    <x v="2"/>
    <x v="2"/>
    <x v="20"/>
    <x v="4"/>
    <n v="14580"/>
    <s v="High Bulk"/>
  </r>
  <r>
    <x v="382"/>
    <s v="Aaron Johnson"/>
    <x v="2"/>
    <s v="Bookcases"/>
    <n v="18"/>
    <x v="2"/>
    <s v="ROCHESTER"/>
    <n v="9789"/>
    <x v="1"/>
    <x v="0"/>
    <x v="16"/>
    <x v="0"/>
    <n v="176202"/>
    <s v="High Bulk"/>
  </r>
  <r>
    <x v="382"/>
    <s v="Aaron Johnson"/>
    <x v="0"/>
    <s v="Electronic Games"/>
    <n v="8"/>
    <x v="2"/>
    <s v="ROCHESTER"/>
    <n v="9229"/>
    <x v="4"/>
    <x v="0"/>
    <x v="16"/>
    <x v="0"/>
    <n v="73832"/>
    <s v="Low Bulk"/>
  </r>
  <r>
    <x v="56"/>
    <s v="William Morse"/>
    <x v="1"/>
    <s v="Markers"/>
    <n v="18"/>
    <x v="2"/>
    <s v="ROCHESTER"/>
    <n v="8141"/>
    <x v="1"/>
    <x v="0"/>
    <x v="29"/>
    <x v="3"/>
    <n v="146538"/>
    <s v="High Bulk"/>
  </r>
  <r>
    <x v="383"/>
    <s v="Carrie Smith"/>
    <x v="1"/>
    <s v="Markers"/>
    <n v="18"/>
    <x v="1"/>
    <s v="PEORIA"/>
    <n v="8141"/>
    <x v="1"/>
    <x v="0"/>
    <x v="40"/>
    <x v="3"/>
    <n v="146538"/>
    <s v="High Bulk"/>
  </r>
  <r>
    <x v="56"/>
    <s v="William Morse"/>
    <x v="2"/>
    <s v="Sofas"/>
    <n v="14"/>
    <x v="2"/>
    <s v="ROCHESTER"/>
    <n v="1067"/>
    <x v="2"/>
    <x v="2"/>
    <x v="29"/>
    <x v="3"/>
    <n v="14938"/>
    <s v="Medium Bulk"/>
  </r>
  <r>
    <x v="383"/>
    <s v="Carrie Smith"/>
    <x v="2"/>
    <s v="Sofas"/>
    <n v="14"/>
    <x v="1"/>
    <s v="PEORIA"/>
    <n v="1067"/>
    <x v="2"/>
    <x v="2"/>
    <x v="40"/>
    <x v="3"/>
    <n v="14938"/>
    <s v="Medium Bulk"/>
  </r>
  <r>
    <x v="384"/>
    <s v="Vincent Roth"/>
    <x v="1"/>
    <s v="Binders"/>
    <n v="10"/>
    <x v="3"/>
    <s v="LOS ANGELES"/>
    <n v="3839"/>
    <x v="0"/>
    <x v="3"/>
    <x v="59"/>
    <x v="0"/>
    <n v="38390"/>
    <s v="Medium Bulk"/>
  </r>
  <r>
    <x v="360"/>
    <s v="Andrew Benson"/>
    <x v="1"/>
    <s v="Binders"/>
    <n v="10"/>
    <x v="0"/>
    <s v="ORLANDO"/>
    <n v="3839"/>
    <x v="0"/>
    <x v="3"/>
    <x v="26"/>
    <x v="3"/>
    <n v="38390"/>
    <s v="Medium Bulk"/>
  </r>
  <r>
    <x v="385"/>
    <s v="Jason Wilson"/>
    <x v="0"/>
    <s v="Electronic Games"/>
    <n v="13"/>
    <x v="4"/>
    <s v="AUSTIN"/>
    <n v="2858"/>
    <x v="4"/>
    <x v="3"/>
    <x v="3"/>
    <x v="1"/>
    <n v="37154"/>
    <s v="Medium Bulk"/>
  </r>
  <r>
    <x v="218"/>
    <s v="Colin Patterson"/>
    <x v="2"/>
    <s v="Bookcases"/>
    <n v="12"/>
    <x v="2"/>
    <s v="NEW YORK CITY"/>
    <n v="2137"/>
    <x v="1"/>
    <x v="3"/>
    <x v="20"/>
    <x v="4"/>
    <n v="25644"/>
    <s v="Medium Bulk"/>
  </r>
  <r>
    <x v="218"/>
    <s v="Colin Patterson"/>
    <x v="2"/>
    <s v="Chairs"/>
    <n v="12"/>
    <x v="2"/>
    <s v="NEW YORK CITY"/>
    <n v="2831"/>
    <x v="1"/>
    <x v="3"/>
    <x v="20"/>
    <x v="4"/>
    <n v="33972"/>
    <s v="Medium Bulk"/>
  </r>
  <r>
    <x v="386"/>
    <s v="Eric Bates"/>
    <x v="2"/>
    <s v="Sofas"/>
    <n v="15"/>
    <x v="5"/>
    <s v="COLUMBUS"/>
    <n v="3913"/>
    <x v="0"/>
    <x v="3"/>
    <x v="42"/>
    <x v="1"/>
    <n v="58695"/>
    <s v="High Bulk"/>
  </r>
  <r>
    <x v="387"/>
    <s v="Steven Keith"/>
    <x v="2"/>
    <s v="Sofas"/>
    <n v="15"/>
    <x v="3"/>
    <s v="SAN FRANCISCO"/>
    <n v="3913"/>
    <x v="0"/>
    <x v="3"/>
    <x v="51"/>
    <x v="2"/>
    <n v="58695"/>
    <s v="High Bulk"/>
  </r>
  <r>
    <x v="388"/>
    <s v="Seth Rodriguez"/>
    <x v="1"/>
    <s v="Paper"/>
    <n v="9"/>
    <x v="0"/>
    <s v="TAMPA"/>
    <n v="4468"/>
    <x v="4"/>
    <x v="1"/>
    <x v="25"/>
    <x v="3"/>
    <n v="40212"/>
    <s v="Low Bulk"/>
  </r>
  <r>
    <x v="389"/>
    <s v="Lauren Jones"/>
    <x v="0"/>
    <s v="Laptops"/>
    <n v="9"/>
    <x v="5"/>
    <s v="CINCINNATI"/>
    <n v="1579"/>
    <x v="3"/>
    <x v="2"/>
    <x v="8"/>
    <x v="4"/>
    <n v="14211"/>
    <s v="Low Bulk"/>
  </r>
  <r>
    <x v="390"/>
    <s v="Thomas Wallace"/>
    <x v="0"/>
    <s v="Laptops"/>
    <n v="9"/>
    <x v="4"/>
    <s v="DALLAS"/>
    <n v="1579"/>
    <x v="3"/>
    <x v="2"/>
    <x v="9"/>
    <x v="5"/>
    <n v="14211"/>
    <s v="Low Bulk"/>
  </r>
  <r>
    <x v="84"/>
    <s v="Mr. Daniel Wilson"/>
    <x v="0"/>
    <s v="Laptops"/>
    <n v="9"/>
    <x v="5"/>
    <s v="CINCINNATI"/>
    <n v="1579"/>
    <x v="3"/>
    <x v="2"/>
    <x v="35"/>
    <x v="2"/>
    <n v="14211"/>
    <s v="Low Bulk"/>
  </r>
  <r>
    <x v="391"/>
    <s v="Julie Smith MD"/>
    <x v="0"/>
    <s v="Laptops"/>
    <n v="9"/>
    <x v="2"/>
    <s v="ROCHESTER"/>
    <n v="1579"/>
    <x v="3"/>
    <x v="2"/>
    <x v="31"/>
    <x v="1"/>
    <n v="14211"/>
    <s v="Low Bulk"/>
  </r>
  <r>
    <x v="389"/>
    <s v="Lauren Jones"/>
    <x v="2"/>
    <s v="Chairs"/>
    <n v="19"/>
    <x v="5"/>
    <s v="CINCINNATI"/>
    <n v="3760"/>
    <x v="2"/>
    <x v="3"/>
    <x v="8"/>
    <x v="4"/>
    <n v="71440"/>
    <s v="High Bulk"/>
  </r>
  <r>
    <x v="390"/>
    <s v="Thomas Wallace"/>
    <x v="2"/>
    <s v="Chairs"/>
    <n v="19"/>
    <x v="4"/>
    <s v="DALLAS"/>
    <n v="3760"/>
    <x v="2"/>
    <x v="3"/>
    <x v="9"/>
    <x v="5"/>
    <n v="71440"/>
    <s v="High Bulk"/>
  </r>
  <r>
    <x v="84"/>
    <s v="Mr. Daniel Wilson"/>
    <x v="2"/>
    <s v="Chairs"/>
    <n v="19"/>
    <x v="5"/>
    <s v="CINCINNATI"/>
    <n v="3760"/>
    <x v="2"/>
    <x v="3"/>
    <x v="35"/>
    <x v="2"/>
    <n v="71440"/>
    <s v="High Bulk"/>
  </r>
  <r>
    <x v="391"/>
    <s v="Julie Smith MD"/>
    <x v="2"/>
    <s v="Chairs"/>
    <n v="19"/>
    <x v="2"/>
    <s v="ROCHESTER"/>
    <n v="3760"/>
    <x v="2"/>
    <x v="3"/>
    <x v="31"/>
    <x v="1"/>
    <n v="71440"/>
    <s v="High Bulk"/>
  </r>
  <r>
    <x v="392"/>
    <s v="Carol Mitchell"/>
    <x v="1"/>
    <s v="Pens"/>
    <n v="14"/>
    <x v="1"/>
    <s v="CHICAGO"/>
    <n v="8706"/>
    <x v="3"/>
    <x v="0"/>
    <x v="33"/>
    <x v="3"/>
    <n v="121884"/>
    <s v="Medium Bulk"/>
  </r>
  <r>
    <x v="392"/>
    <s v="Carol Mitchell"/>
    <x v="0"/>
    <s v="Electronic Games"/>
    <n v="14"/>
    <x v="1"/>
    <s v="CHICAGO"/>
    <n v="4708"/>
    <x v="3"/>
    <x v="1"/>
    <x v="33"/>
    <x v="3"/>
    <n v="65912"/>
    <s v="Medium Bulk"/>
  </r>
  <r>
    <x v="392"/>
    <s v="Carol Mitchell"/>
    <x v="2"/>
    <s v="Chairs"/>
    <n v="17"/>
    <x v="1"/>
    <s v="CHICAGO"/>
    <n v="8089"/>
    <x v="4"/>
    <x v="0"/>
    <x v="33"/>
    <x v="3"/>
    <n v="137513"/>
    <s v="High Bulk"/>
  </r>
  <r>
    <x v="393"/>
    <s v="John Thompson"/>
    <x v="0"/>
    <s v="Printers"/>
    <n v="12"/>
    <x v="4"/>
    <s v="AUSTIN"/>
    <n v="5462"/>
    <x v="1"/>
    <x v="1"/>
    <x v="5"/>
    <x v="3"/>
    <n v="65544"/>
    <s v="Medium Bulk"/>
  </r>
  <r>
    <x v="394"/>
    <s v="Debra Rodriguez"/>
    <x v="0"/>
    <s v="Electronic Games"/>
    <n v="18"/>
    <x v="0"/>
    <s v="TAMPA"/>
    <n v="6392"/>
    <x v="3"/>
    <x v="4"/>
    <x v="6"/>
    <x v="0"/>
    <n v="115056"/>
    <s v="High Bulk"/>
  </r>
  <r>
    <x v="395"/>
    <s v="Erin Vasquez"/>
    <x v="0"/>
    <s v="Electronic Games"/>
    <n v="3"/>
    <x v="0"/>
    <s v="ORLANDO"/>
    <n v="8706"/>
    <x v="1"/>
    <x v="0"/>
    <x v="32"/>
    <x v="4"/>
    <n v="26118"/>
    <s v="Normal"/>
  </r>
  <r>
    <x v="138"/>
    <s v="Clayton Lara"/>
    <x v="1"/>
    <s v="Pens"/>
    <n v="4"/>
    <x v="0"/>
    <s v="MIAMI"/>
    <n v="2349"/>
    <x v="0"/>
    <x v="3"/>
    <x v="12"/>
    <x v="3"/>
    <n v="9396"/>
    <s v="Normal"/>
  </r>
  <r>
    <x v="138"/>
    <s v="Clayton Lara"/>
    <x v="2"/>
    <s v="Chairs"/>
    <n v="14"/>
    <x v="0"/>
    <s v="MIAMI"/>
    <n v="8220"/>
    <x v="0"/>
    <x v="0"/>
    <x v="12"/>
    <x v="3"/>
    <n v="115080"/>
    <s v="Medium Bulk"/>
  </r>
  <r>
    <x v="138"/>
    <s v="Clayton Lara"/>
    <x v="2"/>
    <s v="Chairs"/>
    <n v="7"/>
    <x v="0"/>
    <s v="MIAMI"/>
    <n v="2379"/>
    <x v="1"/>
    <x v="3"/>
    <x v="12"/>
    <x v="3"/>
    <n v="16653"/>
    <s v="Low Bulk"/>
  </r>
  <r>
    <x v="138"/>
    <s v="Clayton Lara"/>
    <x v="1"/>
    <s v="Markers"/>
    <n v="4"/>
    <x v="0"/>
    <s v="MIAMI"/>
    <n v="7377"/>
    <x v="0"/>
    <x v="4"/>
    <x v="12"/>
    <x v="3"/>
    <n v="29508"/>
    <s v="Normal"/>
  </r>
  <r>
    <x v="396"/>
    <s v="Tony Ray"/>
    <x v="2"/>
    <s v="Tables"/>
    <n v="16"/>
    <x v="5"/>
    <s v="CLEVELAND"/>
    <n v="717"/>
    <x v="3"/>
    <x v="2"/>
    <x v="25"/>
    <x v="3"/>
    <n v="11472"/>
    <s v="High Bulk"/>
  </r>
  <r>
    <x v="397"/>
    <s v="Steven Frey"/>
    <x v="2"/>
    <s v="Tables"/>
    <n v="16"/>
    <x v="0"/>
    <s v="MIAMI"/>
    <n v="717"/>
    <x v="3"/>
    <x v="2"/>
    <x v="53"/>
    <x v="4"/>
    <n v="11472"/>
    <s v="High Bulk"/>
  </r>
  <r>
    <x v="56"/>
    <s v="Stephanie Leonard"/>
    <x v="2"/>
    <s v="Tables"/>
    <n v="16"/>
    <x v="2"/>
    <s v="BUFFALO"/>
    <n v="717"/>
    <x v="3"/>
    <x v="2"/>
    <x v="29"/>
    <x v="3"/>
    <n v="11472"/>
    <s v="High Bulk"/>
  </r>
  <r>
    <x v="398"/>
    <s v="Crystal Chambers"/>
    <x v="2"/>
    <s v="Tables"/>
    <n v="16"/>
    <x v="2"/>
    <s v="NEW YORK CITY"/>
    <n v="717"/>
    <x v="3"/>
    <x v="2"/>
    <x v="46"/>
    <x v="1"/>
    <n v="11472"/>
    <s v="High Bulk"/>
  </r>
  <r>
    <x v="399"/>
    <s v="Robert White"/>
    <x v="2"/>
    <s v="Tables"/>
    <n v="16"/>
    <x v="0"/>
    <s v="ORLANDO"/>
    <n v="717"/>
    <x v="3"/>
    <x v="2"/>
    <x v="11"/>
    <x v="4"/>
    <n v="11472"/>
    <s v="High Bulk"/>
  </r>
  <r>
    <x v="400"/>
    <s v="Sylvia Barron"/>
    <x v="2"/>
    <s v="Tables"/>
    <n v="16"/>
    <x v="2"/>
    <s v="ROCHESTER"/>
    <n v="717"/>
    <x v="3"/>
    <x v="2"/>
    <x v="59"/>
    <x v="0"/>
    <n v="11472"/>
    <s v="High Bulk"/>
  </r>
  <r>
    <x v="396"/>
    <s v="Tony Ray"/>
    <x v="2"/>
    <s v="Sofas"/>
    <n v="17"/>
    <x v="5"/>
    <s v="CLEVELAND"/>
    <n v="508"/>
    <x v="0"/>
    <x v="2"/>
    <x v="25"/>
    <x v="3"/>
    <n v="8636"/>
    <s v="High Bulk"/>
  </r>
  <r>
    <x v="397"/>
    <s v="Steven Frey"/>
    <x v="2"/>
    <s v="Sofas"/>
    <n v="17"/>
    <x v="0"/>
    <s v="MIAMI"/>
    <n v="508"/>
    <x v="0"/>
    <x v="2"/>
    <x v="53"/>
    <x v="4"/>
    <n v="8636"/>
    <s v="High Bulk"/>
  </r>
  <r>
    <x v="56"/>
    <s v="Stephanie Leonard"/>
    <x v="2"/>
    <s v="Sofas"/>
    <n v="17"/>
    <x v="2"/>
    <s v="BUFFALO"/>
    <n v="508"/>
    <x v="0"/>
    <x v="2"/>
    <x v="29"/>
    <x v="3"/>
    <n v="8636"/>
    <s v="High Bulk"/>
  </r>
  <r>
    <x v="398"/>
    <s v="Crystal Chambers"/>
    <x v="2"/>
    <s v="Sofas"/>
    <n v="17"/>
    <x v="2"/>
    <s v="NEW YORK CITY"/>
    <n v="508"/>
    <x v="0"/>
    <x v="2"/>
    <x v="46"/>
    <x v="1"/>
    <n v="8636"/>
    <s v="High Bulk"/>
  </r>
  <r>
    <x v="399"/>
    <s v="Robert White"/>
    <x v="2"/>
    <s v="Sofas"/>
    <n v="17"/>
    <x v="0"/>
    <s v="ORLANDO"/>
    <n v="508"/>
    <x v="0"/>
    <x v="2"/>
    <x v="11"/>
    <x v="4"/>
    <n v="8636"/>
    <s v="High Bulk"/>
  </r>
  <r>
    <x v="400"/>
    <s v="Sylvia Barron"/>
    <x v="2"/>
    <s v="Sofas"/>
    <n v="17"/>
    <x v="2"/>
    <s v="ROCHESTER"/>
    <n v="508"/>
    <x v="0"/>
    <x v="2"/>
    <x v="59"/>
    <x v="0"/>
    <n v="8636"/>
    <s v="High Bulk"/>
  </r>
  <r>
    <x v="401"/>
    <s v="Marcus Brown"/>
    <x v="0"/>
    <s v="Printers"/>
    <n v="3"/>
    <x v="1"/>
    <s v="CHICAGO"/>
    <n v="9382"/>
    <x v="1"/>
    <x v="0"/>
    <x v="17"/>
    <x v="0"/>
    <n v="28146"/>
    <s v="Normal"/>
  </r>
  <r>
    <x v="52"/>
    <s v="Annette Pierce"/>
    <x v="0"/>
    <s v="Printers"/>
    <n v="3"/>
    <x v="2"/>
    <s v="ROCHESTER"/>
    <n v="9382"/>
    <x v="1"/>
    <x v="0"/>
    <x v="37"/>
    <x v="3"/>
    <n v="28146"/>
    <s v="Normal"/>
  </r>
  <r>
    <x v="401"/>
    <s v="Marcus Brown"/>
    <x v="2"/>
    <s v="Tables"/>
    <n v="19"/>
    <x v="1"/>
    <s v="CHICAGO"/>
    <n v="4936"/>
    <x v="4"/>
    <x v="1"/>
    <x v="17"/>
    <x v="0"/>
    <n v="93784"/>
    <s v="High Bulk"/>
  </r>
  <r>
    <x v="52"/>
    <s v="Annette Pierce"/>
    <x v="2"/>
    <s v="Tables"/>
    <n v="19"/>
    <x v="2"/>
    <s v="ROCHESTER"/>
    <n v="4936"/>
    <x v="4"/>
    <x v="1"/>
    <x v="37"/>
    <x v="3"/>
    <n v="93784"/>
    <s v="High Bulk"/>
  </r>
  <r>
    <x v="194"/>
    <s v="Donald Hernandez"/>
    <x v="2"/>
    <s v="Sofas"/>
    <n v="19"/>
    <x v="3"/>
    <s v="SAN FRANCISCO"/>
    <n v="2663"/>
    <x v="4"/>
    <x v="3"/>
    <x v="47"/>
    <x v="1"/>
    <n v="50597"/>
    <s v="High Bulk"/>
  </r>
  <r>
    <x v="204"/>
    <s v="Megan Davis"/>
    <x v="2"/>
    <s v="Sofas"/>
    <n v="19"/>
    <x v="5"/>
    <s v="CLEVELAND"/>
    <n v="2663"/>
    <x v="4"/>
    <x v="3"/>
    <x v="4"/>
    <x v="2"/>
    <n v="50597"/>
    <s v="High Bulk"/>
  </r>
  <r>
    <x v="402"/>
    <s v="Robert Brooks"/>
    <x v="0"/>
    <s v="Printers"/>
    <n v="5"/>
    <x v="4"/>
    <s v="HOUSTON"/>
    <n v="5151"/>
    <x v="2"/>
    <x v="1"/>
    <x v="15"/>
    <x v="3"/>
    <n v="25755"/>
    <s v="Low Bulk"/>
  </r>
  <r>
    <x v="403"/>
    <s v="Miguel Alvarez"/>
    <x v="1"/>
    <s v="Pens"/>
    <n v="8"/>
    <x v="2"/>
    <s v="ROCHESTER"/>
    <n v="2514"/>
    <x v="0"/>
    <x v="3"/>
    <x v="17"/>
    <x v="0"/>
    <n v="20112"/>
    <s v="Low Bulk"/>
  </r>
  <r>
    <x v="404"/>
    <s v="Jennifer Arnold"/>
    <x v="0"/>
    <s v="Laptops"/>
    <n v="2"/>
    <x v="2"/>
    <s v="NEW YORK CITY"/>
    <n v="6129"/>
    <x v="2"/>
    <x v="4"/>
    <x v="9"/>
    <x v="5"/>
    <n v="12258"/>
    <s v="Normal"/>
  </r>
  <r>
    <x v="404"/>
    <s v="Jennifer Arnold"/>
    <x v="2"/>
    <s v="Bookcases"/>
    <n v="3"/>
    <x v="2"/>
    <s v="NEW YORK CITY"/>
    <n v="4395"/>
    <x v="4"/>
    <x v="1"/>
    <x v="9"/>
    <x v="5"/>
    <n v="13185"/>
    <s v="Normal"/>
  </r>
  <r>
    <x v="405"/>
    <s v="Jessica Blankenship"/>
    <x v="2"/>
    <s v="Chairs"/>
    <n v="8"/>
    <x v="5"/>
    <s v="CINCINNATI"/>
    <n v="5393"/>
    <x v="0"/>
    <x v="1"/>
    <x v="34"/>
    <x v="2"/>
    <n v="43144"/>
    <s v="Low Bulk"/>
  </r>
  <r>
    <x v="125"/>
    <s v="Peggy Campos"/>
    <x v="0"/>
    <s v="Phones"/>
    <n v="8"/>
    <x v="2"/>
    <s v="BUFFALO"/>
    <n v="2280"/>
    <x v="3"/>
    <x v="3"/>
    <x v="49"/>
    <x v="2"/>
    <n v="18240"/>
    <s v="Low Bulk"/>
  </r>
  <r>
    <x v="355"/>
    <s v="Craig Ortega"/>
    <x v="1"/>
    <s v="Paper"/>
    <n v="9"/>
    <x v="5"/>
    <s v="CINCINNATI"/>
    <n v="6596"/>
    <x v="1"/>
    <x v="4"/>
    <x v="23"/>
    <x v="0"/>
    <n v="59364"/>
    <s v="Low Bulk"/>
  </r>
  <r>
    <x v="406"/>
    <s v="Johnny Simon"/>
    <x v="1"/>
    <s v="Paper"/>
    <n v="5"/>
    <x v="3"/>
    <s v="LOS ANGELES"/>
    <n v="4510"/>
    <x v="2"/>
    <x v="1"/>
    <x v="59"/>
    <x v="0"/>
    <n v="22550"/>
    <s v="Low Bulk"/>
  </r>
  <r>
    <x v="232"/>
    <s v="Keith Brooks"/>
    <x v="0"/>
    <s v="Phones"/>
    <n v="18"/>
    <x v="2"/>
    <s v="NEW YORK CITY"/>
    <n v="6077"/>
    <x v="4"/>
    <x v="4"/>
    <x v="40"/>
    <x v="3"/>
    <n v="109386"/>
    <s v="High Bulk"/>
  </r>
  <r>
    <x v="211"/>
    <s v="Jason Martinez"/>
    <x v="0"/>
    <s v="Printers"/>
    <n v="17"/>
    <x v="5"/>
    <s v="COLUMBUS"/>
    <n v="5379"/>
    <x v="4"/>
    <x v="1"/>
    <x v="39"/>
    <x v="3"/>
    <n v="91443"/>
    <s v="High Bulk"/>
  </r>
  <r>
    <x v="407"/>
    <s v="Steven Herrera"/>
    <x v="1"/>
    <s v="Markers"/>
    <n v="16"/>
    <x v="3"/>
    <s v="SAN DIEGO"/>
    <n v="4629"/>
    <x v="2"/>
    <x v="1"/>
    <x v="28"/>
    <x v="0"/>
    <n v="74064"/>
    <s v="High Bulk"/>
  </r>
  <r>
    <x v="408"/>
    <s v="Beverly Lamb"/>
    <x v="0"/>
    <s v="Laptops"/>
    <n v="20"/>
    <x v="1"/>
    <s v="CHICAGO"/>
    <n v="2710"/>
    <x v="1"/>
    <x v="3"/>
    <x v="56"/>
    <x v="1"/>
    <n v="54200"/>
    <s v="High Bulk"/>
  </r>
  <r>
    <x v="408"/>
    <s v="Beverly Lamb"/>
    <x v="1"/>
    <s v="Binders"/>
    <n v="14"/>
    <x v="1"/>
    <s v="CHICAGO"/>
    <n v="3224"/>
    <x v="0"/>
    <x v="3"/>
    <x v="56"/>
    <x v="1"/>
    <n v="45136"/>
    <s v="Medium Bulk"/>
  </r>
  <r>
    <x v="409"/>
    <s v="Michael Williams"/>
    <x v="1"/>
    <s v="Markers"/>
    <n v="15"/>
    <x v="1"/>
    <s v="SPRINGFIELD"/>
    <n v="8042"/>
    <x v="2"/>
    <x v="0"/>
    <x v="2"/>
    <x v="2"/>
    <n v="120630"/>
    <s v="High Bulk"/>
  </r>
  <r>
    <x v="410"/>
    <s v="Zachary Carpenter"/>
    <x v="1"/>
    <s v="Markers"/>
    <n v="15"/>
    <x v="3"/>
    <s v="LOS ANGELES"/>
    <n v="8042"/>
    <x v="2"/>
    <x v="0"/>
    <x v="39"/>
    <x v="3"/>
    <n v="120630"/>
    <s v="High Bulk"/>
  </r>
  <r>
    <x v="411"/>
    <s v="Timothy Baker"/>
    <x v="1"/>
    <s v="Binders"/>
    <n v="10"/>
    <x v="4"/>
    <s v="AUSTIN"/>
    <n v="3957"/>
    <x v="2"/>
    <x v="3"/>
    <x v="39"/>
    <x v="3"/>
    <n v="39570"/>
    <s v="Medium Bulk"/>
  </r>
  <r>
    <x v="412"/>
    <s v="Adam James"/>
    <x v="1"/>
    <s v="Markers"/>
    <n v="16"/>
    <x v="1"/>
    <s v="CHICAGO"/>
    <n v="8769"/>
    <x v="1"/>
    <x v="0"/>
    <x v="54"/>
    <x v="0"/>
    <n v="140304"/>
    <s v="High Bulk"/>
  </r>
  <r>
    <x v="413"/>
    <s v="Katrina Wood"/>
    <x v="1"/>
    <s v="Pens"/>
    <n v="16"/>
    <x v="1"/>
    <s v="CHICAGO"/>
    <n v="2957"/>
    <x v="1"/>
    <x v="3"/>
    <x v="46"/>
    <x v="1"/>
    <n v="47312"/>
    <s v="High Bulk"/>
  </r>
  <r>
    <x v="414"/>
    <s v="James Murray"/>
    <x v="1"/>
    <s v="Paper"/>
    <n v="6"/>
    <x v="4"/>
    <s v="DALLAS"/>
    <n v="5344"/>
    <x v="1"/>
    <x v="1"/>
    <x v="39"/>
    <x v="3"/>
    <n v="32064"/>
    <s v="Low Bulk"/>
  </r>
  <r>
    <x v="415"/>
    <s v="Mr. Nathaniel Reeves"/>
    <x v="1"/>
    <s v="Paper"/>
    <n v="6"/>
    <x v="2"/>
    <s v="ROCHESTER"/>
    <n v="5344"/>
    <x v="1"/>
    <x v="1"/>
    <x v="9"/>
    <x v="5"/>
    <n v="32064"/>
    <s v="Low Bulk"/>
  </r>
  <r>
    <x v="416"/>
    <s v="Jodi Wood"/>
    <x v="0"/>
    <s v="Laptops"/>
    <n v="19"/>
    <x v="5"/>
    <s v="CLEVELAND"/>
    <n v="6061"/>
    <x v="2"/>
    <x v="4"/>
    <x v="18"/>
    <x v="2"/>
    <n v="115159"/>
    <s v="High Bulk"/>
  </r>
  <r>
    <x v="417"/>
    <s v="Dr. Thomas Peterson"/>
    <x v="0"/>
    <s v="Laptops"/>
    <n v="19"/>
    <x v="3"/>
    <s v="SAN DIEGO"/>
    <n v="6061"/>
    <x v="2"/>
    <x v="4"/>
    <x v="12"/>
    <x v="3"/>
    <n v="115159"/>
    <s v="High Bulk"/>
  </r>
  <r>
    <x v="418"/>
    <s v="Mario Hall"/>
    <x v="2"/>
    <s v="Tables"/>
    <n v="7"/>
    <x v="2"/>
    <s v="NEW YORK CITY"/>
    <n v="5376"/>
    <x v="3"/>
    <x v="1"/>
    <x v="52"/>
    <x v="5"/>
    <n v="37632"/>
    <s v="Low Bulk"/>
  </r>
  <r>
    <x v="419"/>
    <s v="Justin Rosales"/>
    <x v="0"/>
    <s v="Printers"/>
    <n v="8"/>
    <x v="0"/>
    <s v="MIAMI"/>
    <n v="2792"/>
    <x v="4"/>
    <x v="3"/>
    <x v="51"/>
    <x v="2"/>
    <n v="22336"/>
    <s v="Low Bulk"/>
  </r>
  <r>
    <x v="420"/>
    <s v="Autumn Lee"/>
    <x v="1"/>
    <s v="Binders"/>
    <n v="5"/>
    <x v="5"/>
    <s v="COLUMBUS"/>
    <n v="2944"/>
    <x v="3"/>
    <x v="3"/>
    <x v="19"/>
    <x v="1"/>
    <n v="14720"/>
    <s v="Low Bulk"/>
  </r>
  <r>
    <x v="421"/>
    <s v="Victoria Duran"/>
    <x v="1"/>
    <s v="Binders"/>
    <n v="5"/>
    <x v="4"/>
    <s v="DALLAS"/>
    <n v="2944"/>
    <x v="3"/>
    <x v="3"/>
    <x v="29"/>
    <x v="3"/>
    <n v="14720"/>
    <s v="Low Bulk"/>
  </r>
  <r>
    <x v="422"/>
    <s v="Barry Garcia"/>
    <x v="1"/>
    <s v="Markers"/>
    <n v="13"/>
    <x v="1"/>
    <s v="SPRINGFIELD"/>
    <n v="4220"/>
    <x v="2"/>
    <x v="1"/>
    <x v="55"/>
    <x v="1"/>
    <n v="54860"/>
    <s v="Medium Bulk"/>
  </r>
  <r>
    <x v="295"/>
    <s v="Dawn Webb"/>
    <x v="1"/>
    <s v="Markers"/>
    <n v="13"/>
    <x v="1"/>
    <s v="PEORIA"/>
    <n v="4220"/>
    <x v="2"/>
    <x v="1"/>
    <x v="50"/>
    <x v="4"/>
    <n v="54860"/>
    <s v="Medium Bulk"/>
  </r>
  <r>
    <x v="150"/>
    <s v="Patricia Sanford"/>
    <x v="1"/>
    <s v="Binders"/>
    <n v="4"/>
    <x v="4"/>
    <s v="AUSTIN"/>
    <n v="8526"/>
    <x v="1"/>
    <x v="0"/>
    <x v="45"/>
    <x v="0"/>
    <n v="34104"/>
    <s v="Normal"/>
  </r>
  <r>
    <x v="123"/>
    <s v="William Walters"/>
    <x v="2"/>
    <s v="Bookcases"/>
    <n v="19"/>
    <x v="3"/>
    <s v="SAN FRANCISCO"/>
    <n v="8218"/>
    <x v="3"/>
    <x v="0"/>
    <x v="0"/>
    <x v="0"/>
    <n v="156142"/>
    <s v="High Bulk"/>
  </r>
  <r>
    <x v="423"/>
    <s v="Emma Scott"/>
    <x v="0"/>
    <s v="Phones"/>
    <n v="4"/>
    <x v="2"/>
    <s v="BUFFALO"/>
    <n v="599"/>
    <x v="3"/>
    <x v="2"/>
    <x v="58"/>
    <x v="3"/>
    <n v="2396"/>
    <s v="Normal"/>
  </r>
  <r>
    <x v="424"/>
    <s v="Sabrina Buckley"/>
    <x v="0"/>
    <s v="Phones"/>
    <n v="4"/>
    <x v="2"/>
    <s v="ROCHESTER"/>
    <n v="599"/>
    <x v="3"/>
    <x v="2"/>
    <x v="1"/>
    <x v="1"/>
    <n v="2396"/>
    <s v="Normal"/>
  </r>
  <r>
    <x v="423"/>
    <s v="Emma Scott"/>
    <x v="2"/>
    <s v="Bookcases"/>
    <n v="10"/>
    <x v="2"/>
    <s v="BUFFALO"/>
    <n v="2727"/>
    <x v="3"/>
    <x v="3"/>
    <x v="58"/>
    <x v="3"/>
    <n v="27270"/>
    <s v="Medium Bulk"/>
  </r>
  <r>
    <x v="424"/>
    <s v="Sabrina Buckley"/>
    <x v="2"/>
    <s v="Bookcases"/>
    <n v="10"/>
    <x v="2"/>
    <s v="ROCHESTER"/>
    <n v="2727"/>
    <x v="3"/>
    <x v="3"/>
    <x v="1"/>
    <x v="1"/>
    <n v="27270"/>
    <s v="Medium Bulk"/>
  </r>
  <r>
    <x v="425"/>
    <s v="Robert Rojas"/>
    <x v="1"/>
    <s v="Pens"/>
    <n v="11"/>
    <x v="3"/>
    <s v="SAN FRANCISCO"/>
    <n v="2589"/>
    <x v="2"/>
    <x v="3"/>
    <x v="6"/>
    <x v="0"/>
    <n v="28479"/>
    <s v="Medium Bulk"/>
  </r>
  <r>
    <x v="366"/>
    <s v="Eric Johnson"/>
    <x v="1"/>
    <s v="Pens"/>
    <n v="11"/>
    <x v="5"/>
    <s v="CLEVELAND"/>
    <n v="2589"/>
    <x v="2"/>
    <x v="3"/>
    <x v="56"/>
    <x v="1"/>
    <n v="28479"/>
    <s v="Medium Bulk"/>
  </r>
  <r>
    <x v="426"/>
    <s v="Heather Parker"/>
    <x v="0"/>
    <s v="Electronic Games"/>
    <n v="9"/>
    <x v="4"/>
    <s v="AUSTIN"/>
    <n v="3776"/>
    <x v="2"/>
    <x v="3"/>
    <x v="5"/>
    <x v="3"/>
    <n v="33984"/>
    <s v="Low Bulk"/>
  </r>
  <r>
    <x v="427"/>
    <s v="Thomas Matthews"/>
    <x v="0"/>
    <s v="Electronic Games"/>
    <n v="9"/>
    <x v="1"/>
    <s v="PEORIA"/>
    <n v="3776"/>
    <x v="2"/>
    <x v="3"/>
    <x v="29"/>
    <x v="3"/>
    <n v="33984"/>
    <s v="Low Bulk"/>
  </r>
  <r>
    <x v="428"/>
    <s v="Kimberly Beard"/>
    <x v="2"/>
    <s v="Bookcases"/>
    <n v="12"/>
    <x v="5"/>
    <s v="CLEVELAND"/>
    <n v="5402"/>
    <x v="2"/>
    <x v="1"/>
    <x v="9"/>
    <x v="5"/>
    <n v="64824"/>
    <s v="Medium Bulk"/>
  </r>
  <r>
    <x v="429"/>
    <s v="Lydia Donovan"/>
    <x v="1"/>
    <s v="Pens"/>
    <n v="16"/>
    <x v="1"/>
    <s v="PEORIA"/>
    <n v="5165"/>
    <x v="2"/>
    <x v="1"/>
    <x v="5"/>
    <x v="3"/>
    <n v="82640"/>
    <s v="High Bulk"/>
  </r>
  <r>
    <x v="429"/>
    <s v="Lydia Donovan"/>
    <x v="2"/>
    <s v="Bookcases"/>
    <n v="4"/>
    <x v="1"/>
    <s v="PEORIA"/>
    <n v="4863"/>
    <x v="2"/>
    <x v="1"/>
    <x v="5"/>
    <x v="3"/>
    <n v="19452"/>
    <s v="Normal"/>
  </r>
  <r>
    <x v="430"/>
    <s v="Edward Johnson"/>
    <x v="1"/>
    <s v="Pens"/>
    <n v="15"/>
    <x v="0"/>
    <s v="ORLANDO"/>
    <n v="1626"/>
    <x v="2"/>
    <x v="2"/>
    <x v="22"/>
    <x v="2"/>
    <n v="24390"/>
    <s v="High Bulk"/>
  </r>
  <r>
    <x v="161"/>
    <s v="Ricky Smith"/>
    <x v="2"/>
    <s v="Tables"/>
    <n v="7"/>
    <x v="0"/>
    <s v="MIAMI"/>
    <n v="8851"/>
    <x v="2"/>
    <x v="0"/>
    <x v="57"/>
    <x v="4"/>
    <n v="61957"/>
    <s v="Low Bulk"/>
  </r>
  <r>
    <x v="81"/>
    <s v="Mr. Ralph Garcia Jr."/>
    <x v="2"/>
    <s v="Tables"/>
    <n v="9"/>
    <x v="2"/>
    <s v="ROCHESTER"/>
    <n v="9680"/>
    <x v="4"/>
    <x v="0"/>
    <x v="44"/>
    <x v="1"/>
    <n v="87120"/>
    <s v="Low Bulk"/>
  </r>
  <r>
    <x v="81"/>
    <s v="Mr. Ralph Garcia Jr."/>
    <x v="1"/>
    <s v="Pens"/>
    <n v="8"/>
    <x v="2"/>
    <s v="ROCHESTER"/>
    <n v="8468"/>
    <x v="0"/>
    <x v="0"/>
    <x v="44"/>
    <x v="1"/>
    <n v="67744"/>
    <s v="Low Bulk"/>
  </r>
  <r>
    <x v="81"/>
    <s v="Mr. Ralph Garcia Jr."/>
    <x v="2"/>
    <s v="Chairs"/>
    <n v="14"/>
    <x v="2"/>
    <s v="ROCHESTER"/>
    <n v="4441"/>
    <x v="1"/>
    <x v="1"/>
    <x v="44"/>
    <x v="1"/>
    <n v="62174"/>
    <s v="Medium Bulk"/>
  </r>
  <r>
    <x v="431"/>
    <s v="Malik Walker"/>
    <x v="2"/>
    <s v="Sofas"/>
    <n v="8"/>
    <x v="2"/>
    <s v="NEW YORK CITY"/>
    <n v="6622"/>
    <x v="4"/>
    <x v="4"/>
    <x v="44"/>
    <x v="1"/>
    <n v="52976"/>
    <s v="Low Bulk"/>
  </r>
  <r>
    <x v="432"/>
    <s v="Tanya Walker"/>
    <x v="2"/>
    <s v="Tables"/>
    <n v="17"/>
    <x v="3"/>
    <s v="SAN DIEGO"/>
    <n v="3260"/>
    <x v="0"/>
    <x v="3"/>
    <x v="16"/>
    <x v="0"/>
    <n v="55420"/>
    <s v="High Bulk"/>
  </r>
  <r>
    <x v="336"/>
    <s v="Sherri Ferguson DVM"/>
    <x v="2"/>
    <s v="Tables"/>
    <n v="8"/>
    <x v="4"/>
    <s v="AUSTIN"/>
    <n v="8709"/>
    <x v="1"/>
    <x v="0"/>
    <x v="3"/>
    <x v="1"/>
    <n v="69672"/>
    <s v="Low Bulk"/>
  </r>
  <r>
    <x v="433"/>
    <s v="Kristin Hart"/>
    <x v="2"/>
    <s v="Tables"/>
    <n v="8"/>
    <x v="3"/>
    <s v="SAN FRANCISCO"/>
    <n v="8709"/>
    <x v="1"/>
    <x v="0"/>
    <x v="46"/>
    <x v="1"/>
    <n v="69672"/>
    <s v="Low Bulk"/>
  </r>
  <r>
    <x v="434"/>
    <s v="Jim Johnson"/>
    <x v="1"/>
    <s v="Binders"/>
    <n v="1"/>
    <x v="5"/>
    <s v="CINCINNATI"/>
    <n v="5250"/>
    <x v="4"/>
    <x v="1"/>
    <x v="25"/>
    <x v="3"/>
    <n v="5250"/>
    <s v="Normal"/>
  </r>
  <r>
    <x v="435"/>
    <s v="David Hamilton"/>
    <x v="1"/>
    <s v="Binders"/>
    <n v="1"/>
    <x v="4"/>
    <s v="HOUSTON"/>
    <n v="5250"/>
    <x v="4"/>
    <x v="1"/>
    <x v="23"/>
    <x v="0"/>
    <n v="5250"/>
    <s v="Normal"/>
  </r>
  <r>
    <x v="436"/>
    <s v="Michael Jimenez"/>
    <x v="1"/>
    <s v="Paper"/>
    <n v="20"/>
    <x v="3"/>
    <s v="LOS ANGELES"/>
    <n v="4116"/>
    <x v="0"/>
    <x v="1"/>
    <x v="56"/>
    <x v="1"/>
    <n v="82320"/>
    <s v="High Bulk"/>
  </r>
  <r>
    <x v="437"/>
    <s v="Angela Norman"/>
    <x v="1"/>
    <s v="Paper"/>
    <n v="20"/>
    <x v="1"/>
    <s v="SPRINGFIELD"/>
    <n v="4116"/>
    <x v="0"/>
    <x v="1"/>
    <x v="57"/>
    <x v="4"/>
    <n v="82320"/>
    <s v="High Bulk"/>
  </r>
  <r>
    <x v="438"/>
    <s v="Denise Mcdaniel"/>
    <x v="1"/>
    <s v="Paper"/>
    <n v="15"/>
    <x v="3"/>
    <s v="LOS ANGELES"/>
    <n v="1109"/>
    <x v="0"/>
    <x v="2"/>
    <x v="36"/>
    <x v="2"/>
    <n v="16635"/>
    <s v="High Bulk"/>
  </r>
  <r>
    <x v="352"/>
    <s v="Michael Rodriguez"/>
    <x v="1"/>
    <s v="Pens"/>
    <n v="7"/>
    <x v="2"/>
    <s v="ROCHESTER"/>
    <n v="3573"/>
    <x v="2"/>
    <x v="3"/>
    <x v="15"/>
    <x v="3"/>
    <n v="25011"/>
    <s v="Low Bulk"/>
  </r>
  <r>
    <x v="439"/>
    <s v="Matthew Huff"/>
    <x v="1"/>
    <s v="Pens"/>
    <n v="7"/>
    <x v="3"/>
    <s v="SAN DIEGO"/>
    <n v="3573"/>
    <x v="2"/>
    <x v="3"/>
    <x v="8"/>
    <x v="4"/>
    <n v="25011"/>
    <s v="Low Bulk"/>
  </r>
  <r>
    <x v="440"/>
    <s v="Linda Little"/>
    <x v="1"/>
    <s v="Pens"/>
    <n v="7"/>
    <x v="0"/>
    <s v="TAMPA"/>
    <n v="3573"/>
    <x v="2"/>
    <x v="3"/>
    <x v="32"/>
    <x v="4"/>
    <n v="25011"/>
    <s v="Low Bulk"/>
  </r>
  <r>
    <x v="352"/>
    <s v="Michael Rodriguez"/>
    <x v="0"/>
    <s v="Phones"/>
    <n v="10"/>
    <x v="2"/>
    <s v="ROCHESTER"/>
    <n v="8055"/>
    <x v="2"/>
    <x v="0"/>
    <x v="15"/>
    <x v="3"/>
    <n v="80550"/>
    <s v="Medium Bulk"/>
  </r>
  <r>
    <x v="439"/>
    <s v="Matthew Huff"/>
    <x v="0"/>
    <s v="Phones"/>
    <n v="10"/>
    <x v="3"/>
    <s v="SAN DIEGO"/>
    <n v="8055"/>
    <x v="2"/>
    <x v="0"/>
    <x v="8"/>
    <x v="4"/>
    <n v="80550"/>
    <s v="Medium Bulk"/>
  </r>
  <r>
    <x v="440"/>
    <s v="Linda Little"/>
    <x v="0"/>
    <s v="Phones"/>
    <n v="10"/>
    <x v="0"/>
    <s v="TAMPA"/>
    <n v="8055"/>
    <x v="2"/>
    <x v="0"/>
    <x v="32"/>
    <x v="4"/>
    <n v="80550"/>
    <s v="Medium Bulk"/>
  </r>
  <r>
    <x v="441"/>
    <s v="Kerri Andrews"/>
    <x v="0"/>
    <s v="Laptops"/>
    <n v="2"/>
    <x v="3"/>
    <s v="SAN FRANCISCO"/>
    <n v="6829"/>
    <x v="2"/>
    <x v="4"/>
    <x v="33"/>
    <x v="3"/>
    <n v="13658"/>
    <s v="Normal"/>
  </r>
  <r>
    <x v="441"/>
    <s v="Kerri Andrews"/>
    <x v="1"/>
    <s v="Paper"/>
    <n v="12"/>
    <x v="3"/>
    <s v="SAN FRANCISCO"/>
    <n v="6390"/>
    <x v="4"/>
    <x v="4"/>
    <x v="33"/>
    <x v="3"/>
    <n v="76680"/>
    <s v="Medium Bulk"/>
  </r>
  <r>
    <x v="442"/>
    <s v="Jeffrey Johnson III"/>
    <x v="1"/>
    <s v="Pens"/>
    <n v="17"/>
    <x v="3"/>
    <s v="SAN FRANCISCO"/>
    <n v="5831"/>
    <x v="1"/>
    <x v="1"/>
    <x v="5"/>
    <x v="3"/>
    <n v="99127"/>
    <s v="High Bulk"/>
  </r>
  <r>
    <x v="114"/>
    <s v="Daniel Dixon"/>
    <x v="1"/>
    <s v="Pens"/>
    <n v="17"/>
    <x v="3"/>
    <s v="SAN DIEGO"/>
    <n v="5831"/>
    <x v="1"/>
    <x v="1"/>
    <x v="41"/>
    <x v="1"/>
    <n v="99127"/>
    <s v="High Bulk"/>
  </r>
  <r>
    <x v="53"/>
    <s v="Tiffany Robinson"/>
    <x v="1"/>
    <s v="Pens"/>
    <n v="17"/>
    <x v="0"/>
    <s v="MIAMI"/>
    <n v="5831"/>
    <x v="1"/>
    <x v="1"/>
    <x v="17"/>
    <x v="0"/>
    <n v="99127"/>
    <s v="High Bulk"/>
  </r>
  <r>
    <x v="443"/>
    <s v="Mr. Gregg Sawyer"/>
    <x v="2"/>
    <s v="Sofas"/>
    <n v="8"/>
    <x v="1"/>
    <s v="PEORIA"/>
    <n v="7952"/>
    <x v="1"/>
    <x v="4"/>
    <x v="38"/>
    <x v="4"/>
    <n v="63616"/>
    <s v="Low Bulk"/>
  </r>
  <r>
    <x v="444"/>
    <s v="John Silva"/>
    <x v="2"/>
    <s v="Bookcases"/>
    <n v="5"/>
    <x v="3"/>
    <s v="LOS ANGELES"/>
    <n v="3659"/>
    <x v="0"/>
    <x v="3"/>
    <x v="47"/>
    <x v="1"/>
    <n v="18295"/>
    <s v="Low Bulk"/>
  </r>
  <r>
    <x v="445"/>
    <s v="Nathan Moss"/>
    <x v="1"/>
    <s v="Pens"/>
    <n v="4"/>
    <x v="1"/>
    <s v="SPRINGFIELD"/>
    <n v="4183"/>
    <x v="1"/>
    <x v="1"/>
    <x v="60"/>
    <x v="4"/>
    <n v="16732"/>
    <s v="Normal"/>
  </r>
  <r>
    <x v="198"/>
    <s v="Donald Medina"/>
    <x v="0"/>
    <s v="Phones"/>
    <n v="11"/>
    <x v="4"/>
    <s v="HOUSTON"/>
    <n v="7478"/>
    <x v="2"/>
    <x v="4"/>
    <x v="44"/>
    <x v="1"/>
    <n v="82258"/>
    <s v="Medium Bulk"/>
  </r>
  <r>
    <x v="446"/>
    <s v="Charles Henderson"/>
    <x v="0"/>
    <s v="Phones"/>
    <n v="9"/>
    <x v="0"/>
    <s v="TAMPA"/>
    <n v="702"/>
    <x v="4"/>
    <x v="2"/>
    <x v="34"/>
    <x v="2"/>
    <n v="6318"/>
    <s v="Low Bulk"/>
  </r>
  <r>
    <x v="447"/>
    <s v="Brenda Davis"/>
    <x v="2"/>
    <s v="Chairs"/>
    <n v="15"/>
    <x v="3"/>
    <s v="SAN FRANCISCO"/>
    <n v="4037"/>
    <x v="2"/>
    <x v="1"/>
    <x v="28"/>
    <x v="0"/>
    <n v="60555"/>
    <s v="High Bulk"/>
  </r>
  <r>
    <x v="448"/>
    <s v="Leah Calderon"/>
    <x v="2"/>
    <s v="Chairs"/>
    <n v="2"/>
    <x v="1"/>
    <s v="CHICAGO"/>
    <n v="5014"/>
    <x v="4"/>
    <x v="1"/>
    <x v="11"/>
    <x v="4"/>
    <n v="10028"/>
    <s v="Normal"/>
  </r>
  <r>
    <x v="123"/>
    <s v="Brandi Vasquez"/>
    <x v="0"/>
    <s v="Laptops"/>
    <n v="15"/>
    <x v="2"/>
    <s v="ROCHESTER"/>
    <n v="9879"/>
    <x v="1"/>
    <x v="0"/>
    <x v="0"/>
    <x v="0"/>
    <n v="148185"/>
    <s v="High Bulk"/>
  </r>
  <r>
    <x v="51"/>
    <s v="Debra Richards"/>
    <x v="0"/>
    <s v="Phones"/>
    <n v="1"/>
    <x v="0"/>
    <s v="TAMPA"/>
    <n v="8762"/>
    <x v="1"/>
    <x v="0"/>
    <x v="36"/>
    <x v="2"/>
    <n v="8762"/>
    <s v="Normal"/>
  </r>
  <r>
    <x v="389"/>
    <s v="Tammy Day"/>
    <x v="1"/>
    <s v="Pens"/>
    <n v="1"/>
    <x v="2"/>
    <s v="NEW YORK CITY"/>
    <n v="8490"/>
    <x v="2"/>
    <x v="0"/>
    <x v="8"/>
    <x v="4"/>
    <n v="8490"/>
    <s v="Normal"/>
  </r>
  <r>
    <x v="106"/>
    <s v="Sheila Clay"/>
    <x v="2"/>
    <s v="Sofas"/>
    <n v="10"/>
    <x v="2"/>
    <s v="BUFFALO"/>
    <n v="6951"/>
    <x v="0"/>
    <x v="4"/>
    <x v="36"/>
    <x v="2"/>
    <n v="69510"/>
    <s v="Medium Bulk"/>
  </r>
  <r>
    <x v="449"/>
    <s v="Nicholas Flores"/>
    <x v="0"/>
    <s v="Phones"/>
    <n v="3"/>
    <x v="5"/>
    <s v="CLEVELAND"/>
    <n v="1078"/>
    <x v="3"/>
    <x v="2"/>
    <x v="24"/>
    <x v="3"/>
    <n v="3234"/>
    <s v="Normal"/>
  </r>
  <r>
    <x v="450"/>
    <s v="Jasmin Jones"/>
    <x v="0"/>
    <s v="Phones"/>
    <n v="3"/>
    <x v="1"/>
    <s v="CHICAGO"/>
    <n v="1078"/>
    <x v="3"/>
    <x v="2"/>
    <x v="20"/>
    <x v="4"/>
    <n v="3234"/>
    <s v="Normal"/>
  </r>
  <r>
    <x v="451"/>
    <s v="Matthew Gardner"/>
    <x v="1"/>
    <s v="Binders"/>
    <n v="19"/>
    <x v="0"/>
    <s v="TAMPA"/>
    <n v="8560"/>
    <x v="2"/>
    <x v="0"/>
    <x v="37"/>
    <x v="3"/>
    <n v="162640"/>
    <s v="High Bulk"/>
  </r>
  <r>
    <x v="451"/>
    <s v="Matthew Gardner"/>
    <x v="0"/>
    <s v="Electronic Games"/>
    <n v="20"/>
    <x v="0"/>
    <s v="TAMPA"/>
    <n v="1031"/>
    <x v="0"/>
    <x v="2"/>
    <x v="37"/>
    <x v="3"/>
    <n v="20620"/>
    <s v="High Bulk"/>
  </r>
  <r>
    <x v="452"/>
    <s v="Joseph Perkins"/>
    <x v="1"/>
    <s v="Markers"/>
    <n v="19"/>
    <x v="0"/>
    <s v="ORLANDO"/>
    <n v="6402"/>
    <x v="1"/>
    <x v="4"/>
    <x v="55"/>
    <x v="1"/>
    <n v="121638"/>
    <s v="High Bulk"/>
  </r>
  <r>
    <x v="347"/>
    <s v="Ashley Adams MD"/>
    <x v="1"/>
    <s v="Markers"/>
    <n v="19"/>
    <x v="0"/>
    <s v="ORLANDO"/>
    <n v="6402"/>
    <x v="1"/>
    <x v="4"/>
    <x v="59"/>
    <x v="0"/>
    <n v="121638"/>
    <s v="High Bulk"/>
  </r>
  <r>
    <x v="452"/>
    <s v="Joseph Perkins"/>
    <x v="0"/>
    <s v="Printers"/>
    <n v="19"/>
    <x v="0"/>
    <s v="ORLANDO"/>
    <n v="5916"/>
    <x v="1"/>
    <x v="1"/>
    <x v="55"/>
    <x v="1"/>
    <n v="112404"/>
    <s v="High Bulk"/>
  </r>
  <r>
    <x v="347"/>
    <s v="Ashley Adams MD"/>
    <x v="0"/>
    <s v="Printers"/>
    <n v="19"/>
    <x v="0"/>
    <s v="ORLANDO"/>
    <n v="5916"/>
    <x v="1"/>
    <x v="1"/>
    <x v="59"/>
    <x v="0"/>
    <n v="112404"/>
    <s v="High Bulk"/>
  </r>
  <r>
    <x v="453"/>
    <s v="Cheryl Stevens"/>
    <x v="2"/>
    <s v="Chairs"/>
    <n v="15"/>
    <x v="3"/>
    <s v="SAN FRANCISCO"/>
    <n v="4015"/>
    <x v="1"/>
    <x v="1"/>
    <x v="40"/>
    <x v="3"/>
    <n v="60225"/>
    <s v="High Bulk"/>
  </r>
  <r>
    <x v="437"/>
    <s v="Jorge George"/>
    <x v="2"/>
    <s v="Chairs"/>
    <n v="15"/>
    <x v="2"/>
    <s v="NEW YORK CITY"/>
    <n v="4015"/>
    <x v="1"/>
    <x v="1"/>
    <x v="57"/>
    <x v="4"/>
    <n v="60225"/>
    <s v="High Bulk"/>
  </r>
  <r>
    <x v="454"/>
    <s v="Ann Mooney"/>
    <x v="0"/>
    <s v="Electronic Games"/>
    <n v="11"/>
    <x v="3"/>
    <s v="LOS ANGELES"/>
    <n v="9335"/>
    <x v="4"/>
    <x v="0"/>
    <x v="27"/>
    <x v="2"/>
    <n v="102685"/>
    <s v="Medium Bulk"/>
  </r>
  <r>
    <x v="455"/>
    <s v="James Mendoza"/>
    <x v="1"/>
    <s v="Binders"/>
    <n v="11"/>
    <x v="5"/>
    <s v="CLEVELAND"/>
    <n v="4706"/>
    <x v="4"/>
    <x v="1"/>
    <x v="36"/>
    <x v="2"/>
    <n v="51766"/>
    <s v="Medium Bulk"/>
  </r>
  <r>
    <x v="456"/>
    <s v="Kaitlin Garrison"/>
    <x v="1"/>
    <s v="Binders"/>
    <n v="11"/>
    <x v="5"/>
    <s v="COLUMBUS"/>
    <n v="4706"/>
    <x v="4"/>
    <x v="1"/>
    <x v="18"/>
    <x v="2"/>
    <n v="51766"/>
    <s v="Medium Bulk"/>
  </r>
  <r>
    <x v="455"/>
    <s v="James Mendoza"/>
    <x v="1"/>
    <s v="Markers"/>
    <n v="6"/>
    <x v="5"/>
    <s v="CLEVELAND"/>
    <n v="6584"/>
    <x v="0"/>
    <x v="4"/>
    <x v="36"/>
    <x v="2"/>
    <n v="39504"/>
    <s v="Low Bulk"/>
  </r>
  <r>
    <x v="456"/>
    <s v="Kaitlin Garrison"/>
    <x v="1"/>
    <s v="Markers"/>
    <n v="6"/>
    <x v="5"/>
    <s v="COLUMBUS"/>
    <n v="6584"/>
    <x v="0"/>
    <x v="4"/>
    <x v="18"/>
    <x v="2"/>
    <n v="39504"/>
    <s v="Low Bulk"/>
  </r>
  <r>
    <x v="19"/>
    <s v="Jeremy Jackson"/>
    <x v="2"/>
    <s v="Sofas"/>
    <n v="1"/>
    <x v="4"/>
    <s v="DALLAS"/>
    <n v="6389"/>
    <x v="2"/>
    <x v="4"/>
    <x v="12"/>
    <x v="3"/>
    <n v="6389"/>
    <s v="Normal"/>
  </r>
  <r>
    <x v="150"/>
    <s v="Dale Craig"/>
    <x v="0"/>
    <s v="Printers"/>
    <n v="12"/>
    <x v="3"/>
    <s v="SAN DIEGO"/>
    <n v="9869"/>
    <x v="1"/>
    <x v="0"/>
    <x v="45"/>
    <x v="0"/>
    <n v="118428"/>
    <s v="Medium Bulk"/>
  </r>
  <r>
    <x v="382"/>
    <s v="Joseph Hooper"/>
    <x v="0"/>
    <s v="Printers"/>
    <n v="12"/>
    <x v="2"/>
    <s v="BUFFALO"/>
    <n v="9869"/>
    <x v="1"/>
    <x v="0"/>
    <x v="16"/>
    <x v="0"/>
    <n v="118428"/>
    <s v="Medium Bulk"/>
  </r>
  <r>
    <x v="457"/>
    <s v="Alexander Adams"/>
    <x v="1"/>
    <s v="Markers"/>
    <n v="4"/>
    <x v="2"/>
    <s v="BUFFALO"/>
    <n v="655"/>
    <x v="1"/>
    <x v="2"/>
    <x v="26"/>
    <x v="3"/>
    <n v="2620"/>
    <s v="Normal"/>
  </r>
  <r>
    <x v="458"/>
    <s v="Ashlee Mills"/>
    <x v="1"/>
    <s v="Markers"/>
    <n v="4"/>
    <x v="0"/>
    <s v="ORLANDO"/>
    <n v="655"/>
    <x v="1"/>
    <x v="2"/>
    <x v="6"/>
    <x v="0"/>
    <n v="2620"/>
    <s v="Normal"/>
  </r>
  <r>
    <x v="459"/>
    <s v="Brittany Jenkins"/>
    <x v="0"/>
    <s v="Phones"/>
    <n v="10"/>
    <x v="2"/>
    <s v="BUFFALO"/>
    <n v="798"/>
    <x v="1"/>
    <x v="2"/>
    <x v="54"/>
    <x v="0"/>
    <n v="7980"/>
    <s v="Medium Bulk"/>
  </r>
  <r>
    <x v="460"/>
    <s v="Eddie Gonzales"/>
    <x v="0"/>
    <s v="Phones"/>
    <n v="10"/>
    <x v="5"/>
    <s v="CLEVELAND"/>
    <n v="798"/>
    <x v="1"/>
    <x v="2"/>
    <x v="23"/>
    <x v="0"/>
    <n v="7980"/>
    <s v="Medium Bulk"/>
  </r>
  <r>
    <x v="459"/>
    <s v="Brittany Jenkins"/>
    <x v="0"/>
    <s v="Printers"/>
    <n v="13"/>
    <x v="2"/>
    <s v="BUFFALO"/>
    <n v="7967"/>
    <x v="2"/>
    <x v="4"/>
    <x v="54"/>
    <x v="0"/>
    <n v="103571"/>
    <s v="Medium Bulk"/>
  </r>
  <r>
    <x v="460"/>
    <s v="Eddie Gonzales"/>
    <x v="0"/>
    <s v="Printers"/>
    <n v="13"/>
    <x v="5"/>
    <s v="CLEVELAND"/>
    <n v="7967"/>
    <x v="2"/>
    <x v="4"/>
    <x v="23"/>
    <x v="0"/>
    <n v="103571"/>
    <s v="Medium Bulk"/>
  </r>
  <r>
    <x v="461"/>
    <s v="Edward Valencia"/>
    <x v="2"/>
    <s v="Tables"/>
    <n v="5"/>
    <x v="0"/>
    <s v="MIAMI"/>
    <n v="3756"/>
    <x v="0"/>
    <x v="3"/>
    <x v="42"/>
    <x v="1"/>
    <n v="18780"/>
    <s v="Low Bulk"/>
  </r>
  <r>
    <x v="462"/>
    <s v="Emma Bruce"/>
    <x v="1"/>
    <s v="Markers"/>
    <n v="1"/>
    <x v="4"/>
    <s v="AUSTIN"/>
    <n v="5196"/>
    <x v="0"/>
    <x v="1"/>
    <x v="13"/>
    <x v="2"/>
    <n v="5196"/>
    <s v="Normal"/>
  </r>
  <r>
    <x v="462"/>
    <s v="Emma Bruce"/>
    <x v="2"/>
    <s v="Bookcases"/>
    <n v="19"/>
    <x v="4"/>
    <s v="AUSTIN"/>
    <n v="6586"/>
    <x v="1"/>
    <x v="4"/>
    <x v="13"/>
    <x v="2"/>
    <n v="125134"/>
    <s v="High Bulk"/>
  </r>
  <r>
    <x v="209"/>
    <s v="Carl Wade DDS"/>
    <x v="1"/>
    <s v="Markers"/>
    <n v="19"/>
    <x v="2"/>
    <s v="BUFFALO"/>
    <n v="6673"/>
    <x v="2"/>
    <x v="4"/>
    <x v="1"/>
    <x v="1"/>
    <n v="126787"/>
    <s v="High Bulk"/>
  </r>
  <r>
    <x v="463"/>
    <s v="Brandon Alvarado"/>
    <x v="2"/>
    <s v="Tables"/>
    <n v="14"/>
    <x v="5"/>
    <s v="COLUMBUS"/>
    <n v="714"/>
    <x v="0"/>
    <x v="2"/>
    <x v="54"/>
    <x v="0"/>
    <n v="9996"/>
    <s v="Medium Bulk"/>
  </r>
  <r>
    <x v="464"/>
    <s v="Jennifer Clark"/>
    <x v="2"/>
    <s v="Tables"/>
    <n v="14"/>
    <x v="4"/>
    <s v="AUSTIN"/>
    <n v="714"/>
    <x v="0"/>
    <x v="2"/>
    <x v="50"/>
    <x v="4"/>
    <n v="9996"/>
    <s v="Medium Bulk"/>
  </r>
  <r>
    <x v="465"/>
    <s v="David Johnson"/>
    <x v="1"/>
    <s v="Pens"/>
    <n v="6"/>
    <x v="4"/>
    <s v="AUSTIN"/>
    <n v="1083"/>
    <x v="4"/>
    <x v="2"/>
    <x v="51"/>
    <x v="2"/>
    <n v="6498"/>
    <s v="Low Bulk"/>
  </r>
  <r>
    <x v="230"/>
    <s v="April Marquez"/>
    <x v="2"/>
    <s v="Bookcases"/>
    <n v="10"/>
    <x v="5"/>
    <s v="CLEVELAND"/>
    <n v="2401"/>
    <x v="0"/>
    <x v="3"/>
    <x v="23"/>
    <x v="0"/>
    <n v="24010"/>
    <s v="Medium Bulk"/>
  </r>
  <r>
    <x v="466"/>
    <s v="Joseph Guerrero"/>
    <x v="2"/>
    <s v="Bookcases"/>
    <n v="10"/>
    <x v="3"/>
    <s v="LOS ANGELES"/>
    <n v="2401"/>
    <x v="0"/>
    <x v="3"/>
    <x v="32"/>
    <x v="4"/>
    <n v="24010"/>
    <s v="Medium Bulk"/>
  </r>
  <r>
    <x v="467"/>
    <s v="Michael Hanson"/>
    <x v="2"/>
    <s v="Bookcases"/>
    <n v="10"/>
    <x v="2"/>
    <s v="ROCHESTER"/>
    <n v="2401"/>
    <x v="0"/>
    <x v="3"/>
    <x v="36"/>
    <x v="2"/>
    <n v="24010"/>
    <s v="Medium Bulk"/>
  </r>
  <r>
    <x v="230"/>
    <s v="April Marquez"/>
    <x v="0"/>
    <s v="Phones"/>
    <n v="11"/>
    <x v="5"/>
    <s v="CLEVELAND"/>
    <n v="1045"/>
    <x v="1"/>
    <x v="2"/>
    <x v="23"/>
    <x v="0"/>
    <n v="11495"/>
    <s v="Medium Bulk"/>
  </r>
  <r>
    <x v="466"/>
    <s v="Joseph Guerrero"/>
    <x v="0"/>
    <s v="Phones"/>
    <n v="11"/>
    <x v="3"/>
    <s v="LOS ANGELES"/>
    <n v="1045"/>
    <x v="1"/>
    <x v="2"/>
    <x v="32"/>
    <x v="4"/>
    <n v="11495"/>
    <s v="Medium Bulk"/>
  </r>
  <r>
    <x v="467"/>
    <s v="Michael Hanson"/>
    <x v="0"/>
    <s v="Phones"/>
    <n v="11"/>
    <x v="2"/>
    <s v="ROCHESTER"/>
    <n v="1045"/>
    <x v="1"/>
    <x v="2"/>
    <x v="36"/>
    <x v="2"/>
    <n v="11495"/>
    <s v="Medium Bulk"/>
  </r>
  <r>
    <x v="468"/>
    <s v="William Hill"/>
    <x v="1"/>
    <s v="Markers"/>
    <n v="1"/>
    <x v="4"/>
    <s v="DALLAS"/>
    <n v="7806"/>
    <x v="3"/>
    <x v="4"/>
    <x v="17"/>
    <x v="0"/>
    <n v="7806"/>
    <s v="Normal"/>
  </r>
  <r>
    <x v="453"/>
    <s v="Kelsey Huber"/>
    <x v="2"/>
    <s v="Sofas"/>
    <n v="19"/>
    <x v="0"/>
    <s v="MIAMI"/>
    <n v="5263"/>
    <x v="3"/>
    <x v="1"/>
    <x v="40"/>
    <x v="3"/>
    <n v="99997"/>
    <s v="High Bulk"/>
  </r>
  <r>
    <x v="469"/>
    <s v="Hailey Chandler"/>
    <x v="1"/>
    <s v="Pens"/>
    <n v="6"/>
    <x v="4"/>
    <s v="DALLAS"/>
    <n v="6147"/>
    <x v="1"/>
    <x v="4"/>
    <x v="45"/>
    <x v="0"/>
    <n v="36882"/>
    <s v="Low Bulk"/>
  </r>
  <r>
    <x v="470"/>
    <s v="Cheyenne Rose"/>
    <x v="0"/>
    <s v="Phones"/>
    <n v="15"/>
    <x v="0"/>
    <s v="ORLANDO"/>
    <n v="7484"/>
    <x v="0"/>
    <x v="4"/>
    <x v="6"/>
    <x v="0"/>
    <n v="112260"/>
    <s v="High Bulk"/>
  </r>
  <r>
    <x v="198"/>
    <s v="Richard Petersen"/>
    <x v="0"/>
    <s v="Phones"/>
    <n v="15"/>
    <x v="1"/>
    <s v="CHICAGO"/>
    <n v="7484"/>
    <x v="0"/>
    <x v="4"/>
    <x v="44"/>
    <x v="1"/>
    <n v="112260"/>
    <s v="High Bulk"/>
  </r>
  <r>
    <x v="470"/>
    <s v="Cheyenne Rose"/>
    <x v="2"/>
    <s v="Sofas"/>
    <n v="1"/>
    <x v="0"/>
    <s v="ORLANDO"/>
    <n v="7700"/>
    <x v="3"/>
    <x v="4"/>
    <x v="6"/>
    <x v="0"/>
    <n v="7700"/>
    <s v="Normal"/>
  </r>
  <r>
    <x v="198"/>
    <s v="Richard Petersen"/>
    <x v="2"/>
    <s v="Sofas"/>
    <n v="1"/>
    <x v="1"/>
    <s v="CHICAGO"/>
    <n v="7700"/>
    <x v="3"/>
    <x v="4"/>
    <x v="44"/>
    <x v="1"/>
    <n v="7700"/>
    <s v="Normal"/>
  </r>
  <r>
    <x v="111"/>
    <s v="Kathryn Gray"/>
    <x v="1"/>
    <s v="Markers"/>
    <n v="13"/>
    <x v="2"/>
    <s v="ROCHESTER"/>
    <n v="8537"/>
    <x v="0"/>
    <x v="0"/>
    <x v="24"/>
    <x v="3"/>
    <n v="110981"/>
    <s v="Medium Bulk"/>
  </r>
  <r>
    <x v="471"/>
    <s v="Victor Collins"/>
    <x v="2"/>
    <s v="Chairs"/>
    <n v="6"/>
    <x v="3"/>
    <s v="SAN DIEGO"/>
    <n v="8858"/>
    <x v="4"/>
    <x v="0"/>
    <x v="56"/>
    <x v="1"/>
    <n v="53148"/>
    <s v="Low Bulk"/>
  </r>
  <r>
    <x v="260"/>
    <s v="Jason Hernandez"/>
    <x v="0"/>
    <s v="Printers"/>
    <n v="7"/>
    <x v="3"/>
    <s v="SAN FRANCISCO"/>
    <n v="5313"/>
    <x v="1"/>
    <x v="1"/>
    <x v="46"/>
    <x v="1"/>
    <n v="37191"/>
    <s v="Low Bulk"/>
  </r>
  <r>
    <x v="472"/>
    <s v="Jacob Torres"/>
    <x v="0"/>
    <s v="Printers"/>
    <n v="7"/>
    <x v="4"/>
    <s v="HOUSTON"/>
    <n v="5313"/>
    <x v="1"/>
    <x v="1"/>
    <x v="4"/>
    <x v="2"/>
    <n v="37191"/>
    <s v="Low Bulk"/>
  </r>
  <r>
    <x v="473"/>
    <s v="Erin Hernandez"/>
    <x v="2"/>
    <s v="Sofas"/>
    <n v="7"/>
    <x v="3"/>
    <s v="LOS ANGELES"/>
    <n v="3281"/>
    <x v="2"/>
    <x v="3"/>
    <x v="16"/>
    <x v="0"/>
    <n v="22967"/>
    <s v="Low Bulk"/>
  </r>
  <r>
    <x v="474"/>
    <s v="Jacob Guzman"/>
    <x v="2"/>
    <s v="Sofas"/>
    <n v="7"/>
    <x v="1"/>
    <s v="PEORIA"/>
    <n v="3281"/>
    <x v="2"/>
    <x v="3"/>
    <x v="0"/>
    <x v="0"/>
    <n v="22967"/>
    <s v="Low Bulk"/>
  </r>
  <r>
    <x v="475"/>
    <s v="Mike Armstrong"/>
    <x v="1"/>
    <s v="Pens"/>
    <n v="9"/>
    <x v="2"/>
    <s v="NEW YORK CITY"/>
    <n v="8681"/>
    <x v="3"/>
    <x v="0"/>
    <x v="57"/>
    <x v="4"/>
    <n v="78129"/>
    <s v="Low Bulk"/>
  </r>
  <r>
    <x v="476"/>
    <s v="Cindy Rowland"/>
    <x v="2"/>
    <s v="Sofas"/>
    <n v="18"/>
    <x v="1"/>
    <s v="SPRINGFIELD"/>
    <n v="6195"/>
    <x v="2"/>
    <x v="4"/>
    <x v="9"/>
    <x v="5"/>
    <n v="111510"/>
    <s v="High Bulk"/>
  </r>
  <r>
    <x v="477"/>
    <s v="Kenneth Matthews"/>
    <x v="2"/>
    <s v="Chairs"/>
    <n v="16"/>
    <x v="2"/>
    <s v="ROCHESTER"/>
    <n v="3877"/>
    <x v="1"/>
    <x v="3"/>
    <x v="17"/>
    <x v="0"/>
    <n v="62032"/>
    <s v="High Bulk"/>
  </r>
  <r>
    <x v="478"/>
    <s v="Susan Valdez"/>
    <x v="2"/>
    <s v="Chairs"/>
    <n v="16"/>
    <x v="2"/>
    <s v="NEW YORK CITY"/>
    <n v="3877"/>
    <x v="1"/>
    <x v="3"/>
    <x v="26"/>
    <x v="3"/>
    <n v="62032"/>
    <s v="High Bulk"/>
  </r>
  <r>
    <x v="479"/>
    <s v="Stephanie Manning"/>
    <x v="0"/>
    <s v="Printers"/>
    <n v="6"/>
    <x v="0"/>
    <s v="ORLANDO"/>
    <n v="9369"/>
    <x v="1"/>
    <x v="0"/>
    <x v="48"/>
    <x v="0"/>
    <n v="56214"/>
    <s v="Low Bulk"/>
  </r>
  <r>
    <x v="480"/>
    <s v="Logan Galloway"/>
    <x v="0"/>
    <s v="Printers"/>
    <n v="6"/>
    <x v="2"/>
    <s v="NEW YORK CITY"/>
    <n v="9369"/>
    <x v="1"/>
    <x v="0"/>
    <x v="52"/>
    <x v="5"/>
    <n v="56214"/>
    <s v="Low Bulk"/>
  </r>
  <r>
    <x v="479"/>
    <s v="Stephanie Manning"/>
    <x v="0"/>
    <s v="Printers"/>
    <n v="20"/>
    <x v="0"/>
    <s v="ORLANDO"/>
    <n v="8680"/>
    <x v="3"/>
    <x v="0"/>
    <x v="48"/>
    <x v="0"/>
    <n v="173600"/>
    <s v="High Bulk"/>
  </r>
  <r>
    <x v="480"/>
    <s v="Logan Galloway"/>
    <x v="0"/>
    <s v="Printers"/>
    <n v="20"/>
    <x v="2"/>
    <s v="NEW YORK CITY"/>
    <n v="8680"/>
    <x v="3"/>
    <x v="0"/>
    <x v="52"/>
    <x v="5"/>
    <n v="173600"/>
    <s v="High Bulk"/>
  </r>
  <r>
    <x v="479"/>
    <s v="Stephanie Manning"/>
    <x v="0"/>
    <s v="Laptops"/>
    <n v="8"/>
    <x v="0"/>
    <s v="ORLANDO"/>
    <n v="3067"/>
    <x v="0"/>
    <x v="3"/>
    <x v="48"/>
    <x v="0"/>
    <n v="24536"/>
    <s v="Low Bulk"/>
  </r>
  <r>
    <x v="480"/>
    <s v="Logan Galloway"/>
    <x v="0"/>
    <s v="Laptops"/>
    <n v="8"/>
    <x v="2"/>
    <s v="NEW YORK CITY"/>
    <n v="3067"/>
    <x v="0"/>
    <x v="3"/>
    <x v="52"/>
    <x v="5"/>
    <n v="24536"/>
    <s v="Low Bulk"/>
  </r>
  <r>
    <x v="418"/>
    <s v="Christopher Stone"/>
    <x v="1"/>
    <s v="Markers"/>
    <n v="2"/>
    <x v="5"/>
    <s v="CINCINNATI"/>
    <n v="9002"/>
    <x v="2"/>
    <x v="0"/>
    <x v="52"/>
    <x v="5"/>
    <n v="18004"/>
    <s v="Normal"/>
  </r>
  <r>
    <x v="481"/>
    <s v="Megan Pitts"/>
    <x v="1"/>
    <s v="Markers"/>
    <n v="2"/>
    <x v="5"/>
    <s v="COLUMBUS"/>
    <n v="9002"/>
    <x v="2"/>
    <x v="0"/>
    <x v="34"/>
    <x v="2"/>
    <n v="18004"/>
    <s v="Normal"/>
  </r>
  <r>
    <x v="482"/>
    <s v="Richard Gardner"/>
    <x v="1"/>
    <s v="Pens"/>
    <n v="19"/>
    <x v="5"/>
    <s v="COLUMBUS"/>
    <n v="7105"/>
    <x v="4"/>
    <x v="4"/>
    <x v="13"/>
    <x v="2"/>
    <n v="134995"/>
    <s v="High Bulk"/>
  </r>
  <r>
    <x v="17"/>
    <s v="Samuel Moore"/>
    <x v="2"/>
    <s v="Chairs"/>
    <n v="18"/>
    <x v="5"/>
    <s v="COLUMBUS"/>
    <n v="5317"/>
    <x v="1"/>
    <x v="1"/>
    <x v="14"/>
    <x v="0"/>
    <n v="95706"/>
    <s v="High Bulk"/>
  </r>
  <r>
    <x v="135"/>
    <s v="Robert Stokes"/>
    <x v="2"/>
    <s v="Chairs"/>
    <n v="18"/>
    <x v="0"/>
    <s v="ORLANDO"/>
    <n v="5317"/>
    <x v="1"/>
    <x v="1"/>
    <x v="28"/>
    <x v="0"/>
    <n v="95706"/>
    <s v="High Bulk"/>
  </r>
  <r>
    <x v="483"/>
    <s v="Danielle Ramirez"/>
    <x v="2"/>
    <s v="Chairs"/>
    <n v="18"/>
    <x v="3"/>
    <s v="SAN FRANCISCO"/>
    <n v="5317"/>
    <x v="1"/>
    <x v="1"/>
    <x v="46"/>
    <x v="1"/>
    <n v="95706"/>
    <s v="High Bulk"/>
  </r>
  <r>
    <x v="17"/>
    <s v="Samuel Moore"/>
    <x v="2"/>
    <s v="Tables"/>
    <n v="14"/>
    <x v="5"/>
    <s v="COLUMBUS"/>
    <n v="6304"/>
    <x v="2"/>
    <x v="4"/>
    <x v="14"/>
    <x v="0"/>
    <n v="88256"/>
    <s v="Medium Bulk"/>
  </r>
  <r>
    <x v="135"/>
    <s v="Robert Stokes"/>
    <x v="2"/>
    <s v="Tables"/>
    <n v="14"/>
    <x v="0"/>
    <s v="ORLANDO"/>
    <n v="6304"/>
    <x v="2"/>
    <x v="4"/>
    <x v="28"/>
    <x v="0"/>
    <n v="88256"/>
    <s v="Medium Bulk"/>
  </r>
  <r>
    <x v="483"/>
    <s v="Danielle Ramirez"/>
    <x v="2"/>
    <s v="Tables"/>
    <n v="14"/>
    <x v="3"/>
    <s v="SAN FRANCISCO"/>
    <n v="6304"/>
    <x v="2"/>
    <x v="4"/>
    <x v="46"/>
    <x v="1"/>
    <n v="88256"/>
    <s v="Medium Bulk"/>
  </r>
  <r>
    <x v="71"/>
    <s v="Taylor White"/>
    <x v="1"/>
    <s v="Paper"/>
    <n v="3"/>
    <x v="1"/>
    <s v="SPRINGFIELD"/>
    <n v="9565"/>
    <x v="1"/>
    <x v="0"/>
    <x v="41"/>
    <x v="1"/>
    <n v="28695"/>
    <s v="Normal"/>
  </r>
  <r>
    <x v="71"/>
    <s v="Taylor White"/>
    <x v="1"/>
    <s v="Paper"/>
    <n v="11"/>
    <x v="1"/>
    <s v="SPRINGFIELD"/>
    <n v="8245"/>
    <x v="2"/>
    <x v="0"/>
    <x v="41"/>
    <x v="1"/>
    <n v="90695"/>
    <s v="Medium Bulk"/>
  </r>
  <r>
    <x v="138"/>
    <s v="Jordan Krause"/>
    <x v="0"/>
    <s v="Laptops"/>
    <n v="13"/>
    <x v="5"/>
    <s v="CLEVELAND"/>
    <n v="1592"/>
    <x v="1"/>
    <x v="2"/>
    <x v="12"/>
    <x v="3"/>
    <n v="20696"/>
    <s v="Medium Bulk"/>
  </r>
  <r>
    <x v="484"/>
    <s v="Kimberly King"/>
    <x v="0"/>
    <s v="Phones"/>
    <n v="5"/>
    <x v="5"/>
    <s v="COLUMBUS"/>
    <n v="8400"/>
    <x v="1"/>
    <x v="0"/>
    <x v="56"/>
    <x v="1"/>
    <n v="42000"/>
    <s v="Low Bulk"/>
  </r>
  <r>
    <x v="484"/>
    <s v="Kimberly King"/>
    <x v="1"/>
    <s v="Paper"/>
    <n v="15"/>
    <x v="5"/>
    <s v="COLUMBUS"/>
    <n v="4963"/>
    <x v="2"/>
    <x v="1"/>
    <x v="56"/>
    <x v="1"/>
    <n v="74445"/>
    <s v="High Bulk"/>
  </r>
  <r>
    <x v="317"/>
    <s v="Sharon Russell"/>
    <x v="0"/>
    <s v="Printers"/>
    <n v="5"/>
    <x v="3"/>
    <s v="SAN DIEGO"/>
    <n v="2472"/>
    <x v="4"/>
    <x v="3"/>
    <x v="53"/>
    <x v="4"/>
    <n v="12360"/>
    <s v="Low Bulk"/>
  </r>
  <r>
    <x v="20"/>
    <s v="Kevin Cooper"/>
    <x v="2"/>
    <s v="Chairs"/>
    <n v="14"/>
    <x v="0"/>
    <s v="TAMPA"/>
    <n v="9132"/>
    <x v="1"/>
    <x v="0"/>
    <x v="16"/>
    <x v="0"/>
    <n v="127848"/>
    <s v="Medium Bulk"/>
  </r>
  <r>
    <x v="485"/>
    <s v="Darrell Ramos"/>
    <x v="1"/>
    <s v="Binders"/>
    <n v="6"/>
    <x v="2"/>
    <s v="ROCHESTER"/>
    <n v="8305"/>
    <x v="1"/>
    <x v="0"/>
    <x v="50"/>
    <x v="4"/>
    <n v="49830"/>
    <s v="Low Bulk"/>
  </r>
  <r>
    <x v="486"/>
    <s v="Dr. Terry Alvarado"/>
    <x v="0"/>
    <s v="Electronic Games"/>
    <n v="19"/>
    <x v="0"/>
    <s v="TAMPA"/>
    <n v="1010"/>
    <x v="4"/>
    <x v="2"/>
    <x v="30"/>
    <x v="5"/>
    <n v="19190"/>
    <s v="High Bulk"/>
  </r>
  <r>
    <x v="357"/>
    <s v="Kathy Wilson"/>
    <x v="0"/>
    <s v="Phones"/>
    <n v="9"/>
    <x v="4"/>
    <s v="DALLAS"/>
    <n v="4544"/>
    <x v="2"/>
    <x v="1"/>
    <x v="19"/>
    <x v="1"/>
    <n v="40896"/>
    <s v="Low Bulk"/>
  </r>
  <r>
    <x v="357"/>
    <s v="Kathy Wilson"/>
    <x v="0"/>
    <s v="Phones"/>
    <n v="20"/>
    <x v="4"/>
    <s v="DALLAS"/>
    <n v="5900"/>
    <x v="0"/>
    <x v="1"/>
    <x v="19"/>
    <x v="1"/>
    <n v="118000"/>
    <s v="High Bulk"/>
  </r>
  <r>
    <x v="416"/>
    <s v="Brandon Le"/>
    <x v="1"/>
    <s v="Markers"/>
    <n v="19"/>
    <x v="3"/>
    <s v="SAN DIEGO"/>
    <n v="8861"/>
    <x v="3"/>
    <x v="0"/>
    <x v="18"/>
    <x v="2"/>
    <n v="168359"/>
    <s v="High Bulk"/>
  </r>
  <r>
    <x v="487"/>
    <s v="Mary Wright"/>
    <x v="0"/>
    <s v="Phones"/>
    <n v="13"/>
    <x v="5"/>
    <s v="CINCINNATI"/>
    <n v="8158"/>
    <x v="1"/>
    <x v="0"/>
    <x v="57"/>
    <x v="4"/>
    <n v="106054"/>
    <s v="Medium Bulk"/>
  </r>
  <r>
    <x v="488"/>
    <s v="Douglas Reynolds"/>
    <x v="1"/>
    <s v="Pens"/>
    <n v="14"/>
    <x v="3"/>
    <s v="LOS ANGELES"/>
    <n v="3411"/>
    <x v="0"/>
    <x v="3"/>
    <x v="52"/>
    <x v="5"/>
    <n v="47754"/>
    <s v="Medium Bulk"/>
  </r>
  <r>
    <x v="489"/>
    <s v="Leroy Harris"/>
    <x v="1"/>
    <s v="Markers"/>
    <n v="16"/>
    <x v="4"/>
    <s v="HOUSTON"/>
    <n v="9406"/>
    <x v="0"/>
    <x v="0"/>
    <x v="4"/>
    <x v="2"/>
    <n v="150496"/>
    <s v="High Bulk"/>
  </r>
  <r>
    <x v="489"/>
    <s v="Leroy Harris"/>
    <x v="0"/>
    <s v="Printers"/>
    <n v="15"/>
    <x v="4"/>
    <s v="HOUSTON"/>
    <n v="1156"/>
    <x v="2"/>
    <x v="2"/>
    <x v="4"/>
    <x v="2"/>
    <n v="17340"/>
    <s v="High Bulk"/>
  </r>
  <r>
    <x v="490"/>
    <s v="Ricardo Dixon"/>
    <x v="2"/>
    <s v="Bookcases"/>
    <n v="10"/>
    <x v="1"/>
    <s v="SPRINGFIELD"/>
    <n v="5354"/>
    <x v="0"/>
    <x v="1"/>
    <x v="4"/>
    <x v="2"/>
    <n v="53540"/>
    <s v="Medium Bulk"/>
  </r>
  <r>
    <x v="491"/>
    <s v="Debra Smith"/>
    <x v="0"/>
    <s v="Electronic Games"/>
    <n v="4"/>
    <x v="4"/>
    <s v="AUSTIN"/>
    <n v="8780"/>
    <x v="3"/>
    <x v="0"/>
    <x v="41"/>
    <x v="1"/>
    <n v="35120"/>
    <s v="Normal"/>
  </r>
  <r>
    <x v="492"/>
    <s v="Jasmine James"/>
    <x v="0"/>
    <s v="Electronic Games"/>
    <n v="4"/>
    <x v="4"/>
    <s v="AUSTIN"/>
    <n v="8780"/>
    <x v="3"/>
    <x v="0"/>
    <x v="17"/>
    <x v="0"/>
    <n v="35120"/>
    <s v="Normal"/>
  </r>
  <r>
    <x v="493"/>
    <s v="Felicia Morton"/>
    <x v="2"/>
    <s v="Sofas"/>
    <n v="8"/>
    <x v="5"/>
    <s v="COLUMBUS"/>
    <n v="6783"/>
    <x v="1"/>
    <x v="4"/>
    <x v="32"/>
    <x v="4"/>
    <n v="54264"/>
    <s v="Low Bulk"/>
  </r>
  <r>
    <x v="494"/>
    <s v="Sylvia Jenkins"/>
    <x v="1"/>
    <s v="Pens"/>
    <n v="4"/>
    <x v="2"/>
    <s v="NEW YORK CITY"/>
    <n v="1778"/>
    <x v="3"/>
    <x v="2"/>
    <x v="60"/>
    <x v="4"/>
    <n v="7112"/>
    <s v="Normal"/>
  </r>
  <r>
    <x v="52"/>
    <s v="Elizabeth White"/>
    <x v="0"/>
    <s v="Printers"/>
    <n v="12"/>
    <x v="2"/>
    <s v="ROCHESTER"/>
    <n v="9399"/>
    <x v="0"/>
    <x v="0"/>
    <x v="37"/>
    <x v="3"/>
    <n v="112788"/>
    <s v="Medium Bulk"/>
  </r>
  <r>
    <x v="52"/>
    <s v="Elizabeth White"/>
    <x v="2"/>
    <s v="Sofas"/>
    <n v="4"/>
    <x v="2"/>
    <s v="ROCHESTER"/>
    <n v="7957"/>
    <x v="3"/>
    <x v="4"/>
    <x v="37"/>
    <x v="3"/>
    <n v="31828"/>
    <s v="Normal"/>
  </r>
  <r>
    <x v="495"/>
    <s v="Steven Steele"/>
    <x v="2"/>
    <s v="Chairs"/>
    <n v="13"/>
    <x v="1"/>
    <s v="SPRINGFIELD"/>
    <n v="1638"/>
    <x v="2"/>
    <x v="2"/>
    <x v="6"/>
    <x v="0"/>
    <n v="21294"/>
    <s v="Medium Bulk"/>
  </r>
  <r>
    <x v="51"/>
    <s v="Amanda Ramirez"/>
    <x v="2"/>
    <s v="Tables"/>
    <n v="4"/>
    <x v="4"/>
    <s v="DALLAS"/>
    <n v="1786"/>
    <x v="4"/>
    <x v="2"/>
    <x v="36"/>
    <x v="2"/>
    <n v="7144"/>
    <s v="Normal"/>
  </r>
  <r>
    <x v="496"/>
    <s v="Kyle Jackson"/>
    <x v="1"/>
    <s v="Paper"/>
    <n v="9"/>
    <x v="2"/>
    <s v="BUFFALO"/>
    <n v="4751"/>
    <x v="2"/>
    <x v="1"/>
    <x v="17"/>
    <x v="0"/>
    <n v="42759"/>
    <s v="Low Bulk"/>
  </r>
  <r>
    <x v="497"/>
    <s v="Sharon Wilkins"/>
    <x v="1"/>
    <s v="Paper"/>
    <n v="4"/>
    <x v="1"/>
    <s v="CHICAGO"/>
    <n v="8979"/>
    <x v="3"/>
    <x v="0"/>
    <x v="38"/>
    <x v="4"/>
    <n v="35916"/>
    <s v="Normal"/>
  </r>
  <r>
    <x v="498"/>
    <s v="Austin Hammond"/>
    <x v="0"/>
    <s v="Phones"/>
    <n v="8"/>
    <x v="0"/>
    <s v="MIAMI"/>
    <n v="2727"/>
    <x v="3"/>
    <x v="3"/>
    <x v="5"/>
    <x v="3"/>
    <n v="21816"/>
    <s v="Low Bulk"/>
  </r>
  <r>
    <x v="499"/>
    <s v="Jessica Barajas"/>
    <x v="0"/>
    <s v="Printers"/>
    <n v="17"/>
    <x v="1"/>
    <s v="PEORIA"/>
    <n v="1093"/>
    <x v="3"/>
    <x v="2"/>
    <x v="55"/>
    <x v="1"/>
    <n v="18581"/>
    <s v="High Bulk"/>
  </r>
  <r>
    <x v="500"/>
    <s v="Jamie Jimenez"/>
    <x v="0"/>
    <s v="Printers"/>
    <n v="17"/>
    <x v="2"/>
    <s v="BUFFALO"/>
    <n v="1093"/>
    <x v="3"/>
    <x v="2"/>
    <x v="31"/>
    <x v="1"/>
    <n v="18581"/>
    <s v="High Bulk"/>
  </r>
  <r>
    <x v="501"/>
    <s v="James Carter"/>
    <x v="0"/>
    <s v="Printers"/>
    <n v="17"/>
    <x v="5"/>
    <s v="COLUMBUS"/>
    <n v="1093"/>
    <x v="3"/>
    <x v="2"/>
    <x v="26"/>
    <x v="3"/>
    <n v="18581"/>
    <s v="High Bulk"/>
  </r>
  <r>
    <x v="499"/>
    <s v="Jessica Barajas"/>
    <x v="1"/>
    <s v="Paper"/>
    <n v="11"/>
    <x v="1"/>
    <s v="PEORIA"/>
    <n v="2636"/>
    <x v="1"/>
    <x v="3"/>
    <x v="55"/>
    <x v="1"/>
    <n v="28996"/>
    <s v="Medium Bulk"/>
  </r>
  <r>
    <x v="500"/>
    <s v="Jamie Jimenez"/>
    <x v="1"/>
    <s v="Paper"/>
    <n v="11"/>
    <x v="2"/>
    <s v="BUFFALO"/>
    <n v="2636"/>
    <x v="1"/>
    <x v="3"/>
    <x v="31"/>
    <x v="1"/>
    <n v="28996"/>
    <s v="Medium Bulk"/>
  </r>
  <r>
    <x v="501"/>
    <s v="James Carter"/>
    <x v="1"/>
    <s v="Paper"/>
    <n v="11"/>
    <x v="5"/>
    <s v="COLUMBUS"/>
    <n v="2636"/>
    <x v="1"/>
    <x v="3"/>
    <x v="26"/>
    <x v="3"/>
    <n v="28996"/>
    <s v="Medium Bulk"/>
  </r>
  <r>
    <x v="502"/>
    <s v="John Williams"/>
    <x v="0"/>
    <s v="Electronic Games"/>
    <n v="7"/>
    <x v="0"/>
    <s v="MIAMI"/>
    <n v="7344"/>
    <x v="1"/>
    <x v="4"/>
    <x v="26"/>
    <x v="3"/>
    <n v="51408"/>
    <s v="Low Bulk"/>
  </r>
  <r>
    <x v="502"/>
    <s v="John Williams"/>
    <x v="1"/>
    <s v="Paper"/>
    <n v="3"/>
    <x v="0"/>
    <s v="MIAMI"/>
    <n v="7306"/>
    <x v="4"/>
    <x v="4"/>
    <x v="26"/>
    <x v="3"/>
    <n v="21918"/>
    <s v="Normal"/>
  </r>
  <r>
    <x v="502"/>
    <s v="John Williams"/>
    <x v="0"/>
    <s v="Printers"/>
    <n v="10"/>
    <x v="0"/>
    <s v="MIAMI"/>
    <n v="5832"/>
    <x v="4"/>
    <x v="1"/>
    <x v="26"/>
    <x v="3"/>
    <n v="58320"/>
    <s v="Medium Bulk"/>
  </r>
  <r>
    <x v="416"/>
    <s v="Alicia Oneill"/>
    <x v="2"/>
    <s v="Tables"/>
    <n v="8"/>
    <x v="1"/>
    <s v="SPRINGFIELD"/>
    <n v="8572"/>
    <x v="2"/>
    <x v="0"/>
    <x v="18"/>
    <x v="2"/>
    <n v="68576"/>
    <s v="Low Bulk"/>
  </r>
  <r>
    <x v="503"/>
    <s v="Rebecca Huff"/>
    <x v="2"/>
    <s v="Tables"/>
    <n v="8"/>
    <x v="1"/>
    <s v="SPRINGFIELD"/>
    <n v="8572"/>
    <x v="2"/>
    <x v="0"/>
    <x v="17"/>
    <x v="0"/>
    <n v="68576"/>
    <s v="Low Bulk"/>
  </r>
  <r>
    <x v="504"/>
    <s v="Diana Scott"/>
    <x v="2"/>
    <s v="Tables"/>
    <n v="8"/>
    <x v="3"/>
    <s v="SAN DIEGO"/>
    <n v="8572"/>
    <x v="2"/>
    <x v="0"/>
    <x v="20"/>
    <x v="4"/>
    <n v="68576"/>
    <s v="Low Bulk"/>
  </r>
  <r>
    <x v="416"/>
    <s v="Alicia Oneill"/>
    <x v="0"/>
    <s v="Printers"/>
    <n v="10"/>
    <x v="1"/>
    <s v="SPRINGFIELD"/>
    <n v="8059"/>
    <x v="3"/>
    <x v="0"/>
    <x v="18"/>
    <x v="2"/>
    <n v="80590"/>
    <s v="Medium Bulk"/>
  </r>
  <r>
    <x v="503"/>
    <s v="Rebecca Huff"/>
    <x v="0"/>
    <s v="Printers"/>
    <n v="10"/>
    <x v="1"/>
    <s v="SPRINGFIELD"/>
    <n v="8059"/>
    <x v="3"/>
    <x v="0"/>
    <x v="17"/>
    <x v="0"/>
    <n v="80590"/>
    <s v="Medium Bulk"/>
  </r>
  <r>
    <x v="504"/>
    <s v="Diana Scott"/>
    <x v="0"/>
    <s v="Printers"/>
    <n v="10"/>
    <x v="3"/>
    <s v="SAN DIEGO"/>
    <n v="8059"/>
    <x v="3"/>
    <x v="0"/>
    <x v="20"/>
    <x v="4"/>
    <n v="80590"/>
    <s v="Medium Bulk"/>
  </r>
  <r>
    <x v="505"/>
    <s v="Brian Young"/>
    <x v="2"/>
    <s v="Sofas"/>
    <n v="13"/>
    <x v="4"/>
    <s v="AUSTIN"/>
    <n v="3661"/>
    <x v="2"/>
    <x v="3"/>
    <x v="54"/>
    <x v="0"/>
    <n v="47593"/>
    <s v="Medium Bulk"/>
  </r>
  <r>
    <x v="506"/>
    <s v="Susan Wright"/>
    <x v="1"/>
    <s v="Paper"/>
    <n v="8"/>
    <x v="3"/>
    <s v="LOS ANGELES"/>
    <n v="2451"/>
    <x v="2"/>
    <x v="3"/>
    <x v="43"/>
    <x v="2"/>
    <n v="19608"/>
    <s v="Low Bulk"/>
  </r>
  <r>
    <x v="50"/>
    <s v="Kayla Banks"/>
    <x v="1"/>
    <s v="Paper"/>
    <n v="8"/>
    <x v="5"/>
    <s v="CINCINNATI"/>
    <n v="2451"/>
    <x v="2"/>
    <x v="3"/>
    <x v="35"/>
    <x v="2"/>
    <n v="19608"/>
    <s v="Low Bulk"/>
  </r>
  <r>
    <x v="507"/>
    <s v="Zachary Pierce"/>
    <x v="1"/>
    <s v="Paper"/>
    <n v="8"/>
    <x v="4"/>
    <s v="HOUSTON"/>
    <n v="2451"/>
    <x v="2"/>
    <x v="3"/>
    <x v="41"/>
    <x v="1"/>
    <n v="19608"/>
    <s v="Low Bulk"/>
  </r>
  <r>
    <x v="508"/>
    <s v="Nicolas Owen"/>
    <x v="2"/>
    <s v="Tables"/>
    <n v="16"/>
    <x v="3"/>
    <s v="SAN FRANCISCO"/>
    <n v="7067"/>
    <x v="3"/>
    <x v="4"/>
    <x v="25"/>
    <x v="3"/>
    <n v="113072"/>
    <s v="High Bulk"/>
  </r>
  <r>
    <x v="509"/>
    <s v="Martha Carney"/>
    <x v="0"/>
    <s v="Electronic Games"/>
    <n v="3"/>
    <x v="2"/>
    <s v="NEW YORK CITY"/>
    <n v="4307"/>
    <x v="0"/>
    <x v="1"/>
    <x v="55"/>
    <x v="1"/>
    <n v="12921"/>
    <s v="Normal"/>
  </r>
  <r>
    <x v="448"/>
    <s v="Francisco Hicks"/>
    <x v="0"/>
    <s v="Electronic Games"/>
    <n v="3"/>
    <x v="1"/>
    <s v="SPRINGFIELD"/>
    <n v="4307"/>
    <x v="0"/>
    <x v="1"/>
    <x v="11"/>
    <x v="4"/>
    <n v="12921"/>
    <s v="Normal"/>
  </r>
  <r>
    <x v="509"/>
    <s v="Martha Carney"/>
    <x v="2"/>
    <s v="Chairs"/>
    <n v="5"/>
    <x v="2"/>
    <s v="NEW YORK CITY"/>
    <n v="5694"/>
    <x v="2"/>
    <x v="1"/>
    <x v="55"/>
    <x v="1"/>
    <n v="28470"/>
    <s v="Low Bulk"/>
  </r>
  <r>
    <x v="448"/>
    <s v="Francisco Hicks"/>
    <x v="2"/>
    <s v="Chairs"/>
    <n v="5"/>
    <x v="1"/>
    <s v="SPRINGFIELD"/>
    <n v="5694"/>
    <x v="2"/>
    <x v="1"/>
    <x v="11"/>
    <x v="4"/>
    <n v="28470"/>
    <s v="Low Bulk"/>
  </r>
  <r>
    <x v="510"/>
    <s v="Matthew Parker"/>
    <x v="1"/>
    <s v="Binders"/>
    <n v="18"/>
    <x v="1"/>
    <s v="SPRINGFIELD"/>
    <n v="962"/>
    <x v="3"/>
    <x v="2"/>
    <x v="58"/>
    <x v="3"/>
    <n v="17316"/>
    <s v="High Bulk"/>
  </r>
  <r>
    <x v="511"/>
    <s v="Paul Bryant"/>
    <x v="2"/>
    <s v="Bookcases"/>
    <n v="14"/>
    <x v="2"/>
    <s v="BUFFALO"/>
    <n v="2995"/>
    <x v="3"/>
    <x v="3"/>
    <x v="31"/>
    <x v="1"/>
    <n v="41930"/>
    <s v="Medium Bulk"/>
  </r>
  <r>
    <x v="511"/>
    <s v="Paul Bryant"/>
    <x v="1"/>
    <s v="Markers"/>
    <n v="5"/>
    <x v="2"/>
    <s v="BUFFALO"/>
    <n v="2047"/>
    <x v="1"/>
    <x v="3"/>
    <x v="31"/>
    <x v="1"/>
    <n v="10235"/>
    <s v="Low Bulk"/>
  </r>
  <r>
    <x v="512"/>
    <s v="Bruce Dennis"/>
    <x v="0"/>
    <s v="Laptops"/>
    <n v="6"/>
    <x v="4"/>
    <s v="AUSTIN"/>
    <n v="2078"/>
    <x v="4"/>
    <x v="3"/>
    <x v="12"/>
    <x v="3"/>
    <n v="12468"/>
    <s v="Low Bulk"/>
  </r>
  <r>
    <x v="513"/>
    <s v="Joseph Bates"/>
    <x v="0"/>
    <s v="Printers"/>
    <n v="3"/>
    <x v="2"/>
    <s v="NEW YORK CITY"/>
    <n v="2737"/>
    <x v="2"/>
    <x v="3"/>
    <x v="27"/>
    <x v="2"/>
    <n v="8211"/>
    <s v="Normal"/>
  </r>
  <r>
    <x v="196"/>
    <s v="Kelly Pacheco"/>
    <x v="1"/>
    <s v="Paper"/>
    <n v="6"/>
    <x v="4"/>
    <s v="HOUSTON"/>
    <n v="8194"/>
    <x v="1"/>
    <x v="0"/>
    <x v="2"/>
    <x v="2"/>
    <n v="49164"/>
    <s v="Low Bulk"/>
  </r>
  <r>
    <x v="514"/>
    <s v="Jeffrey Weber"/>
    <x v="2"/>
    <s v="Sofas"/>
    <n v="16"/>
    <x v="2"/>
    <s v="BUFFALO"/>
    <n v="9914"/>
    <x v="3"/>
    <x v="0"/>
    <x v="33"/>
    <x v="3"/>
    <n v="158624"/>
    <s v="High Bulk"/>
  </r>
  <r>
    <x v="515"/>
    <s v="Andrew Krueger"/>
    <x v="2"/>
    <s v="Sofas"/>
    <n v="16"/>
    <x v="2"/>
    <s v="ROCHESTER"/>
    <n v="9914"/>
    <x v="3"/>
    <x v="0"/>
    <x v="47"/>
    <x v="1"/>
    <n v="158624"/>
    <s v="High Bulk"/>
  </r>
  <r>
    <x v="514"/>
    <s v="Jeffrey Weber"/>
    <x v="1"/>
    <s v="Pens"/>
    <n v="7"/>
    <x v="2"/>
    <s v="BUFFALO"/>
    <n v="5470"/>
    <x v="1"/>
    <x v="1"/>
    <x v="33"/>
    <x v="3"/>
    <n v="38290"/>
    <s v="Low Bulk"/>
  </r>
  <r>
    <x v="515"/>
    <s v="Andrew Krueger"/>
    <x v="1"/>
    <s v="Pens"/>
    <n v="7"/>
    <x v="2"/>
    <s v="ROCHESTER"/>
    <n v="5470"/>
    <x v="1"/>
    <x v="1"/>
    <x v="47"/>
    <x v="1"/>
    <n v="38290"/>
    <s v="Low Bulk"/>
  </r>
  <r>
    <x v="514"/>
    <s v="Jeffrey Weber"/>
    <x v="2"/>
    <s v="Bookcases"/>
    <n v="17"/>
    <x v="2"/>
    <s v="BUFFALO"/>
    <n v="1496"/>
    <x v="0"/>
    <x v="2"/>
    <x v="33"/>
    <x v="3"/>
    <n v="25432"/>
    <s v="High Bulk"/>
  </r>
  <r>
    <x v="515"/>
    <s v="Andrew Krueger"/>
    <x v="2"/>
    <s v="Bookcases"/>
    <n v="17"/>
    <x v="2"/>
    <s v="ROCHESTER"/>
    <n v="1496"/>
    <x v="0"/>
    <x v="2"/>
    <x v="47"/>
    <x v="1"/>
    <n v="25432"/>
    <s v="High Bulk"/>
  </r>
  <r>
    <x v="516"/>
    <s v="Kathleen Cox"/>
    <x v="1"/>
    <s v="Paper"/>
    <n v="9"/>
    <x v="2"/>
    <s v="NEW YORK CITY"/>
    <n v="3228"/>
    <x v="4"/>
    <x v="3"/>
    <x v="24"/>
    <x v="3"/>
    <n v="29052"/>
    <s v="Low Bulk"/>
  </r>
  <r>
    <x v="517"/>
    <s v="Jamie Bradley"/>
    <x v="0"/>
    <s v="Laptops"/>
    <n v="8"/>
    <x v="3"/>
    <s v="SAN DIEGO"/>
    <n v="3918"/>
    <x v="3"/>
    <x v="3"/>
    <x v="23"/>
    <x v="0"/>
    <n v="31344"/>
    <s v="Low Bulk"/>
  </r>
  <r>
    <x v="222"/>
    <s v="Robert Martinez"/>
    <x v="0"/>
    <s v="Laptops"/>
    <n v="8"/>
    <x v="4"/>
    <s v="HOUSTON"/>
    <n v="3918"/>
    <x v="3"/>
    <x v="3"/>
    <x v="8"/>
    <x v="4"/>
    <n v="31344"/>
    <s v="Low Bulk"/>
  </r>
  <r>
    <x v="518"/>
    <s v="Christopher Rogers"/>
    <x v="2"/>
    <s v="Sofas"/>
    <n v="15"/>
    <x v="1"/>
    <s v="CHICAGO"/>
    <n v="9921"/>
    <x v="2"/>
    <x v="0"/>
    <x v="27"/>
    <x v="2"/>
    <n v="148815"/>
    <s v="High Bulk"/>
  </r>
  <r>
    <x v="519"/>
    <s v="Roberto Parrish"/>
    <x v="2"/>
    <s v="Chairs"/>
    <n v="1"/>
    <x v="1"/>
    <s v="SPRINGFIELD"/>
    <n v="9694"/>
    <x v="2"/>
    <x v="0"/>
    <x v="6"/>
    <x v="0"/>
    <n v="9694"/>
    <s v="Normal"/>
  </r>
  <r>
    <x v="8"/>
    <s v="Amber Kennedy"/>
    <x v="1"/>
    <s v="Paper"/>
    <n v="13"/>
    <x v="0"/>
    <s v="TAMPA"/>
    <n v="5028"/>
    <x v="2"/>
    <x v="1"/>
    <x v="8"/>
    <x v="4"/>
    <n v="65364"/>
    <s v="Medium Bulk"/>
  </r>
  <r>
    <x v="520"/>
    <s v="Maria Davis"/>
    <x v="1"/>
    <s v="Paper"/>
    <n v="19"/>
    <x v="2"/>
    <s v="BUFFALO"/>
    <n v="594"/>
    <x v="1"/>
    <x v="2"/>
    <x v="48"/>
    <x v="0"/>
    <n v="11286"/>
    <s v="High Bulk"/>
  </r>
  <r>
    <x v="521"/>
    <s v="Terry Gilbert"/>
    <x v="1"/>
    <s v="Paper"/>
    <n v="19"/>
    <x v="0"/>
    <s v="MIAMI"/>
    <n v="594"/>
    <x v="1"/>
    <x v="2"/>
    <x v="10"/>
    <x v="1"/>
    <n v="11286"/>
    <s v="High Bulk"/>
  </r>
  <r>
    <x v="522"/>
    <s v="Devon Schmitt"/>
    <x v="1"/>
    <s v="Paper"/>
    <n v="19"/>
    <x v="4"/>
    <s v="AUSTIN"/>
    <n v="594"/>
    <x v="1"/>
    <x v="2"/>
    <x v="3"/>
    <x v="1"/>
    <n v="11286"/>
    <s v="High Bulk"/>
  </r>
  <r>
    <x v="244"/>
    <s v="Robert Mosley"/>
    <x v="2"/>
    <s v="Tables"/>
    <n v="11"/>
    <x v="5"/>
    <s v="CINCINNATI"/>
    <n v="5954"/>
    <x v="4"/>
    <x v="1"/>
    <x v="55"/>
    <x v="1"/>
    <n v="65494"/>
    <s v="Medium Bulk"/>
  </r>
  <r>
    <x v="523"/>
    <s v="Paul Scott"/>
    <x v="2"/>
    <s v="Bookcases"/>
    <n v="3"/>
    <x v="3"/>
    <s v="SAN FRANCISCO"/>
    <n v="3518"/>
    <x v="0"/>
    <x v="3"/>
    <x v="57"/>
    <x v="4"/>
    <n v="10554"/>
    <s v="Normal"/>
  </r>
  <r>
    <x v="523"/>
    <s v="Paul Scott"/>
    <x v="0"/>
    <s v="Laptops"/>
    <n v="8"/>
    <x v="3"/>
    <s v="SAN FRANCISCO"/>
    <n v="4157"/>
    <x v="2"/>
    <x v="1"/>
    <x v="57"/>
    <x v="4"/>
    <n v="33256"/>
    <s v="Low Bulk"/>
  </r>
  <r>
    <x v="524"/>
    <s v="Kristin Alvarez"/>
    <x v="1"/>
    <s v="Markers"/>
    <n v="5"/>
    <x v="1"/>
    <s v="SPRINGFIELD"/>
    <n v="3747"/>
    <x v="3"/>
    <x v="3"/>
    <x v="60"/>
    <x v="4"/>
    <n v="18735"/>
    <s v="Low Bulk"/>
  </r>
  <r>
    <x v="174"/>
    <s v="Kevin Jackson"/>
    <x v="1"/>
    <s v="Markers"/>
    <n v="5"/>
    <x v="2"/>
    <s v="BUFFALO"/>
    <n v="3747"/>
    <x v="3"/>
    <x v="3"/>
    <x v="29"/>
    <x v="3"/>
    <n v="18735"/>
    <s v="Low Bulk"/>
  </r>
  <r>
    <x v="499"/>
    <s v="Mrs. Lauren Potter DDS"/>
    <x v="1"/>
    <s v="Markers"/>
    <n v="5"/>
    <x v="5"/>
    <s v="COLUMBUS"/>
    <n v="3747"/>
    <x v="3"/>
    <x v="3"/>
    <x v="55"/>
    <x v="1"/>
    <n v="18735"/>
    <s v="Low Bulk"/>
  </r>
  <r>
    <x v="525"/>
    <s v="Jason Brown"/>
    <x v="1"/>
    <s v="Markers"/>
    <n v="5"/>
    <x v="1"/>
    <s v="CHICAGO"/>
    <n v="3747"/>
    <x v="3"/>
    <x v="3"/>
    <x v="14"/>
    <x v="0"/>
    <n v="18735"/>
    <s v="Low Bulk"/>
  </r>
  <r>
    <x v="526"/>
    <s v="Jamie Santos"/>
    <x v="1"/>
    <s v="Markers"/>
    <n v="5"/>
    <x v="3"/>
    <s v="LOS ANGELES"/>
    <n v="3747"/>
    <x v="3"/>
    <x v="3"/>
    <x v="2"/>
    <x v="2"/>
    <n v="18735"/>
    <s v="Low Bulk"/>
  </r>
  <r>
    <x v="524"/>
    <s v="Kristin Alvarez"/>
    <x v="1"/>
    <s v="Binders"/>
    <n v="4"/>
    <x v="1"/>
    <s v="SPRINGFIELD"/>
    <n v="3194"/>
    <x v="0"/>
    <x v="3"/>
    <x v="60"/>
    <x v="4"/>
    <n v="12776"/>
    <s v="Normal"/>
  </r>
  <r>
    <x v="174"/>
    <s v="Kevin Jackson"/>
    <x v="1"/>
    <s v="Binders"/>
    <n v="4"/>
    <x v="2"/>
    <s v="BUFFALO"/>
    <n v="3194"/>
    <x v="0"/>
    <x v="3"/>
    <x v="29"/>
    <x v="3"/>
    <n v="12776"/>
    <s v="Normal"/>
  </r>
  <r>
    <x v="499"/>
    <s v="Mrs. Lauren Potter DDS"/>
    <x v="1"/>
    <s v="Binders"/>
    <n v="4"/>
    <x v="5"/>
    <s v="COLUMBUS"/>
    <n v="3194"/>
    <x v="0"/>
    <x v="3"/>
    <x v="55"/>
    <x v="1"/>
    <n v="12776"/>
    <s v="Normal"/>
  </r>
  <r>
    <x v="525"/>
    <s v="Jason Brown"/>
    <x v="1"/>
    <s v="Binders"/>
    <n v="4"/>
    <x v="1"/>
    <s v="CHICAGO"/>
    <n v="3194"/>
    <x v="0"/>
    <x v="3"/>
    <x v="14"/>
    <x v="0"/>
    <n v="12776"/>
    <s v="Normal"/>
  </r>
  <r>
    <x v="526"/>
    <s v="Jamie Santos"/>
    <x v="1"/>
    <s v="Binders"/>
    <n v="4"/>
    <x v="3"/>
    <s v="LOS ANGELES"/>
    <n v="3194"/>
    <x v="0"/>
    <x v="3"/>
    <x v="2"/>
    <x v="2"/>
    <n v="12776"/>
    <s v="Normal"/>
  </r>
  <r>
    <x v="18"/>
    <s v="James Taylor"/>
    <x v="1"/>
    <s v="Binders"/>
    <n v="1"/>
    <x v="0"/>
    <s v="TAMPA"/>
    <n v="8548"/>
    <x v="4"/>
    <x v="0"/>
    <x v="15"/>
    <x v="3"/>
    <n v="8548"/>
    <s v="Normal"/>
  </r>
  <r>
    <x v="527"/>
    <s v="Alicia Vincent"/>
    <x v="2"/>
    <s v="Tables"/>
    <n v="19"/>
    <x v="5"/>
    <s v="CINCINNATI"/>
    <n v="6089"/>
    <x v="1"/>
    <x v="4"/>
    <x v="50"/>
    <x v="4"/>
    <n v="115691"/>
    <s v="High Bulk"/>
  </r>
  <r>
    <x v="67"/>
    <s v="Kenneth Adams"/>
    <x v="2"/>
    <s v="Tables"/>
    <n v="19"/>
    <x v="5"/>
    <s v="CLEVELAND"/>
    <n v="6089"/>
    <x v="1"/>
    <x v="4"/>
    <x v="39"/>
    <x v="3"/>
    <n v="115691"/>
    <s v="High Bulk"/>
  </r>
  <r>
    <x v="528"/>
    <s v="Shelby Browning"/>
    <x v="2"/>
    <s v="Tables"/>
    <n v="19"/>
    <x v="1"/>
    <s v="CHICAGO"/>
    <n v="6089"/>
    <x v="1"/>
    <x v="4"/>
    <x v="28"/>
    <x v="0"/>
    <n v="115691"/>
    <s v="High Bulk"/>
  </r>
  <r>
    <x v="527"/>
    <s v="Alicia Vincent"/>
    <x v="2"/>
    <s v="Tables"/>
    <n v="16"/>
    <x v="5"/>
    <s v="CINCINNATI"/>
    <n v="2586"/>
    <x v="0"/>
    <x v="3"/>
    <x v="50"/>
    <x v="4"/>
    <n v="41376"/>
    <s v="High Bulk"/>
  </r>
  <r>
    <x v="67"/>
    <s v="Kenneth Adams"/>
    <x v="2"/>
    <s v="Tables"/>
    <n v="16"/>
    <x v="5"/>
    <s v="CLEVELAND"/>
    <n v="2586"/>
    <x v="0"/>
    <x v="3"/>
    <x v="39"/>
    <x v="3"/>
    <n v="41376"/>
    <s v="High Bulk"/>
  </r>
  <r>
    <x v="528"/>
    <s v="Shelby Browning"/>
    <x v="2"/>
    <s v="Tables"/>
    <n v="16"/>
    <x v="1"/>
    <s v="CHICAGO"/>
    <n v="2586"/>
    <x v="0"/>
    <x v="3"/>
    <x v="28"/>
    <x v="0"/>
    <n v="41376"/>
    <s v="High Bulk"/>
  </r>
  <r>
    <x v="527"/>
    <s v="Alicia Vincent"/>
    <x v="1"/>
    <s v="Paper"/>
    <n v="9"/>
    <x v="5"/>
    <s v="CINCINNATI"/>
    <n v="3757"/>
    <x v="0"/>
    <x v="3"/>
    <x v="50"/>
    <x v="4"/>
    <n v="33813"/>
    <s v="Low Bulk"/>
  </r>
  <r>
    <x v="67"/>
    <s v="Kenneth Adams"/>
    <x v="1"/>
    <s v="Paper"/>
    <n v="9"/>
    <x v="5"/>
    <s v="CLEVELAND"/>
    <n v="3757"/>
    <x v="0"/>
    <x v="3"/>
    <x v="39"/>
    <x v="3"/>
    <n v="33813"/>
    <s v="Low Bulk"/>
  </r>
  <r>
    <x v="528"/>
    <s v="Shelby Browning"/>
    <x v="1"/>
    <s v="Paper"/>
    <n v="9"/>
    <x v="1"/>
    <s v="CHICAGO"/>
    <n v="3757"/>
    <x v="0"/>
    <x v="3"/>
    <x v="28"/>
    <x v="0"/>
    <n v="33813"/>
    <s v="Low Bulk"/>
  </r>
  <r>
    <x v="472"/>
    <s v="Johnny Hill"/>
    <x v="2"/>
    <s v="Sofas"/>
    <n v="5"/>
    <x v="3"/>
    <s v="SAN DIEGO"/>
    <n v="5193"/>
    <x v="1"/>
    <x v="1"/>
    <x v="4"/>
    <x v="2"/>
    <n v="25965"/>
    <s v="Low Bulk"/>
  </r>
  <r>
    <x v="529"/>
    <s v="Nicholas Tucker"/>
    <x v="2"/>
    <s v="Sofas"/>
    <n v="5"/>
    <x v="0"/>
    <s v="MIAMI"/>
    <n v="5193"/>
    <x v="1"/>
    <x v="1"/>
    <x v="1"/>
    <x v="1"/>
    <n v="25965"/>
    <s v="Low Bulk"/>
  </r>
  <r>
    <x v="530"/>
    <s v="Theresa Cline"/>
    <x v="0"/>
    <s v="Electronic Games"/>
    <n v="3"/>
    <x v="5"/>
    <s v="CLEVELAND"/>
    <n v="7493"/>
    <x v="0"/>
    <x v="4"/>
    <x v="38"/>
    <x v="4"/>
    <n v="22479"/>
    <s v="Normal"/>
  </r>
  <r>
    <x v="531"/>
    <s v="Christine Wheeler"/>
    <x v="1"/>
    <s v="Markers"/>
    <n v="6"/>
    <x v="0"/>
    <s v="TAMPA"/>
    <n v="2062"/>
    <x v="3"/>
    <x v="3"/>
    <x v="55"/>
    <x v="1"/>
    <n v="12372"/>
    <s v="Low Bulk"/>
  </r>
  <r>
    <x v="384"/>
    <s v="Carlos Wells"/>
    <x v="0"/>
    <s v="Phones"/>
    <n v="1"/>
    <x v="3"/>
    <s v="SAN DIEGO"/>
    <n v="7163"/>
    <x v="2"/>
    <x v="4"/>
    <x v="59"/>
    <x v="0"/>
    <n v="7163"/>
    <s v="Normal"/>
  </r>
  <r>
    <x v="532"/>
    <s v="Randall Bell"/>
    <x v="0"/>
    <s v="Phones"/>
    <n v="6"/>
    <x v="2"/>
    <s v="NEW YORK CITY"/>
    <n v="4026"/>
    <x v="4"/>
    <x v="1"/>
    <x v="17"/>
    <x v="0"/>
    <n v="24156"/>
    <s v="Low Bulk"/>
  </r>
  <r>
    <x v="533"/>
    <s v="Kendra Mckinney"/>
    <x v="2"/>
    <s v="Chairs"/>
    <n v="5"/>
    <x v="0"/>
    <s v="MIAMI"/>
    <n v="1894"/>
    <x v="3"/>
    <x v="2"/>
    <x v="35"/>
    <x v="2"/>
    <n v="9470"/>
    <s v="Low Bulk"/>
  </r>
  <r>
    <x v="533"/>
    <s v="Kendra Mckinney"/>
    <x v="0"/>
    <s v="Electronic Games"/>
    <n v="13"/>
    <x v="0"/>
    <s v="MIAMI"/>
    <n v="7144"/>
    <x v="3"/>
    <x v="4"/>
    <x v="35"/>
    <x v="2"/>
    <n v="92872"/>
    <s v="Medium Bulk"/>
  </r>
  <r>
    <x v="534"/>
    <s v="Amanda Kim"/>
    <x v="0"/>
    <s v="Laptops"/>
    <n v="15"/>
    <x v="5"/>
    <s v="COLUMBUS"/>
    <n v="3482"/>
    <x v="1"/>
    <x v="3"/>
    <x v="57"/>
    <x v="4"/>
    <n v="52230"/>
    <s v="High Bulk"/>
  </r>
  <r>
    <x v="535"/>
    <s v="Megan Morgan"/>
    <x v="1"/>
    <s v="Paper"/>
    <n v="5"/>
    <x v="5"/>
    <s v="CLEVELAND"/>
    <n v="4172"/>
    <x v="2"/>
    <x v="1"/>
    <x v="22"/>
    <x v="2"/>
    <n v="20860"/>
    <s v="Low Bulk"/>
  </r>
  <r>
    <x v="536"/>
    <s v="Vincent Kramer"/>
    <x v="1"/>
    <s v="Paper"/>
    <n v="5"/>
    <x v="0"/>
    <s v="ORLANDO"/>
    <n v="4172"/>
    <x v="2"/>
    <x v="1"/>
    <x v="40"/>
    <x v="3"/>
    <n v="20860"/>
    <s v="Low Bulk"/>
  </r>
  <r>
    <x v="198"/>
    <s v="Raymond Bean"/>
    <x v="1"/>
    <s v="Paper"/>
    <n v="5"/>
    <x v="1"/>
    <s v="SPRINGFIELD"/>
    <n v="4172"/>
    <x v="2"/>
    <x v="1"/>
    <x v="44"/>
    <x v="1"/>
    <n v="20860"/>
    <s v="Low Bulk"/>
  </r>
  <r>
    <x v="157"/>
    <s v="Reginald Hebert"/>
    <x v="2"/>
    <s v="Sofas"/>
    <n v="8"/>
    <x v="5"/>
    <s v="CINCINNATI"/>
    <n v="6265"/>
    <x v="4"/>
    <x v="4"/>
    <x v="40"/>
    <x v="3"/>
    <n v="50120"/>
    <s v="Low Bulk"/>
  </r>
  <r>
    <x v="537"/>
    <s v="Jeremy Vazquez"/>
    <x v="2"/>
    <s v="Sofas"/>
    <n v="8"/>
    <x v="5"/>
    <s v="CLEVELAND"/>
    <n v="6265"/>
    <x v="4"/>
    <x v="4"/>
    <x v="34"/>
    <x v="2"/>
    <n v="50120"/>
    <s v="Low Bulk"/>
  </r>
  <r>
    <x v="538"/>
    <s v="Michael Stewart"/>
    <x v="0"/>
    <s v="Electronic Games"/>
    <n v="7"/>
    <x v="1"/>
    <s v="PEORIA"/>
    <n v="2931"/>
    <x v="3"/>
    <x v="3"/>
    <x v="47"/>
    <x v="1"/>
    <n v="20517"/>
    <s v="Low Bulk"/>
  </r>
  <r>
    <x v="539"/>
    <s v="Kevin Johnson"/>
    <x v="0"/>
    <s v="Electronic Games"/>
    <n v="7"/>
    <x v="0"/>
    <s v="TAMPA"/>
    <n v="2931"/>
    <x v="3"/>
    <x v="3"/>
    <x v="16"/>
    <x v="0"/>
    <n v="20517"/>
    <s v="Low Bulk"/>
  </r>
  <r>
    <x v="540"/>
    <s v="Tara Hughes"/>
    <x v="2"/>
    <s v="Chairs"/>
    <n v="9"/>
    <x v="0"/>
    <s v="TAMPA"/>
    <n v="1146"/>
    <x v="1"/>
    <x v="2"/>
    <x v="46"/>
    <x v="1"/>
    <n v="10314"/>
    <s v="Low Bulk"/>
  </r>
  <r>
    <x v="541"/>
    <s v="Sandra Perkins"/>
    <x v="0"/>
    <s v="Printers"/>
    <n v="13"/>
    <x v="0"/>
    <s v="TAMPA"/>
    <n v="9215"/>
    <x v="4"/>
    <x v="0"/>
    <x v="12"/>
    <x v="3"/>
    <n v="119795"/>
    <s v="Medium Bulk"/>
  </r>
  <r>
    <x v="542"/>
    <s v="Heather Bell"/>
    <x v="0"/>
    <s v="Printers"/>
    <n v="13"/>
    <x v="3"/>
    <s v="SAN FRANCISCO"/>
    <n v="9215"/>
    <x v="4"/>
    <x v="0"/>
    <x v="35"/>
    <x v="2"/>
    <n v="119795"/>
    <s v="Medium Bulk"/>
  </r>
  <r>
    <x v="543"/>
    <s v="Nancy Boyd"/>
    <x v="2"/>
    <s v="Chairs"/>
    <n v="1"/>
    <x v="5"/>
    <s v="CINCINNATI"/>
    <n v="7895"/>
    <x v="3"/>
    <x v="4"/>
    <x v="59"/>
    <x v="0"/>
    <n v="7895"/>
    <s v="Normal"/>
  </r>
  <r>
    <x v="544"/>
    <s v="Raymond Reyes"/>
    <x v="2"/>
    <s v="Chairs"/>
    <n v="1"/>
    <x v="3"/>
    <s v="SAN DIEGO"/>
    <n v="7895"/>
    <x v="3"/>
    <x v="4"/>
    <x v="30"/>
    <x v="5"/>
    <n v="7895"/>
    <s v="Normal"/>
  </r>
  <r>
    <x v="543"/>
    <s v="Nancy Boyd"/>
    <x v="1"/>
    <s v="Pens"/>
    <n v="8"/>
    <x v="5"/>
    <s v="CINCINNATI"/>
    <n v="2740"/>
    <x v="0"/>
    <x v="3"/>
    <x v="59"/>
    <x v="0"/>
    <n v="21920"/>
    <s v="Low Bulk"/>
  </r>
  <r>
    <x v="544"/>
    <s v="Raymond Reyes"/>
    <x v="1"/>
    <s v="Pens"/>
    <n v="8"/>
    <x v="3"/>
    <s v="SAN DIEGO"/>
    <n v="2740"/>
    <x v="0"/>
    <x v="3"/>
    <x v="30"/>
    <x v="5"/>
    <n v="21920"/>
    <s v="Low Bulk"/>
  </r>
  <r>
    <x v="545"/>
    <s v="Cassandra Jordan"/>
    <x v="1"/>
    <s v="Markers"/>
    <n v="16"/>
    <x v="1"/>
    <s v="PEORIA"/>
    <n v="5338"/>
    <x v="0"/>
    <x v="1"/>
    <x v="19"/>
    <x v="1"/>
    <n v="85408"/>
    <s v="High Bulk"/>
  </r>
  <r>
    <x v="546"/>
    <s v="Evelyn Harris"/>
    <x v="1"/>
    <s v="Markers"/>
    <n v="16"/>
    <x v="2"/>
    <s v="BUFFALO"/>
    <n v="5338"/>
    <x v="0"/>
    <x v="1"/>
    <x v="0"/>
    <x v="0"/>
    <n v="85408"/>
    <s v="High Bulk"/>
  </r>
  <r>
    <x v="408"/>
    <s v="Shannon Maynard"/>
    <x v="1"/>
    <s v="Markers"/>
    <n v="16"/>
    <x v="0"/>
    <s v="ORLANDO"/>
    <n v="5338"/>
    <x v="0"/>
    <x v="1"/>
    <x v="56"/>
    <x v="1"/>
    <n v="85408"/>
    <s v="High Bulk"/>
  </r>
  <r>
    <x v="547"/>
    <s v="Marie James"/>
    <x v="1"/>
    <s v="Markers"/>
    <n v="16"/>
    <x v="2"/>
    <s v="BUFFALO"/>
    <n v="5338"/>
    <x v="0"/>
    <x v="1"/>
    <x v="49"/>
    <x v="2"/>
    <n v="85408"/>
    <s v="High Bulk"/>
  </r>
  <r>
    <x v="55"/>
    <s v="Maria Carroll"/>
    <x v="1"/>
    <s v="Pens"/>
    <n v="2"/>
    <x v="5"/>
    <s v="CLEVELAND"/>
    <n v="3095"/>
    <x v="2"/>
    <x v="3"/>
    <x v="39"/>
    <x v="3"/>
    <n v="6190"/>
    <s v="Normal"/>
  </r>
  <r>
    <x v="98"/>
    <s v="Jessica Sloan"/>
    <x v="1"/>
    <s v="Pens"/>
    <n v="2"/>
    <x v="4"/>
    <s v="AUSTIN"/>
    <n v="3095"/>
    <x v="2"/>
    <x v="3"/>
    <x v="40"/>
    <x v="3"/>
    <n v="6190"/>
    <s v="Normal"/>
  </r>
  <r>
    <x v="166"/>
    <s v="Scott Craig"/>
    <x v="0"/>
    <s v="Printers"/>
    <n v="13"/>
    <x v="1"/>
    <s v="PEORIA"/>
    <n v="6017"/>
    <x v="1"/>
    <x v="4"/>
    <x v="21"/>
    <x v="0"/>
    <n v="78221"/>
    <s v="Medium Bulk"/>
  </r>
  <r>
    <x v="395"/>
    <s v="Kaitlin Brown"/>
    <x v="1"/>
    <s v="Pens"/>
    <n v="2"/>
    <x v="4"/>
    <s v="DALLAS"/>
    <n v="4904"/>
    <x v="1"/>
    <x v="1"/>
    <x v="32"/>
    <x v="4"/>
    <n v="9808"/>
    <s v="Normal"/>
  </r>
  <r>
    <x v="395"/>
    <s v="Kaitlin Brown"/>
    <x v="1"/>
    <s v="Binders"/>
    <n v="6"/>
    <x v="4"/>
    <s v="DALLAS"/>
    <n v="3080"/>
    <x v="0"/>
    <x v="3"/>
    <x v="32"/>
    <x v="4"/>
    <n v="18480"/>
    <s v="Low Bulk"/>
  </r>
  <r>
    <x v="548"/>
    <s v="William Beck"/>
    <x v="0"/>
    <s v="Phones"/>
    <n v="2"/>
    <x v="0"/>
    <s v="TAMPA"/>
    <n v="1992"/>
    <x v="4"/>
    <x v="2"/>
    <x v="1"/>
    <x v="1"/>
    <n v="3984"/>
    <s v="Normal"/>
  </r>
  <r>
    <x v="549"/>
    <s v="Eric Mason"/>
    <x v="2"/>
    <s v="Sofas"/>
    <n v="17"/>
    <x v="0"/>
    <s v="ORLANDO"/>
    <n v="5346"/>
    <x v="2"/>
    <x v="1"/>
    <x v="58"/>
    <x v="3"/>
    <n v="90882"/>
    <s v="High Bulk"/>
  </r>
  <r>
    <x v="550"/>
    <s v="Lisa Lowe"/>
    <x v="2"/>
    <s v="Sofas"/>
    <n v="17"/>
    <x v="0"/>
    <s v="MIAMI"/>
    <n v="5346"/>
    <x v="2"/>
    <x v="1"/>
    <x v="37"/>
    <x v="3"/>
    <n v="90882"/>
    <s v="High Bulk"/>
  </r>
  <r>
    <x v="98"/>
    <s v="Roy Miller"/>
    <x v="0"/>
    <s v="Printers"/>
    <n v="18"/>
    <x v="3"/>
    <s v="SAN FRANCISCO"/>
    <n v="8422"/>
    <x v="1"/>
    <x v="0"/>
    <x v="40"/>
    <x v="3"/>
    <n v="151596"/>
    <s v="High Bulk"/>
  </r>
  <r>
    <x v="126"/>
    <s v="Christopher Espinoza"/>
    <x v="0"/>
    <s v="Printers"/>
    <n v="18"/>
    <x v="5"/>
    <s v="COLUMBUS"/>
    <n v="8422"/>
    <x v="1"/>
    <x v="0"/>
    <x v="40"/>
    <x v="3"/>
    <n v="151596"/>
    <s v="High Bulk"/>
  </r>
  <r>
    <x v="98"/>
    <s v="Roy Miller"/>
    <x v="2"/>
    <s v="Bookcases"/>
    <n v="8"/>
    <x v="3"/>
    <s v="SAN FRANCISCO"/>
    <n v="6105"/>
    <x v="3"/>
    <x v="4"/>
    <x v="40"/>
    <x v="3"/>
    <n v="48840"/>
    <s v="Low Bulk"/>
  </r>
  <r>
    <x v="126"/>
    <s v="Christopher Espinoza"/>
    <x v="2"/>
    <s v="Bookcases"/>
    <n v="8"/>
    <x v="5"/>
    <s v="COLUMBUS"/>
    <n v="6105"/>
    <x v="3"/>
    <x v="4"/>
    <x v="40"/>
    <x v="3"/>
    <n v="48840"/>
    <s v="Low Bulk"/>
  </r>
  <r>
    <x v="27"/>
    <s v="Claire Cole"/>
    <x v="1"/>
    <s v="Pens"/>
    <n v="9"/>
    <x v="4"/>
    <s v="HOUSTON"/>
    <n v="670"/>
    <x v="2"/>
    <x v="2"/>
    <x v="21"/>
    <x v="0"/>
    <n v="6030"/>
    <s v="Low Bulk"/>
  </r>
  <r>
    <x v="551"/>
    <s v="Eric Nunez"/>
    <x v="0"/>
    <s v="Laptops"/>
    <n v="6"/>
    <x v="3"/>
    <s v="SAN DIEGO"/>
    <n v="4057"/>
    <x v="3"/>
    <x v="1"/>
    <x v="24"/>
    <x v="3"/>
    <n v="24342"/>
    <s v="Low Bulk"/>
  </r>
  <r>
    <x v="552"/>
    <s v="David Bell"/>
    <x v="1"/>
    <s v="Pens"/>
    <n v="10"/>
    <x v="3"/>
    <s v="LOS ANGELES"/>
    <n v="8178"/>
    <x v="0"/>
    <x v="0"/>
    <x v="21"/>
    <x v="0"/>
    <n v="81780"/>
    <s v="Medium Bulk"/>
  </r>
  <r>
    <x v="553"/>
    <s v="Patrick Hensley MD"/>
    <x v="2"/>
    <s v="Tables"/>
    <n v="9"/>
    <x v="5"/>
    <s v="CINCINNATI"/>
    <n v="8752"/>
    <x v="1"/>
    <x v="0"/>
    <x v="50"/>
    <x v="4"/>
    <n v="78768"/>
    <s v="Low Bulk"/>
  </r>
  <r>
    <x v="554"/>
    <s v="John Cox"/>
    <x v="2"/>
    <s v="Tables"/>
    <n v="9"/>
    <x v="1"/>
    <s v="PEORIA"/>
    <n v="8752"/>
    <x v="1"/>
    <x v="0"/>
    <x v="48"/>
    <x v="0"/>
    <n v="78768"/>
    <s v="Low Bulk"/>
  </r>
  <r>
    <x v="555"/>
    <s v="Michelle Sullivan"/>
    <x v="2"/>
    <s v="Tables"/>
    <n v="9"/>
    <x v="1"/>
    <s v="CHICAGO"/>
    <n v="8752"/>
    <x v="1"/>
    <x v="0"/>
    <x v="12"/>
    <x v="3"/>
    <n v="78768"/>
    <s v="Low Bulk"/>
  </r>
  <r>
    <x v="556"/>
    <s v="Angela Todd"/>
    <x v="0"/>
    <s v="Printers"/>
    <n v="16"/>
    <x v="2"/>
    <s v="NEW YORK CITY"/>
    <n v="8974"/>
    <x v="2"/>
    <x v="0"/>
    <x v="0"/>
    <x v="0"/>
    <n v="143584"/>
    <s v="High Bulk"/>
  </r>
  <r>
    <x v="557"/>
    <s v="Luke Saunders"/>
    <x v="0"/>
    <s v="Phones"/>
    <n v="16"/>
    <x v="4"/>
    <s v="DALLAS"/>
    <n v="9090"/>
    <x v="3"/>
    <x v="0"/>
    <x v="27"/>
    <x v="2"/>
    <n v="145440"/>
    <s v="High Bulk"/>
  </r>
  <r>
    <x v="558"/>
    <s v="Dr. Jennifer Benton DVM"/>
    <x v="0"/>
    <s v="Phones"/>
    <n v="16"/>
    <x v="1"/>
    <s v="SPRINGFIELD"/>
    <n v="9090"/>
    <x v="3"/>
    <x v="0"/>
    <x v="3"/>
    <x v="1"/>
    <n v="145440"/>
    <s v="High Bulk"/>
  </r>
  <r>
    <x v="557"/>
    <s v="Luke Saunders"/>
    <x v="0"/>
    <s v="Electronic Games"/>
    <n v="11"/>
    <x v="4"/>
    <s v="DALLAS"/>
    <n v="851"/>
    <x v="3"/>
    <x v="2"/>
    <x v="27"/>
    <x v="2"/>
    <n v="9361"/>
    <s v="Medium Bulk"/>
  </r>
  <r>
    <x v="558"/>
    <s v="Dr. Jennifer Benton DVM"/>
    <x v="0"/>
    <s v="Electronic Games"/>
    <n v="11"/>
    <x v="1"/>
    <s v="SPRINGFIELD"/>
    <n v="851"/>
    <x v="3"/>
    <x v="2"/>
    <x v="3"/>
    <x v="1"/>
    <n v="9361"/>
    <s v="Medium Bulk"/>
  </r>
  <r>
    <x v="559"/>
    <s v="Keith Smith"/>
    <x v="0"/>
    <s v="Phones"/>
    <n v="3"/>
    <x v="0"/>
    <s v="MIAMI"/>
    <n v="5427"/>
    <x v="0"/>
    <x v="1"/>
    <x v="45"/>
    <x v="0"/>
    <n v="16281"/>
    <s v="Normal"/>
  </r>
  <r>
    <x v="560"/>
    <s v="Danielle Mitchell"/>
    <x v="2"/>
    <s v="Bookcases"/>
    <n v="15"/>
    <x v="1"/>
    <s v="PEORIA"/>
    <n v="2695"/>
    <x v="1"/>
    <x v="3"/>
    <x v="58"/>
    <x v="3"/>
    <n v="40425"/>
    <s v="High Bulk"/>
  </r>
  <r>
    <x v="561"/>
    <s v="Jesus Hernandez"/>
    <x v="2"/>
    <s v="Bookcases"/>
    <n v="15"/>
    <x v="3"/>
    <s v="LOS ANGELES"/>
    <n v="2695"/>
    <x v="1"/>
    <x v="3"/>
    <x v="22"/>
    <x v="2"/>
    <n v="40425"/>
    <s v="High Bulk"/>
  </r>
  <r>
    <x v="562"/>
    <s v="Jason Norman"/>
    <x v="1"/>
    <s v="Pens"/>
    <n v="3"/>
    <x v="0"/>
    <s v="MIAMI"/>
    <n v="2386"/>
    <x v="4"/>
    <x v="3"/>
    <x v="42"/>
    <x v="1"/>
    <n v="7158"/>
    <s v="Normal"/>
  </r>
  <r>
    <x v="563"/>
    <s v="Laura Poole"/>
    <x v="1"/>
    <s v="Pens"/>
    <n v="20"/>
    <x v="2"/>
    <s v="ROCHESTER"/>
    <n v="2284"/>
    <x v="1"/>
    <x v="3"/>
    <x v="36"/>
    <x v="2"/>
    <n v="45680"/>
    <s v="High Bulk"/>
  </r>
  <r>
    <x v="564"/>
    <s v="Sarah Wagner"/>
    <x v="0"/>
    <s v="Phones"/>
    <n v="8"/>
    <x v="4"/>
    <s v="HOUSTON"/>
    <n v="6034"/>
    <x v="2"/>
    <x v="4"/>
    <x v="37"/>
    <x v="3"/>
    <n v="48272"/>
    <s v="Low Bulk"/>
  </r>
  <r>
    <x v="564"/>
    <s v="Sarah Wagner"/>
    <x v="2"/>
    <s v="Bookcases"/>
    <n v="13"/>
    <x v="4"/>
    <s v="HOUSTON"/>
    <n v="8956"/>
    <x v="3"/>
    <x v="0"/>
    <x v="37"/>
    <x v="3"/>
    <n v="116428"/>
    <s v="Medium Bulk"/>
  </r>
  <r>
    <x v="565"/>
    <s v="Bryan Baird"/>
    <x v="1"/>
    <s v="Markers"/>
    <n v="7"/>
    <x v="1"/>
    <s v="PEORIA"/>
    <n v="7122"/>
    <x v="2"/>
    <x v="4"/>
    <x v="55"/>
    <x v="1"/>
    <n v="49854"/>
    <s v="Low Bulk"/>
  </r>
  <r>
    <x v="566"/>
    <s v="Amy Thompson"/>
    <x v="1"/>
    <s v="Markers"/>
    <n v="5"/>
    <x v="5"/>
    <s v="CINCINNATI"/>
    <n v="9775"/>
    <x v="0"/>
    <x v="0"/>
    <x v="60"/>
    <x v="4"/>
    <n v="48875"/>
    <s v="Low Bulk"/>
  </r>
  <r>
    <x v="567"/>
    <s v="Ashley Wright"/>
    <x v="2"/>
    <s v="Bookcases"/>
    <n v="13"/>
    <x v="5"/>
    <s v="CLEVELAND"/>
    <n v="3309"/>
    <x v="2"/>
    <x v="3"/>
    <x v="50"/>
    <x v="4"/>
    <n v="43017"/>
    <s v="Medium Bulk"/>
  </r>
  <r>
    <x v="303"/>
    <s v="Michelle Lynch"/>
    <x v="0"/>
    <s v="Electronic Games"/>
    <n v="14"/>
    <x v="1"/>
    <s v="SPRINGFIELD"/>
    <n v="4163"/>
    <x v="4"/>
    <x v="1"/>
    <x v="40"/>
    <x v="3"/>
    <n v="58282"/>
    <s v="Medium Bulk"/>
  </r>
  <r>
    <x v="568"/>
    <s v="Ryan Hale"/>
    <x v="0"/>
    <s v="Electronic Games"/>
    <n v="14"/>
    <x v="5"/>
    <s v="CLEVELAND"/>
    <n v="4163"/>
    <x v="4"/>
    <x v="1"/>
    <x v="9"/>
    <x v="5"/>
    <n v="58282"/>
    <s v="Medium Bulk"/>
  </r>
  <r>
    <x v="569"/>
    <s v="Marie Jefferson"/>
    <x v="0"/>
    <s v="Electronic Games"/>
    <n v="14"/>
    <x v="0"/>
    <s v="ORLANDO"/>
    <n v="4163"/>
    <x v="4"/>
    <x v="1"/>
    <x v="22"/>
    <x v="2"/>
    <n v="58282"/>
    <s v="Medium Bulk"/>
  </r>
  <r>
    <x v="570"/>
    <s v="Vanessa Smith"/>
    <x v="2"/>
    <s v="Sofas"/>
    <n v="7"/>
    <x v="4"/>
    <s v="HOUSTON"/>
    <n v="5518"/>
    <x v="0"/>
    <x v="1"/>
    <x v="29"/>
    <x v="3"/>
    <n v="38626"/>
    <s v="Low Bulk"/>
  </r>
  <r>
    <x v="571"/>
    <s v="Ryan Foster"/>
    <x v="0"/>
    <s v="Phones"/>
    <n v="6"/>
    <x v="5"/>
    <s v="COLUMBUS"/>
    <n v="7566"/>
    <x v="1"/>
    <x v="4"/>
    <x v="52"/>
    <x v="5"/>
    <n v="45396"/>
    <s v="Low Bulk"/>
  </r>
  <r>
    <x v="572"/>
    <s v="David Lara"/>
    <x v="0"/>
    <s v="Phones"/>
    <n v="6"/>
    <x v="3"/>
    <s v="SAN DIEGO"/>
    <n v="7566"/>
    <x v="1"/>
    <x v="4"/>
    <x v="9"/>
    <x v="5"/>
    <n v="45396"/>
    <s v="Low Bulk"/>
  </r>
  <r>
    <x v="573"/>
    <s v="Jonathan Young"/>
    <x v="0"/>
    <s v="Printers"/>
    <n v="11"/>
    <x v="1"/>
    <s v="SPRINGFIELD"/>
    <n v="762"/>
    <x v="4"/>
    <x v="2"/>
    <x v="54"/>
    <x v="0"/>
    <n v="8382"/>
    <s v="Medium Bulk"/>
  </r>
  <r>
    <x v="574"/>
    <s v="Debra Townsend"/>
    <x v="0"/>
    <s v="Laptops"/>
    <n v="6"/>
    <x v="5"/>
    <s v="CINCINNATI"/>
    <n v="3316"/>
    <x v="4"/>
    <x v="3"/>
    <x v="20"/>
    <x v="4"/>
    <n v="19896"/>
    <s v="Low Bulk"/>
  </r>
  <r>
    <x v="249"/>
    <s v="John Thomas"/>
    <x v="2"/>
    <s v="Bookcases"/>
    <n v="9"/>
    <x v="3"/>
    <s v="SAN FRANCISCO"/>
    <n v="5994"/>
    <x v="2"/>
    <x v="1"/>
    <x v="23"/>
    <x v="0"/>
    <n v="53946"/>
    <s v="Low Bulk"/>
  </r>
  <r>
    <x v="575"/>
    <s v="Bryan Anderson"/>
    <x v="2"/>
    <s v="Bookcases"/>
    <n v="9"/>
    <x v="3"/>
    <s v="LOS ANGELES"/>
    <n v="5994"/>
    <x v="2"/>
    <x v="1"/>
    <x v="55"/>
    <x v="1"/>
    <n v="53946"/>
    <s v="Low Bulk"/>
  </r>
  <r>
    <x v="147"/>
    <s v="Sarah Miller"/>
    <x v="2"/>
    <s v="Bookcases"/>
    <n v="9"/>
    <x v="2"/>
    <s v="NEW YORK CITY"/>
    <n v="5994"/>
    <x v="2"/>
    <x v="1"/>
    <x v="55"/>
    <x v="1"/>
    <n v="53946"/>
    <s v="Low Bulk"/>
  </r>
  <r>
    <x v="576"/>
    <s v="Robert Hill"/>
    <x v="0"/>
    <s v="Laptops"/>
    <n v="19"/>
    <x v="5"/>
    <s v="COLUMBUS"/>
    <n v="3854"/>
    <x v="4"/>
    <x v="3"/>
    <x v="37"/>
    <x v="3"/>
    <n v="73226"/>
    <s v="High Bulk"/>
  </r>
  <r>
    <x v="107"/>
    <s v="Joshua Rojas"/>
    <x v="1"/>
    <s v="Markers"/>
    <n v="15"/>
    <x v="0"/>
    <s v="MIAMI"/>
    <n v="7019"/>
    <x v="0"/>
    <x v="4"/>
    <x v="50"/>
    <x v="4"/>
    <n v="105285"/>
    <s v="High Bulk"/>
  </r>
  <r>
    <x v="577"/>
    <s v="Angelica Lewis"/>
    <x v="0"/>
    <s v="Laptops"/>
    <n v="14"/>
    <x v="2"/>
    <s v="NEW YORK CITY"/>
    <n v="5954"/>
    <x v="3"/>
    <x v="1"/>
    <x v="36"/>
    <x v="2"/>
    <n v="83356"/>
    <s v="Medium Bulk"/>
  </r>
  <r>
    <x v="402"/>
    <s v="Jessica Russell"/>
    <x v="0"/>
    <s v="Laptops"/>
    <n v="14"/>
    <x v="4"/>
    <s v="DALLAS"/>
    <n v="5954"/>
    <x v="3"/>
    <x v="1"/>
    <x v="15"/>
    <x v="3"/>
    <n v="83356"/>
    <s v="Medium Bulk"/>
  </r>
  <r>
    <x v="578"/>
    <s v="Mary Johnson"/>
    <x v="2"/>
    <s v="Bookcases"/>
    <n v="5"/>
    <x v="2"/>
    <s v="ROCHESTER"/>
    <n v="9752"/>
    <x v="1"/>
    <x v="0"/>
    <x v="42"/>
    <x v="1"/>
    <n v="48760"/>
    <s v="Low Bulk"/>
  </r>
  <r>
    <x v="283"/>
    <s v="Joseph Knight"/>
    <x v="2"/>
    <s v="Bookcases"/>
    <n v="5"/>
    <x v="1"/>
    <s v="PEORIA"/>
    <n v="9752"/>
    <x v="1"/>
    <x v="0"/>
    <x v="15"/>
    <x v="3"/>
    <n v="48760"/>
    <s v="Low Bulk"/>
  </r>
  <r>
    <x v="579"/>
    <s v="Jessica Greene"/>
    <x v="0"/>
    <s v="Electronic Games"/>
    <n v="15"/>
    <x v="2"/>
    <s v="NEW YORK CITY"/>
    <n v="5335"/>
    <x v="4"/>
    <x v="1"/>
    <x v="37"/>
    <x v="3"/>
    <n v="80025"/>
    <s v="High Bulk"/>
  </r>
  <r>
    <x v="580"/>
    <s v="Vincent Perez"/>
    <x v="0"/>
    <s v="Electronic Games"/>
    <n v="20"/>
    <x v="2"/>
    <s v="ROCHESTER"/>
    <n v="1454"/>
    <x v="3"/>
    <x v="2"/>
    <x v="58"/>
    <x v="3"/>
    <n v="29080"/>
    <s v="High Bulk"/>
  </r>
  <r>
    <x v="581"/>
    <s v="Dennis Rivera"/>
    <x v="2"/>
    <s v="Bookcases"/>
    <n v="19"/>
    <x v="3"/>
    <s v="SAN FRANCISCO"/>
    <n v="6724"/>
    <x v="4"/>
    <x v="4"/>
    <x v="13"/>
    <x v="2"/>
    <n v="127756"/>
    <s v="High Bulk"/>
  </r>
  <r>
    <x v="582"/>
    <s v="Nancy Keller"/>
    <x v="2"/>
    <s v="Bookcases"/>
    <n v="19"/>
    <x v="4"/>
    <s v="DALLAS"/>
    <n v="6724"/>
    <x v="4"/>
    <x v="4"/>
    <x v="22"/>
    <x v="2"/>
    <n v="127756"/>
    <s v="High Bulk"/>
  </r>
  <r>
    <x v="404"/>
    <s v="Michelle Anderson"/>
    <x v="1"/>
    <s v="Binders"/>
    <n v="4"/>
    <x v="5"/>
    <s v="CLEVELAND"/>
    <n v="9874"/>
    <x v="2"/>
    <x v="0"/>
    <x v="9"/>
    <x v="5"/>
    <n v="39496"/>
    <s v="Normal"/>
  </r>
  <r>
    <x v="583"/>
    <s v="Anthony May"/>
    <x v="0"/>
    <s v="Phones"/>
    <n v="7"/>
    <x v="0"/>
    <s v="TAMPA"/>
    <n v="4918"/>
    <x v="0"/>
    <x v="1"/>
    <x v="14"/>
    <x v="0"/>
    <n v="34426"/>
    <s v="Low Bulk"/>
  </r>
  <r>
    <x v="168"/>
    <s v="Michelle Guerra"/>
    <x v="1"/>
    <s v="Paper"/>
    <n v="19"/>
    <x v="2"/>
    <s v="NEW YORK CITY"/>
    <n v="3189"/>
    <x v="3"/>
    <x v="3"/>
    <x v="13"/>
    <x v="2"/>
    <n v="60591"/>
    <s v="High Bulk"/>
  </r>
  <r>
    <x v="208"/>
    <s v="Meghan Ballard"/>
    <x v="0"/>
    <s v="Electronic Games"/>
    <n v="2"/>
    <x v="2"/>
    <s v="NEW YORK CITY"/>
    <n v="2684"/>
    <x v="0"/>
    <x v="3"/>
    <x v="47"/>
    <x v="1"/>
    <n v="5368"/>
    <s v="Normal"/>
  </r>
  <r>
    <x v="584"/>
    <s v="Brian Wheeler"/>
    <x v="0"/>
    <s v="Electronic Games"/>
    <n v="2"/>
    <x v="2"/>
    <s v="BUFFALO"/>
    <n v="2684"/>
    <x v="0"/>
    <x v="3"/>
    <x v="33"/>
    <x v="3"/>
    <n v="5368"/>
    <s v="Normal"/>
  </r>
  <r>
    <x v="585"/>
    <s v="William Rosario"/>
    <x v="0"/>
    <s v="Electronic Games"/>
    <n v="2"/>
    <x v="4"/>
    <s v="DALLAS"/>
    <n v="2684"/>
    <x v="0"/>
    <x v="3"/>
    <x v="8"/>
    <x v="4"/>
    <n v="5368"/>
    <s v="Normal"/>
  </r>
  <r>
    <x v="350"/>
    <s v="Jessica Hunt"/>
    <x v="1"/>
    <s v="Pens"/>
    <n v="5"/>
    <x v="1"/>
    <s v="SPRINGFIELD"/>
    <n v="7626"/>
    <x v="2"/>
    <x v="4"/>
    <x v="42"/>
    <x v="1"/>
    <n v="38130"/>
    <s v="Low Bulk"/>
  </r>
  <r>
    <x v="586"/>
    <s v="Tony Chavez"/>
    <x v="1"/>
    <s v="Pens"/>
    <n v="5"/>
    <x v="5"/>
    <s v="COLUMBUS"/>
    <n v="7626"/>
    <x v="2"/>
    <x v="4"/>
    <x v="11"/>
    <x v="4"/>
    <n v="38130"/>
    <s v="Low Bulk"/>
  </r>
  <r>
    <x v="587"/>
    <s v="Mary Crawford"/>
    <x v="0"/>
    <s v="Printers"/>
    <n v="19"/>
    <x v="5"/>
    <s v="CINCINNATI"/>
    <n v="6669"/>
    <x v="0"/>
    <x v="4"/>
    <x v="21"/>
    <x v="0"/>
    <n v="126711"/>
    <s v="High Bulk"/>
  </r>
  <r>
    <x v="112"/>
    <s v="Roger Morrison"/>
    <x v="1"/>
    <s v="Markers"/>
    <n v="3"/>
    <x v="5"/>
    <s v="CINCINNATI"/>
    <n v="6123"/>
    <x v="3"/>
    <x v="4"/>
    <x v="37"/>
    <x v="3"/>
    <n v="18369"/>
    <s v="Normal"/>
  </r>
  <r>
    <x v="588"/>
    <s v="Bethany Harrison"/>
    <x v="1"/>
    <s v="Paper"/>
    <n v="16"/>
    <x v="3"/>
    <s v="LOS ANGELES"/>
    <n v="3265"/>
    <x v="3"/>
    <x v="3"/>
    <x v="10"/>
    <x v="1"/>
    <n v="52240"/>
    <s v="High Bulk"/>
  </r>
  <r>
    <x v="589"/>
    <s v="Lisa Mcintyre"/>
    <x v="1"/>
    <s v="Markers"/>
    <n v="6"/>
    <x v="0"/>
    <s v="ORLANDO"/>
    <n v="8104"/>
    <x v="4"/>
    <x v="0"/>
    <x v="35"/>
    <x v="2"/>
    <n v="48624"/>
    <s v="Low Bulk"/>
  </r>
  <r>
    <x v="590"/>
    <s v="Carolyn Gonzalez"/>
    <x v="1"/>
    <s v="Markers"/>
    <n v="6"/>
    <x v="0"/>
    <s v="MIAMI"/>
    <n v="8104"/>
    <x v="4"/>
    <x v="0"/>
    <x v="4"/>
    <x v="2"/>
    <n v="48624"/>
    <s v="Low Bulk"/>
  </r>
  <r>
    <x v="330"/>
    <s v="Christina Oconnell"/>
    <x v="1"/>
    <s v="Markers"/>
    <n v="6"/>
    <x v="3"/>
    <s v="SAN FRANCISCO"/>
    <n v="8104"/>
    <x v="4"/>
    <x v="0"/>
    <x v="52"/>
    <x v="5"/>
    <n v="48624"/>
    <s v="Low Bulk"/>
  </r>
  <r>
    <x v="591"/>
    <s v="James Garcia"/>
    <x v="2"/>
    <s v="Tables"/>
    <n v="17"/>
    <x v="2"/>
    <s v="BUFFALO"/>
    <n v="847"/>
    <x v="4"/>
    <x v="2"/>
    <x v="37"/>
    <x v="3"/>
    <n v="14399"/>
    <s v="High Bulk"/>
  </r>
  <r>
    <x v="394"/>
    <s v="Emily Frederick"/>
    <x v="2"/>
    <s v="Tables"/>
    <n v="17"/>
    <x v="4"/>
    <s v="AUSTIN"/>
    <n v="847"/>
    <x v="4"/>
    <x v="2"/>
    <x v="6"/>
    <x v="0"/>
    <n v="14399"/>
    <s v="High Bulk"/>
  </r>
  <r>
    <x v="463"/>
    <s v="Shawn Wise"/>
    <x v="2"/>
    <s v="Tables"/>
    <n v="17"/>
    <x v="3"/>
    <s v="SAN FRANCISCO"/>
    <n v="847"/>
    <x v="4"/>
    <x v="2"/>
    <x v="54"/>
    <x v="0"/>
    <n v="14399"/>
    <s v="High Bulk"/>
  </r>
  <r>
    <x v="506"/>
    <s v="Carrie Alvarez"/>
    <x v="2"/>
    <s v="Bookcases"/>
    <n v="9"/>
    <x v="1"/>
    <s v="PEORIA"/>
    <n v="3129"/>
    <x v="1"/>
    <x v="3"/>
    <x v="43"/>
    <x v="2"/>
    <n v="28161"/>
    <s v="Low Bulk"/>
  </r>
  <r>
    <x v="506"/>
    <s v="Carrie Alvarez"/>
    <x v="0"/>
    <s v="Laptops"/>
    <n v="13"/>
    <x v="1"/>
    <s v="PEORIA"/>
    <n v="7821"/>
    <x v="2"/>
    <x v="4"/>
    <x v="43"/>
    <x v="2"/>
    <n v="101673"/>
    <s v="Medium Bulk"/>
  </r>
  <r>
    <x v="592"/>
    <s v="Matthew James"/>
    <x v="0"/>
    <s v="Phones"/>
    <n v="12"/>
    <x v="1"/>
    <s v="PEORIA"/>
    <n v="9498"/>
    <x v="4"/>
    <x v="0"/>
    <x v="51"/>
    <x v="2"/>
    <n v="113976"/>
    <s v="Medium Bulk"/>
  </r>
  <r>
    <x v="590"/>
    <s v="Jerry Alvarado"/>
    <x v="0"/>
    <s v="Phones"/>
    <n v="12"/>
    <x v="2"/>
    <s v="NEW YORK CITY"/>
    <n v="9498"/>
    <x v="4"/>
    <x v="0"/>
    <x v="4"/>
    <x v="2"/>
    <n v="113976"/>
    <s v="Medium Bulk"/>
  </r>
  <r>
    <x v="593"/>
    <s v="Paul Zimmerman"/>
    <x v="2"/>
    <s v="Sofas"/>
    <n v="7"/>
    <x v="2"/>
    <s v="ROCHESTER"/>
    <n v="5461"/>
    <x v="3"/>
    <x v="1"/>
    <x v="53"/>
    <x v="4"/>
    <n v="38227"/>
    <s v="Low Bulk"/>
  </r>
  <r>
    <x v="594"/>
    <s v="Carl Ryan"/>
    <x v="2"/>
    <s v="Bookcases"/>
    <n v="19"/>
    <x v="4"/>
    <s v="DALLAS"/>
    <n v="3084"/>
    <x v="0"/>
    <x v="3"/>
    <x v="3"/>
    <x v="1"/>
    <n v="58596"/>
    <s v="High Bulk"/>
  </r>
  <r>
    <x v="595"/>
    <s v="Kelly Roberts"/>
    <x v="2"/>
    <s v="Sofas"/>
    <n v="1"/>
    <x v="2"/>
    <s v="BUFFALO"/>
    <n v="6087"/>
    <x v="4"/>
    <x v="4"/>
    <x v="38"/>
    <x v="4"/>
    <n v="6087"/>
    <s v="Normal"/>
  </r>
  <r>
    <x v="596"/>
    <s v="Jack Woods"/>
    <x v="2"/>
    <s v="Bookcases"/>
    <n v="3"/>
    <x v="1"/>
    <s v="PEORIA"/>
    <n v="611"/>
    <x v="3"/>
    <x v="2"/>
    <x v="20"/>
    <x v="4"/>
    <n v="1833"/>
    <s v="Normal"/>
  </r>
  <r>
    <x v="597"/>
    <s v="Albert Alexander Jr."/>
    <x v="1"/>
    <s v="Markers"/>
    <n v="18"/>
    <x v="5"/>
    <s v="CLEVELAND"/>
    <n v="9909"/>
    <x v="4"/>
    <x v="0"/>
    <x v="18"/>
    <x v="2"/>
    <n v="178362"/>
    <s v="High Bulk"/>
  </r>
  <r>
    <x v="598"/>
    <s v="Teresa Perez"/>
    <x v="1"/>
    <s v="Markers"/>
    <n v="18"/>
    <x v="4"/>
    <s v="AUSTIN"/>
    <n v="9909"/>
    <x v="4"/>
    <x v="0"/>
    <x v="12"/>
    <x v="3"/>
    <n v="178362"/>
    <s v="High Bulk"/>
  </r>
  <r>
    <x v="401"/>
    <s v="Amanda Williams"/>
    <x v="2"/>
    <s v="Sofas"/>
    <n v="18"/>
    <x v="5"/>
    <s v="COLUMBUS"/>
    <n v="6485"/>
    <x v="0"/>
    <x v="4"/>
    <x v="17"/>
    <x v="0"/>
    <n v="116730"/>
    <s v="High Bulk"/>
  </r>
  <r>
    <x v="174"/>
    <s v="Kristen Lawson"/>
    <x v="0"/>
    <s v="Laptops"/>
    <n v="10"/>
    <x v="1"/>
    <s v="SPRINGFIELD"/>
    <n v="7259"/>
    <x v="3"/>
    <x v="4"/>
    <x v="29"/>
    <x v="3"/>
    <n v="72590"/>
    <s v="Medium Bulk"/>
  </r>
  <r>
    <x v="103"/>
    <s v="Jacob Stewart"/>
    <x v="0"/>
    <s v="Printers"/>
    <n v="18"/>
    <x v="0"/>
    <s v="MIAMI"/>
    <n v="3333"/>
    <x v="4"/>
    <x v="3"/>
    <x v="28"/>
    <x v="0"/>
    <n v="59994"/>
    <s v="High Bulk"/>
  </r>
  <r>
    <x v="219"/>
    <s v="Daniel Brooks"/>
    <x v="2"/>
    <s v="Sofas"/>
    <n v="4"/>
    <x v="1"/>
    <s v="PEORIA"/>
    <n v="7786"/>
    <x v="2"/>
    <x v="4"/>
    <x v="53"/>
    <x v="4"/>
    <n v="31144"/>
    <s v="Normal"/>
  </r>
  <r>
    <x v="332"/>
    <s v="Aaron Dunn"/>
    <x v="0"/>
    <s v="Phones"/>
    <n v="6"/>
    <x v="1"/>
    <s v="SPRINGFIELD"/>
    <n v="7644"/>
    <x v="1"/>
    <x v="4"/>
    <x v="12"/>
    <x v="3"/>
    <n v="45864"/>
    <s v="Low Bulk"/>
  </r>
  <r>
    <x v="599"/>
    <s v="Jacob Martinez"/>
    <x v="2"/>
    <s v="Bookcases"/>
    <n v="5"/>
    <x v="3"/>
    <s v="LOS ANGELES"/>
    <n v="1476"/>
    <x v="4"/>
    <x v="2"/>
    <x v="6"/>
    <x v="0"/>
    <n v="7380"/>
    <s v="Low Bulk"/>
  </r>
  <r>
    <x v="600"/>
    <s v="Raymond Burgess"/>
    <x v="2"/>
    <s v="Bookcases"/>
    <n v="5"/>
    <x v="3"/>
    <s v="SAN DIEGO"/>
    <n v="1476"/>
    <x v="4"/>
    <x v="2"/>
    <x v="12"/>
    <x v="3"/>
    <n v="7380"/>
    <s v="Low Bulk"/>
  </r>
  <r>
    <x v="487"/>
    <s v="Jennifer Cooke"/>
    <x v="2"/>
    <s v="Sofas"/>
    <n v="16"/>
    <x v="3"/>
    <s v="SAN FRANCISCO"/>
    <n v="3445"/>
    <x v="2"/>
    <x v="3"/>
    <x v="57"/>
    <x v="4"/>
    <n v="55120"/>
    <s v="High Bulk"/>
  </r>
  <r>
    <x v="487"/>
    <s v="Jennifer Cooke"/>
    <x v="0"/>
    <s v="Laptops"/>
    <n v="1"/>
    <x v="3"/>
    <s v="SAN FRANCISCO"/>
    <n v="9837"/>
    <x v="0"/>
    <x v="0"/>
    <x v="57"/>
    <x v="4"/>
    <n v="9837"/>
    <s v="Normal"/>
  </r>
  <r>
    <x v="281"/>
    <s v="Tyrone White"/>
    <x v="2"/>
    <s v="Sofas"/>
    <n v="8"/>
    <x v="3"/>
    <s v="SAN DIEGO"/>
    <n v="1314"/>
    <x v="2"/>
    <x v="2"/>
    <x v="22"/>
    <x v="2"/>
    <n v="10512"/>
    <s v="Low Bulk"/>
  </r>
  <r>
    <x v="601"/>
    <s v="Charles Williams"/>
    <x v="0"/>
    <s v="Laptops"/>
    <n v="6"/>
    <x v="4"/>
    <s v="DALLAS"/>
    <n v="5951"/>
    <x v="1"/>
    <x v="1"/>
    <x v="19"/>
    <x v="1"/>
    <n v="35706"/>
    <s v="Low Bulk"/>
  </r>
  <r>
    <x v="602"/>
    <s v="Amy Page"/>
    <x v="0"/>
    <s v="Laptops"/>
    <n v="6"/>
    <x v="5"/>
    <s v="COLUMBUS"/>
    <n v="5951"/>
    <x v="1"/>
    <x v="1"/>
    <x v="58"/>
    <x v="3"/>
    <n v="35706"/>
    <s v="Low Bulk"/>
  </r>
  <r>
    <x v="603"/>
    <s v="Scott Gibbs"/>
    <x v="0"/>
    <s v="Phones"/>
    <n v="6"/>
    <x v="3"/>
    <s v="LOS ANGELES"/>
    <n v="992"/>
    <x v="0"/>
    <x v="2"/>
    <x v="10"/>
    <x v="1"/>
    <n v="5952"/>
    <s v="Low Bulk"/>
  </r>
  <r>
    <x v="603"/>
    <s v="Scott Gibbs"/>
    <x v="1"/>
    <s v="Markers"/>
    <n v="18"/>
    <x v="3"/>
    <s v="LOS ANGELES"/>
    <n v="4699"/>
    <x v="2"/>
    <x v="1"/>
    <x v="10"/>
    <x v="1"/>
    <n v="84582"/>
    <s v="High Bulk"/>
  </r>
  <r>
    <x v="113"/>
    <s v="Angela Roberts"/>
    <x v="0"/>
    <s v="Laptops"/>
    <n v="17"/>
    <x v="5"/>
    <s v="CLEVELAND"/>
    <n v="5557"/>
    <x v="2"/>
    <x v="1"/>
    <x v="18"/>
    <x v="2"/>
    <n v="94469"/>
    <s v="High Bulk"/>
  </r>
  <r>
    <x v="340"/>
    <s v="Kyle Hernandez"/>
    <x v="0"/>
    <s v="Electronic Games"/>
    <n v="3"/>
    <x v="4"/>
    <s v="DALLAS"/>
    <n v="3436"/>
    <x v="3"/>
    <x v="3"/>
    <x v="22"/>
    <x v="2"/>
    <n v="10308"/>
    <s v="Normal"/>
  </r>
  <r>
    <x v="604"/>
    <s v="Cynthia Ferguson"/>
    <x v="0"/>
    <s v="Printers"/>
    <n v="11"/>
    <x v="4"/>
    <s v="AUSTIN"/>
    <n v="9840"/>
    <x v="1"/>
    <x v="0"/>
    <x v="28"/>
    <x v="0"/>
    <n v="108240"/>
    <s v="Medium Bulk"/>
  </r>
  <r>
    <x v="605"/>
    <s v="Brandi Garcia"/>
    <x v="1"/>
    <s v="Paper"/>
    <n v="4"/>
    <x v="3"/>
    <s v="SAN FRANCISCO"/>
    <n v="7620"/>
    <x v="2"/>
    <x v="4"/>
    <x v="2"/>
    <x v="2"/>
    <n v="30480"/>
    <s v="Normal"/>
  </r>
  <r>
    <x v="606"/>
    <s v="Matthew Blake"/>
    <x v="1"/>
    <s v="Paper"/>
    <n v="4"/>
    <x v="3"/>
    <s v="SAN FRANCISCO"/>
    <n v="7620"/>
    <x v="2"/>
    <x v="4"/>
    <x v="56"/>
    <x v="1"/>
    <n v="30480"/>
    <s v="Normal"/>
  </r>
  <r>
    <x v="178"/>
    <s v="Lauren Howell"/>
    <x v="2"/>
    <s v="Tables"/>
    <n v="5"/>
    <x v="2"/>
    <s v="BUFFALO"/>
    <n v="4314"/>
    <x v="1"/>
    <x v="1"/>
    <x v="4"/>
    <x v="2"/>
    <n v="21570"/>
    <s v="Low Bulk"/>
  </r>
  <r>
    <x v="607"/>
    <s v="Joseph Wilson"/>
    <x v="0"/>
    <s v="Laptops"/>
    <n v="12"/>
    <x v="5"/>
    <s v="CINCINNATI"/>
    <n v="8851"/>
    <x v="0"/>
    <x v="0"/>
    <x v="42"/>
    <x v="1"/>
    <n v="106212"/>
    <s v="Medium Bulk"/>
  </r>
  <r>
    <x v="608"/>
    <s v="Tanner Vance"/>
    <x v="0"/>
    <s v="Laptops"/>
    <n v="2"/>
    <x v="4"/>
    <s v="HOUSTON"/>
    <n v="544"/>
    <x v="1"/>
    <x v="2"/>
    <x v="34"/>
    <x v="2"/>
    <n v="1088"/>
    <s v="Normal"/>
  </r>
  <r>
    <x v="474"/>
    <s v="Michael Nash"/>
    <x v="0"/>
    <s v="Laptops"/>
    <n v="2"/>
    <x v="2"/>
    <s v="BUFFALO"/>
    <n v="544"/>
    <x v="1"/>
    <x v="2"/>
    <x v="0"/>
    <x v="0"/>
    <n v="1088"/>
    <s v="Normal"/>
  </r>
  <r>
    <x v="609"/>
    <s v="Brent Thomas"/>
    <x v="1"/>
    <s v="Markers"/>
    <n v="20"/>
    <x v="1"/>
    <s v="PEORIA"/>
    <n v="537"/>
    <x v="2"/>
    <x v="2"/>
    <x v="36"/>
    <x v="2"/>
    <n v="10740"/>
    <s v="High Bulk"/>
  </r>
  <r>
    <x v="434"/>
    <s v="Harold Mitchell"/>
    <x v="0"/>
    <s v="Laptops"/>
    <n v="7"/>
    <x v="4"/>
    <s v="AUSTIN"/>
    <n v="5944"/>
    <x v="2"/>
    <x v="1"/>
    <x v="25"/>
    <x v="3"/>
    <n v="41608"/>
    <s v="Low Bulk"/>
  </r>
  <r>
    <x v="607"/>
    <s v="Ashley Palmer"/>
    <x v="0"/>
    <s v="Printers"/>
    <n v="18"/>
    <x v="0"/>
    <s v="MIAMI"/>
    <n v="2258"/>
    <x v="3"/>
    <x v="3"/>
    <x v="42"/>
    <x v="1"/>
    <n v="40644"/>
    <s v="High Bulk"/>
  </r>
  <r>
    <x v="610"/>
    <s v="Stephen Hogan"/>
    <x v="0"/>
    <s v="Printers"/>
    <n v="18"/>
    <x v="3"/>
    <s v="SAN DIEGO"/>
    <n v="2258"/>
    <x v="3"/>
    <x v="3"/>
    <x v="40"/>
    <x v="3"/>
    <n v="40644"/>
    <s v="High Bulk"/>
  </r>
  <r>
    <x v="611"/>
    <s v="George Ashley"/>
    <x v="2"/>
    <s v="Sofas"/>
    <n v="3"/>
    <x v="4"/>
    <s v="HOUSTON"/>
    <n v="9609"/>
    <x v="1"/>
    <x v="0"/>
    <x v="31"/>
    <x v="1"/>
    <n v="28827"/>
    <s v="Normal"/>
  </r>
  <r>
    <x v="612"/>
    <s v="Sara Bailey"/>
    <x v="2"/>
    <s v="Sofas"/>
    <n v="3"/>
    <x v="5"/>
    <s v="CINCINNATI"/>
    <n v="9609"/>
    <x v="1"/>
    <x v="0"/>
    <x v="32"/>
    <x v="4"/>
    <n v="28827"/>
    <s v="Normal"/>
  </r>
  <r>
    <x v="362"/>
    <s v="Tanya Thomas MD"/>
    <x v="0"/>
    <s v="Electronic Games"/>
    <n v="15"/>
    <x v="4"/>
    <s v="DALLAS"/>
    <n v="9952"/>
    <x v="1"/>
    <x v="0"/>
    <x v="45"/>
    <x v="0"/>
    <n v="149280"/>
    <s v="High Bulk"/>
  </r>
  <r>
    <x v="443"/>
    <s v="Maria Galvan"/>
    <x v="1"/>
    <s v="Paper"/>
    <n v="7"/>
    <x v="5"/>
    <s v="COLUMBUS"/>
    <n v="9873"/>
    <x v="3"/>
    <x v="0"/>
    <x v="38"/>
    <x v="4"/>
    <n v="69111"/>
    <s v="Low Bulk"/>
  </r>
  <r>
    <x v="294"/>
    <s v="Duane Kelly"/>
    <x v="0"/>
    <s v="Electronic Games"/>
    <n v="15"/>
    <x v="2"/>
    <s v="NEW YORK CITY"/>
    <n v="3560"/>
    <x v="4"/>
    <x v="3"/>
    <x v="32"/>
    <x v="4"/>
    <n v="53400"/>
    <s v="High Bulk"/>
  </r>
  <r>
    <x v="613"/>
    <s v="Frank Reynolds"/>
    <x v="0"/>
    <s v="Electronic Games"/>
    <n v="15"/>
    <x v="1"/>
    <s v="SPRINGFIELD"/>
    <n v="3560"/>
    <x v="4"/>
    <x v="3"/>
    <x v="45"/>
    <x v="0"/>
    <n v="53400"/>
    <s v="High Bulk"/>
  </r>
  <r>
    <x v="8"/>
    <s v="Aaron Kim"/>
    <x v="0"/>
    <s v="Phones"/>
    <n v="9"/>
    <x v="2"/>
    <s v="BUFFALO"/>
    <n v="6528"/>
    <x v="1"/>
    <x v="4"/>
    <x v="8"/>
    <x v="4"/>
    <n v="58752"/>
    <s v="Low Bulk"/>
  </r>
  <r>
    <x v="8"/>
    <s v="Aaron Kim"/>
    <x v="2"/>
    <s v="Sofas"/>
    <n v="12"/>
    <x v="2"/>
    <s v="BUFFALO"/>
    <n v="8930"/>
    <x v="1"/>
    <x v="0"/>
    <x v="8"/>
    <x v="4"/>
    <n v="107160"/>
    <s v="Medium Bulk"/>
  </r>
  <r>
    <x v="614"/>
    <s v="David Allen"/>
    <x v="1"/>
    <s v="Paper"/>
    <n v="9"/>
    <x v="0"/>
    <s v="TAMPA"/>
    <n v="4521"/>
    <x v="1"/>
    <x v="1"/>
    <x v="56"/>
    <x v="1"/>
    <n v="40689"/>
    <s v="Low Bulk"/>
  </r>
  <r>
    <x v="615"/>
    <s v="Monica Lee"/>
    <x v="2"/>
    <s v="Sofas"/>
    <n v="10"/>
    <x v="3"/>
    <s v="SAN DIEGO"/>
    <n v="7091"/>
    <x v="3"/>
    <x v="4"/>
    <x v="33"/>
    <x v="3"/>
    <n v="70910"/>
    <s v="Medium Bulk"/>
  </r>
  <r>
    <x v="494"/>
    <s v="Kimberly Fuller"/>
    <x v="1"/>
    <s v="Pens"/>
    <n v="8"/>
    <x v="5"/>
    <s v="CLEVELAND"/>
    <n v="2101"/>
    <x v="4"/>
    <x v="3"/>
    <x v="60"/>
    <x v="4"/>
    <n v="16808"/>
    <s v="Low Bulk"/>
  </r>
  <r>
    <x v="616"/>
    <s v="Erica Scott"/>
    <x v="1"/>
    <s v="Pens"/>
    <n v="8"/>
    <x v="1"/>
    <s v="CHICAGO"/>
    <n v="2101"/>
    <x v="4"/>
    <x v="3"/>
    <x v="28"/>
    <x v="0"/>
    <n v="16808"/>
    <s v="Low Bulk"/>
  </r>
  <r>
    <x v="617"/>
    <s v="Melissa Mitchell"/>
    <x v="1"/>
    <s v="Paper"/>
    <n v="9"/>
    <x v="1"/>
    <s v="CHICAGO"/>
    <n v="8644"/>
    <x v="1"/>
    <x v="0"/>
    <x v="6"/>
    <x v="0"/>
    <n v="77796"/>
    <s v="Low Bulk"/>
  </r>
  <r>
    <x v="618"/>
    <s v="Joshua Murray"/>
    <x v="2"/>
    <s v="Tables"/>
    <n v="4"/>
    <x v="4"/>
    <s v="DALLAS"/>
    <n v="6672"/>
    <x v="0"/>
    <x v="4"/>
    <x v="6"/>
    <x v="0"/>
    <n v="26688"/>
    <s v="Normal"/>
  </r>
  <r>
    <x v="619"/>
    <s v="John Jones"/>
    <x v="2"/>
    <s v="Tables"/>
    <n v="4"/>
    <x v="3"/>
    <s v="SAN DIEGO"/>
    <n v="6672"/>
    <x v="0"/>
    <x v="4"/>
    <x v="3"/>
    <x v="1"/>
    <n v="26688"/>
    <s v="Normal"/>
  </r>
  <r>
    <x v="594"/>
    <s v="Cheryl Johnson"/>
    <x v="1"/>
    <s v="Binders"/>
    <n v="12"/>
    <x v="5"/>
    <s v="CINCINNATI"/>
    <n v="4699"/>
    <x v="0"/>
    <x v="1"/>
    <x v="3"/>
    <x v="1"/>
    <n v="56388"/>
    <s v="Medium Bulk"/>
  </r>
  <r>
    <x v="376"/>
    <s v="Lisa Farmer"/>
    <x v="2"/>
    <s v="Sofas"/>
    <n v="14"/>
    <x v="4"/>
    <s v="HOUSTON"/>
    <n v="4897"/>
    <x v="1"/>
    <x v="1"/>
    <x v="13"/>
    <x v="2"/>
    <n v="68558"/>
    <s v="Medium Bulk"/>
  </r>
  <r>
    <x v="119"/>
    <s v="Christopher Walker"/>
    <x v="2"/>
    <s v="Sofas"/>
    <n v="14"/>
    <x v="5"/>
    <s v="CINCINNATI"/>
    <n v="4897"/>
    <x v="1"/>
    <x v="1"/>
    <x v="52"/>
    <x v="5"/>
    <n v="68558"/>
    <s v="Medium Bulk"/>
  </r>
  <r>
    <x v="620"/>
    <s v="Elizabeth Coffey"/>
    <x v="2"/>
    <s v="Tables"/>
    <n v="14"/>
    <x v="2"/>
    <s v="BUFFALO"/>
    <n v="5460"/>
    <x v="1"/>
    <x v="1"/>
    <x v="58"/>
    <x v="3"/>
    <n v="76440"/>
    <s v="Medium Bulk"/>
  </r>
  <r>
    <x v="621"/>
    <s v="Joseph Clark"/>
    <x v="2"/>
    <s v="Tables"/>
    <n v="14"/>
    <x v="5"/>
    <s v="CINCINNATI"/>
    <n v="5460"/>
    <x v="1"/>
    <x v="1"/>
    <x v="32"/>
    <x v="4"/>
    <n v="76440"/>
    <s v="Medium Bulk"/>
  </r>
  <r>
    <x v="622"/>
    <s v="Jamie Brewer"/>
    <x v="1"/>
    <s v="Markers"/>
    <n v="19"/>
    <x v="1"/>
    <s v="SPRINGFIELD"/>
    <n v="9272"/>
    <x v="0"/>
    <x v="0"/>
    <x v="46"/>
    <x v="1"/>
    <n v="176168"/>
    <s v="High Bulk"/>
  </r>
  <r>
    <x v="440"/>
    <s v="Lauren Boyer"/>
    <x v="1"/>
    <s v="Markers"/>
    <n v="19"/>
    <x v="4"/>
    <s v="DALLAS"/>
    <n v="9272"/>
    <x v="0"/>
    <x v="0"/>
    <x v="32"/>
    <x v="4"/>
    <n v="176168"/>
    <s v="High Bulk"/>
  </r>
  <r>
    <x v="236"/>
    <s v="Howard Esparza"/>
    <x v="1"/>
    <s v="Pens"/>
    <n v="15"/>
    <x v="4"/>
    <s v="HOUSTON"/>
    <n v="7870"/>
    <x v="3"/>
    <x v="4"/>
    <x v="59"/>
    <x v="0"/>
    <n v="118050"/>
    <s v="High Bulk"/>
  </r>
  <r>
    <x v="623"/>
    <s v="James Hickman"/>
    <x v="1"/>
    <s v="Pens"/>
    <n v="15"/>
    <x v="5"/>
    <s v="CLEVELAND"/>
    <n v="7870"/>
    <x v="3"/>
    <x v="4"/>
    <x v="34"/>
    <x v="2"/>
    <n v="118050"/>
    <s v="High Bulk"/>
  </r>
  <r>
    <x v="511"/>
    <s v="Jennifer Hernandez"/>
    <x v="0"/>
    <s v="Laptops"/>
    <n v="12"/>
    <x v="5"/>
    <s v="CLEVELAND"/>
    <n v="7992"/>
    <x v="3"/>
    <x v="4"/>
    <x v="31"/>
    <x v="1"/>
    <n v="95904"/>
    <s v="Medium Bulk"/>
  </r>
  <r>
    <x v="230"/>
    <s v="Shannon Warren"/>
    <x v="0"/>
    <s v="Laptops"/>
    <n v="12"/>
    <x v="2"/>
    <s v="NEW YORK CITY"/>
    <n v="7992"/>
    <x v="3"/>
    <x v="4"/>
    <x v="23"/>
    <x v="0"/>
    <n v="95904"/>
    <s v="Medium Bulk"/>
  </r>
  <r>
    <x v="624"/>
    <s v="Ashley Aguilar"/>
    <x v="0"/>
    <s v="Laptops"/>
    <n v="12"/>
    <x v="1"/>
    <s v="CHICAGO"/>
    <n v="7992"/>
    <x v="3"/>
    <x v="4"/>
    <x v="23"/>
    <x v="0"/>
    <n v="95904"/>
    <s v="Medium Bulk"/>
  </r>
  <r>
    <x v="208"/>
    <s v="Daniel Price"/>
    <x v="0"/>
    <s v="Electronic Games"/>
    <n v="18"/>
    <x v="2"/>
    <s v="NEW YORK CITY"/>
    <n v="6499"/>
    <x v="2"/>
    <x v="4"/>
    <x v="47"/>
    <x v="1"/>
    <n v="116982"/>
    <s v="High Bulk"/>
  </r>
  <r>
    <x v="348"/>
    <s v="James Perez"/>
    <x v="0"/>
    <s v="Electronic Games"/>
    <n v="18"/>
    <x v="0"/>
    <s v="ORLANDO"/>
    <n v="6499"/>
    <x v="2"/>
    <x v="4"/>
    <x v="27"/>
    <x v="2"/>
    <n v="116982"/>
    <s v="High Bulk"/>
  </r>
  <r>
    <x v="625"/>
    <s v="Jerry Smith"/>
    <x v="1"/>
    <s v="Pens"/>
    <n v="9"/>
    <x v="3"/>
    <s v="SAN DIEGO"/>
    <n v="8848"/>
    <x v="1"/>
    <x v="0"/>
    <x v="52"/>
    <x v="5"/>
    <n v="79632"/>
    <s v="Low Bulk"/>
  </r>
  <r>
    <x v="626"/>
    <s v="Andre Fernandez"/>
    <x v="1"/>
    <s v="Markers"/>
    <n v="3"/>
    <x v="0"/>
    <s v="ORLANDO"/>
    <n v="8044"/>
    <x v="4"/>
    <x v="0"/>
    <x v="50"/>
    <x v="4"/>
    <n v="24132"/>
    <s v="Normal"/>
  </r>
  <r>
    <x v="23"/>
    <s v="Anthony West"/>
    <x v="1"/>
    <s v="Markers"/>
    <n v="3"/>
    <x v="3"/>
    <s v="SAN DIEGO"/>
    <n v="8044"/>
    <x v="4"/>
    <x v="0"/>
    <x v="15"/>
    <x v="3"/>
    <n v="24132"/>
    <s v="Normal"/>
  </r>
  <r>
    <x v="627"/>
    <s v="Amber Flowers"/>
    <x v="2"/>
    <s v="Bookcases"/>
    <n v="16"/>
    <x v="0"/>
    <s v="TAMPA"/>
    <n v="7417"/>
    <x v="4"/>
    <x v="4"/>
    <x v="4"/>
    <x v="2"/>
    <n v="118672"/>
    <s v="High Bulk"/>
  </r>
  <r>
    <x v="628"/>
    <s v="Patricia Davis"/>
    <x v="1"/>
    <s v="Markers"/>
    <n v="3"/>
    <x v="1"/>
    <s v="CHICAGO"/>
    <n v="3451"/>
    <x v="0"/>
    <x v="3"/>
    <x v="1"/>
    <x v="1"/>
    <n v="10353"/>
    <s v="Normal"/>
  </r>
  <r>
    <x v="629"/>
    <s v="Jasmine Gibbs"/>
    <x v="0"/>
    <s v="Laptops"/>
    <n v="4"/>
    <x v="4"/>
    <s v="AUSTIN"/>
    <n v="8531"/>
    <x v="2"/>
    <x v="0"/>
    <x v="37"/>
    <x v="3"/>
    <n v="34124"/>
    <s v="Normal"/>
  </r>
  <r>
    <x v="630"/>
    <s v="Nicole Dudley"/>
    <x v="2"/>
    <s v="Sofas"/>
    <n v="15"/>
    <x v="2"/>
    <s v="NEW YORK CITY"/>
    <n v="6646"/>
    <x v="1"/>
    <x v="4"/>
    <x v="21"/>
    <x v="0"/>
    <n v="99690"/>
    <s v="High Bulk"/>
  </r>
  <r>
    <x v="631"/>
    <s v="Lori Colon"/>
    <x v="2"/>
    <s v="Sofas"/>
    <n v="15"/>
    <x v="2"/>
    <s v="BUFFALO"/>
    <n v="6646"/>
    <x v="1"/>
    <x v="4"/>
    <x v="17"/>
    <x v="0"/>
    <n v="99690"/>
    <s v="High Bulk"/>
  </r>
  <r>
    <x v="632"/>
    <s v="William Carr"/>
    <x v="0"/>
    <s v="Laptops"/>
    <n v="6"/>
    <x v="4"/>
    <s v="DALLAS"/>
    <n v="2553"/>
    <x v="3"/>
    <x v="3"/>
    <x v="0"/>
    <x v="0"/>
    <n v="15318"/>
    <s v="Low Bulk"/>
  </r>
  <r>
    <x v="150"/>
    <s v="Jeffrey Dixon"/>
    <x v="0"/>
    <s v="Phones"/>
    <n v="3"/>
    <x v="2"/>
    <s v="NEW YORK CITY"/>
    <n v="8490"/>
    <x v="3"/>
    <x v="0"/>
    <x v="45"/>
    <x v="0"/>
    <n v="25470"/>
    <s v="Normal"/>
  </r>
  <r>
    <x v="162"/>
    <s v="Robert Sexton"/>
    <x v="2"/>
    <s v="Tables"/>
    <n v="3"/>
    <x v="3"/>
    <s v="LOS ANGELES"/>
    <n v="2689"/>
    <x v="0"/>
    <x v="3"/>
    <x v="50"/>
    <x v="4"/>
    <n v="8067"/>
    <s v="Normal"/>
  </r>
  <r>
    <x v="334"/>
    <s v="Brooke Gonzalez"/>
    <x v="2"/>
    <s v="Tables"/>
    <n v="3"/>
    <x v="0"/>
    <s v="MIAMI"/>
    <n v="2689"/>
    <x v="0"/>
    <x v="3"/>
    <x v="3"/>
    <x v="1"/>
    <n v="8067"/>
    <s v="Normal"/>
  </r>
  <r>
    <x v="633"/>
    <s v="Victoria Bryant MD"/>
    <x v="2"/>
    <s v="Tables"/>
    <n v="14"/>
    <x v="3"/>
    <s v="SAN FRANCISCO"/>
    <n v="815"/>
    <x v="1"/>
    <x v="2"/>
    <x v="18"/>
    <x v="2"/>
    <n v="11410"/>
    <s v="Medium Bulk"/>
  </r>
  <r>
    <x v="634"/>
    <s v="Nancy Kennedy"/>
    <x v="1"/>
    <s v="Paper"/>
    <n v="2"/>
    <x v="4"/>
    <s v="DALLAS"/>
    <n v="5024"/>
    <x v="0"/>
    <x v="1"/>
    <x v="44"/>
    <x v="1"/>
    <n v="10048"/>
    <s v="Normal"/>
  </r>
  <r>
    <x v="635"/>
    <s v="Andrew Barry"/>
    <x v="1"/>
    <s v="Paper"/>
    <n v="2"/>
    <x v="1"/>
    <s v="PEORIA"/>
    <n v="5024"/>
    <x v="0"/>
    <x v="1"/>
    <x v="29"/>
    <x v="3"/>
    <n v="10048"/>
    <s v="Normal"/>
  </r>
  <r>
    <x v="636"/>
    <s v="Carlos Wheeler"/>
    <x v="0"/>
    <s v="Electronic Games"/>
    <n v="18"/>
    <x v="5"/>
    <s v="CLEVELAND"/>
    <n v="8962"/>
    <x v="1"/>
    <x v="0"/>
    <x v="2"/>
    <x v="2"/>
    <n v="161316"/>
    <s v="High Bulk"/>
  </r>
  <r>
    <x v="637"/>
    <s v="Isabella Roach"/>
    <x v="0"/>
    <s v="Electronic Games"/>
    <n v="18"/>
    <x v="1"/>
    <s v="PEORIA"/>
    <n v="8962"/>
    <x v="1"/>
    <x v="0"/>
    <x v="7"/>
    <x v="4"/>
    <n v="161316"/>
    <s v="High Bulk"/>
  </r>
  <r>
    <x v="638"/>
    <s v="Samantha Williams"/>
    <x v="1"/>
    <s v="Binders"/>
    <n v="12"/>
    <x v="0"/>
    <s v="ORLANDO"/>
    <n v="1961"/>
    <x v="0"/>
    <x v="2"/>
    <x v="38"/>
    <x v="4"/>
    <n v="23532"/>
    <s v="Medium Bulk"/>
  </r>
  <r>
    <x v="639"/>
    <s v="Samuel Little MD"/>
    <x v="2"/>
    <s v="Sofas"/>
    <n v="4"/>
    <x v="1"/>
    <s v="CHICAGO"/>
    <n v="526"/>
    <x v="3"/>
    <x v="2"/>
    <x v="26"/>
    <x v="3"/>
    <n v="2104"/>
    <s v="Normal"/>
  </r>
  <r>
    <x v="640"/>
    <s v="Paul Taylor"/>
    <x v="2"/>
    <s v="Bookcases"/>
    <n v="9"/>
    <x v="3"/>
    <s v="SAN FRANCISCO"/>
    <n v="6093"/>
    <x v="1"/>
    <x v="4"/>
    <x v="22"/>
    <x v="2"/>
    <n v="54837"/>
    <s v="Low Bulk"/>
  </r>
  <r>
    <x v="641"/>
    <s v="Susan Baker"/>
    <x v="2"/>
    <s v="Bookcases"/>
    <n v="9"/>
    <x v="3"/>
    <s v="SAN DIEGO"/>
    <n v="6093"/>
    <x v="1"/>
    <x v="4"/>
    <x v="34"/>
    <x v="2"/>
    <n v="54837"/>
    <s v="Low Bulk"/>
  </r>
  <r>
    <x v="642"/>
    <s v="Mark Fry"/>
    <x v="0"/>
    <s v="Electronic Games"/>
    <n v="5"/>
    <x v="4"/>
    <s v="AUSTIN"/>
    <n v="7699"/>
    <x v="1"/>
    <x v="4"/>
    <x v="48"/>
    <x v="0"/>
    <n v="38495"/>
    <s v="Low Bulk"/>
  </r>
  <r>
    <x v="643"/>
    <s v="Megan Mclean"/>
    <x v="2"/>
    <s v="Tables"/>
    <n v="15"/>
    <x v="2"/>
    <s v="NEW YORK CITY"/>
    <n v="8825"/>
    <x v="1"/>
    <x v="0"/>
    <x v="41"/>
    <x v="1"/>
    <n v="132375"/>
    <s v="High Bulk"/>
  </r>
  <r>
    <x v="644"/>
    <s v="Caitlin Hunt"/>
    <x v="0"/>
    <s v="Phones"/>
    <n v="8"/>
    <x v="2"/>
    <s v="ROCHESTER"/>
    <n v="2082"/>
    <x v="2"/>
    <x v="3"/>
    <x v="53"/>
    <x v="4"/>
    <n v="16656"/>
    <s v="Low Bulk"/>
  </r>
  <r>
    <x v="645"/>
    <s v="Jenna Holland"/>
    <x v="0"/>
    <s v="Phones"/>
    <n v="8"/>
    <x v="4"/>
    <s v="AUSTIN"/>
    <n v="2082"/>
    <x v="2"/>
    <x v="3"/>
    <x v="29"/>
    <x v="3"/>
    <n v="16656"/>
    <s v="Low Bulk"/>
  </r>
  <r>
    <x v="646"/>
    <s v="Stephanie Oconnell"/>
    <x v="0"/>
    <s v="Phones"/>
    <n v="8"/>
    <x v="2"/>
    <s v="BUFFALO"/>
    <n v="2082"/>
    <x v="2"/>
    <x v="3"/>
    <x v="38"/>
    <x v="4"/>
    <n v="16656"/>
    <s v="Low Bulk"/>
  </r>
  <r>
    <x v="647"/>
    <s v="Andrea Hill"/>
    <x v="1"/>
    <s v="Markers"/>
    <n v="13"/>
    <x v="1"/>
    <s v="CHICAGO"/>
    <n v="914"/>
    <x v="0"/>
    <x v="2"/>
    <x v="56"/>
    <x v="1"/>
    <n v="11882"/>
    <s v="Medium Bulk"/>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2BBD388-023E-4F7E-88C9-4E61EC4ABCFF}" name="REVENUE BY STAT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3:B20" firstHeaderRow="1" firstDataRow="1" firstDataCol="1"/>
  <pivotFields count="17">
    <pivotField showAll="0"/>
    <pivotField showAll="0"/>
    <pivotField showAll="0"/>
    <pivotField showAll="0"/>
    <pivotField showAll="0"/>
    <pivotField axis="axisRow" showAll="0" sortType="descending">
      <items count="7">
        <item x="3"/>
        <item x="0"/>
        <item x="1"/>
        <item x="2"/>
        <item x="5"/>
        <item x="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6">
        <item x="2"/>
        <item x="4"/>
        <item x="3"/>
        <item x="0"/>
        <item x="1"/>
        <item t="default"/>
      </items>
    </pivotField>
    <pivotField numFmtId="14" showAll="0">
      <items count="62">
        <item x="7"/>
        <item x="32"/>
        <item x="8"/>
        <item x="53"/>
        <item x="60"/>
        <item x="38"/>
        <item x="57"/>
        <item x="20"/>
        <item x="11"/>
        <item x="50"/>
        <item x="49"/>
        <item x="51"/>
        <item x="34"/>
        <item x="27"/>
        <item x="18"/>
        <item x="22"/>
        <item x="2"/>
        <item x="36"/>
        <item x="43"/>
        <item x="4"/>
        <item x="35"/>
        <item x="13"/>
        <item x="12"/>
        <item x="26"/>
        <item x="25"/>
        <item x="39"/>
        <item x="37"/>
        <item x="33"/>
        <item x="58"/>
        <item x="40"/>
        <item x="24"/>
        <item x="15"/>
        <item x="5"/>
        <item x="29"/>
        <item x="54"/>
        <item x="14"/>
        <item x="45"/>
        <item x="28"/>
        <item x="23"/>
        <item x="0"/>
        <item x="17"/>
        <item x="21"/>
        <item x="48"/>
        <item x="59"/>
        <item x="6"/>
        <item x="16"/>
        <item x="10"/>
        <item x="42"/>
        <item x="55"/>
        <item x="44"/>
        <item x="3"/>
        <item x="47"/>
        <item x="41"/>
        <item x="19"/>
        <item x="31"/>
        <item x="56"/>
        <item x="46"/>
        <item x="1"/>
        <item x="52"/>
        <item x="9"/>
        <item x="30"/>
        <item t="default"/>
      </items>
    </pivotField>
    <pivotField showAll="0"/>
    <pivotField dataField="1"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9">
        <item x="0"/>
        <item x="1"/>
        <item x="2"/>
        <item x="3"/>
        <item x="4"/>
        <item x="5"/>
        <item x="6"/>
        <item x="7"/>
        <item t="default"/>
      </items>
    </pivotField>
  </pivotFields>
  <rowFields count="1">
    <field x="5"/>
  </rowFields>
  <rowItems count="7">
    <i>
      <x v="3"/>
    </i>
    <i>
      <x v="1"/>
    </i>
    <i>
      <x/>
    </i>
    <i>
      <x v="5"/>
    </i>
    <i>
      <x v="4"/>
    </i>
    <i>
      <x v="2"/>
    </i>
    <i t="grand">
      <x/>
    </i>
  </rowItems>
  <colItems count="1">
    <i/>
  </colItems>
  <dataFields count="1">
    <dataField name="Sum of Revenue " fld="12" baseField="0" baseItem="0"/>
  </dataFields>
  <formats count="1">
    <format dxfId="0">
      <pivotArea field="5" type="button" dataOnly="0" labelOnly="1" outline="0" axis="axisRow" fieldPosition="0"/>
    </format>
  </formats>
  <chartFormats count="1">
    <chartFormat chart="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6DDB8A-FC94-4032-A1B3-4B1604F3C7BB}" name="REVENUE BY CA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1">
  <location ref="A4:B8" firstHeaderRow="1" firstDataRow="1" firstDataCol="1"/>
  <pivotFields count="17">
    <pivotField showAll="0">
      <items count="649">
        <item x="74"/>
        <item x="476"/>
        <item x="641"/>
        <item x="217"/>
        <item x="544"/>
        <item x="557"/>
        <item x="447"/>
        <item x="564"/>
        <item x="183"/>
        <item x="315"/>
        <item x="265"/>
        <item x="220"/>
        <item x="545"/>
        <item x="475"/>
        <item x="122"/>
        <item x="500"/>
        <item x="450"/>
        <item x="264"/>
        <item x="542"/>
        <item x="462"/>
        <item x="82"/>
        <item x="583"/>
        <item x="185"/>
        <item x="170"/>
        <item x="151"/>
        <item x="148"/>
        <item x="407"/>
        <item x="634"/>
        <item x="222"/>
        <item x="336"/>
        <item x="644"/>
        <item x="535"/>
        <item x="496"/>
        <item x="71"/>
        <item x="609"/>
        <item x="218"/>
        <item x="197"/>
        <item x="425"/>
        <item x="125"/>
        <item x="375"/>
        <item x="58"/>
        <item x="17"/>
        <item x="64"/>
        <item x="348"/>
        <item x="349"/>
        <item x="355"/>
        <item x="582"/>
        <item x="21"/>
        <item x="449"/>
        <item x="192"/>
        <item x="393"/>
        <item x="253"/>
        <item x="635"/>
        <item x="547"/>
        <item x="335"/>
        <item x="110"/>
        <item x="478"/>
        <item x="351"/>
        <item x="87"/>
        <item x="531"/>
        <item x="245"/>
        <item x="273"/>
        <item x="8"/>
        <item x="230"/>
        <item x="241"/>
        <item x="441"/>
        <item x="304"/>
        <item x="494"/>
        <item x="341"/>
        <item x="373"/>
        <item x="166"/>
        <item x="210"/>
        <item x="554"/>
        <item x="69"/>
        <item x="178"/>
        <item x="356"/>
        <item x="519"/>
        <item x="343"/>
        <item x="25"/>
        <item x="521"/>
        <item x="608"/>
        <item x="612"/>
        <item x="34"/>
        <item x="528"/>
        <item x="177"/>
        <item x="569"/>
        <item x="584"/>
        <item x="556"/>
        <item x="605"/>
        <item x="372"/>
        <item x="503"/>
        <item x="94"/>
        <item x="595"/>
        <item x="627"/>
        <item x="347"/>
        <item x="366"/>
        <item x="316"/>
        <item x="136"/>
        <item x="93"/>
        <item x="61"/>
        <item x="424"/>
        <item x="573"/>
        <item x="119"/>
        <item x="387"/>
        <item x="353"/>
        <item x="120"/>
        <item x="37"/>
        <item x="112"/>
        <item x="270"/>
        <item x="319"/>
        <item x="329"/>
        <item x="566"/>
        <item x="563"/>
        <item x="24"/>
        <item x="506"/>
        <item x="142"/>
        <item x="590"/>
        <item x="277"/>
        <item x="399"/>
        <item x="302"/>
        <item x="284"/>
        <item x="115"/>
        <item x="607"/>
        <item x="405"/>
        <item x="262"/>
        <item x="331"/>
        <item x="214"/>
        <item x="324"/>
        <item x="550"/>
        <item x="593"/>
        <item x="430"/>
        <item x="546"/>
        <item x="187"/>
        <item x="108"/>
        <item x="491"/>
        <item x="646"/>
        <item x="601"/>
        <item x="310"/>
        <item x="23"/>
        <item x="203"/>
        <item x="436"/>
        <item x="498"/>
        <item x="470"/>
        <item x="376"/>
        <item x="80"/>
        <item x="184"/>
        <item x="57"/>
        <item x="555"/>
        <item x="370"/>
        <item x="307"/>
        <item x="156"/>
        <item x="410"/>
        <item x="22"/>
        <item x="63"/>
        <item x="522"/>
        <item x="159"/>
        <item x="123"/>
        <item x="515"/>
        <item x="155"/>
        <item x="380"/>
        <item x="79"/>
        <item x="437"/>
        <item x="76"/>
        <item x="391"/>
        <item x="258"/>
        <item x="189"/>
        <item x="484"/>
        <item x="174"/>
        <item x="539"/>
        <item x="191"/>
        <item x="326"/>
        <item x="559"/>
        <item x="616"/>
        <item x="615"/>
        <item x="199"/>
        <item x="409"/>
        <item x="77"/>
        <item x="638"/>
        <item x="325"/>
        <item x="344"/>
        <item x="231"/>
        <item x="534"/>
        <item x="75"/>
        <item x="4"/>
        <item x="354"/>
        <item x="9"/>
        <item x="175"/>
        <item x="314"/>
        <item x="541"/>
        <item x="223"/>
        <item x="381"/>
        <item x="346"/>
        <item x="386"/>
        <item x="362"/>
        <item x="452"/>
        <item x="42"/>
        <item x="431"/>
        <item x="333"/>
        <item x="517"/>
        <item x="83"/>
        <item x="363"/>
        <item x="443"/>
        <item x="311"/>
        <item x="383"/>
        <item x="523"/>
        <item x="520"/>
        <item x="448"/>
        <item x="92"/>
        <item x="300"/>
        <item x="228"/>
        <item x="488"/>
        <item x="502"/>
        <item x="350"/>
        <item x="11"/>
        <item x="565"/>
        <item x="167"/>
        <item x="585"/>
        <item x="3"/>
        <item x="281"/>
        <item x="296"/>
        <item x="530"/>
        <item x="98"/>
        <item x="574"/>
        <item x="291"/>
        <item x="320"/>
        <item x="459"/>
        <item x="274"/>
        <item x="272"/>
        <item x="537"/>
        <item x="575"/>
        <item x="518"/>
        <item x="247"/>
        <item x="140"/>
        <item x="238"/>
        <item x="524"/>
        <item x="636"/>
        <item x="106"/>
        <item x="126"/>
        <item x="587"/>
        <item x="287"/>
        <item x="551"/>
        <item x="30"/>
        <item x="352"/>
        <item x="606"/>
        <item x="50"/>
        <item x="429"/>
        <item x="6"/>
        <item x="59"/>
        <item x="116"/>
        <item x="36"/>
        <item x="598"/>
        <item x="603"/>
        <item x="562"/>
        <item x="446"/>
        <item x="149"/>
        <item x="44"/>
        <item x="322"/>
        <item x="358"/>
        <item x="305"/>
        <item x="279"/>
        <item x="340"/>
        <item x="237"/>
        <item x="445"/>
        <item x="620"/>
        <item x="41"/>
        <item x="134"/>
        <item x="467"/>
        <item x="109"/>
        <item x="164"/>
        <item x="511"/>
        <item x="188"/>
        <item x="202"/>
        <item x="426"/>
        <item x="162"/>
        <item x="581"/>
        <item x="248"/>
        <item x="213"/>
        <item x="625"/>
        <item x="419"/>
        <item x="572"/>
        <item x="46"/>
        <item x="469"/>
        <item x="226"/>
        <item x="90"/>
        <item x="629"/>
        <item x="435"/>
        <item x="137"/>
        <item x="640"/>
        <item x="631"/>
        <item x="254"/>
        <item x="293"/>
        <item x="622"/>
        <item x="377"/>
        <item x="20"/>
        <item x="548"/>
        <item x="19"/>
        <item x="418"/>
        <item x="457"/>
        <item x="508"/>
        <item x="509"/>
        <item x="486"/>
        <item x="67"/>
        <item x="597"/>
        <item x="579"/>
        <item x="173"/>
        <item x="235"/>
        <item x="208"/>
        <item x="195"/>
        <item x="128"/>
        <item x="180"/>
        <item x="153"/>
        <item x="596"/>
        <item x="614"/>
        <item x="295"/>
        <item x="645"/>
        <item x="39"/>
        <item x="72"/>
        <item x="390"/>
        <item x="388"/>
        <item x="613"/>
        <item x="493"/>
        <item x="211"/>
        <item x="198"/>
        <item x="456"/>
        <item x="52"/>
        <item x="182"/>
        <item x="194"/>
        <item x="221"/>
        <item x="176"/>
        <item x="53"/>
        <item x="169"/>
        <item x="111"/>
        <item x="35"/>
        <item x="84"/>
        <item x="442"/>
        <item x="485"/>
        <item x="40"/>
        <item x="88"/>
        <item x="417"/>
        <item x="181"/>
        <item x="588"/>
        <item x="301"/>
        <item x="525"/>
        <item x="434"/>
        <item x="147"/>
        <item x="103"/>
        <item x="60"/>
        <item x="576"/>
        <item x="121"/>
        <item x="561"/>
        <item x="423"/>
        <item x="403"/>
        <item x="51"/>
        <item x="85"/>
        <item x="338"/>
        <item x="141"/>
        <item x="62"/>
        <item x="26"/>
        <item x="99"/>
        <item x="384"/>
        <item x="145"/>
        <item x="413"/>
        <item x="567"/>
        <item x="16"/>
        <item x="158"/>
        <item x="138"/>
        <item x="463"/>
        <item x="239"/>
        <item x="639"/>
        <item x="415"/>
        <item x="65"/>
        <item x="267"/>
        <item x="440"/>
        <item x="70"/>
        <item x="257"/>
        <item x="28"/>
        <item x="143"/>
        <item x="196"/>
        <item x="205"/>
        <item x="401"/>
        <item x="114"/>
        <item x="54"/>
        <item x="139"/>
        <item x="236"/>
        <item x="5"/>
        <item x="599"/>
        <item x="101"/>
        <item x="600"/>
        <item x="275"/>
        <item x="313"/>
        <item x="461"/>
        <item x="133"/>
        <item x="621"/>
        <item x="513"/>
        <item x="55"/>
        <item x="368"/>
        <item x="460"/>
        <item x="89"/>
        <item x="233"/>
        <item x="251"/>
        <item x="438"/>
        <item x="610"/>
        <item x="630"/>
        <item x="31"/>
        <item x="611"/>
        <item x="490"/>
        <item x="268"/>
        <item x="163"/>
        <item x="209"/>
        <item x="332"/>
        <item x="412"/>
        <item x="367"/>
        <item x="261"/>
        <item x="105"/>
        <item x="619"/>
        <item x="468"/>
        <item x="259"/>
        <item x="552"/>
        <item x="100"/>
        <item x="97"/>
        <item x="489"/>
        <item x="117"/>
        <item x="345"/>
        <item x="179"/>
        <item x="49"/>
        <item x="130"/>
        <item x="359"/>
        <item x="578"/>
        <item x="623"/>
        <item x="150"/>
        <item x="422"/>
        <item x="292"/>
        <item x="594"/>
        <item x="317"/>
        <item x="526"/>
        <item x="102"/>
        <item x="455"/>
        <item x="232"/>
        <item x="27"/>
        <item x="357"/>
        <item x="487"/>
        <item x="297"/>
        <item x="299"/>
        <item x="298"/>
        <item x="408"/>
        <item x="263"/>
        <item x="433"/>
        <item x="107"/>
        <item x="271"/>
        <item x="432"/>
        <item x="246"/>
        <item x="242"/>
        <item x="592"/>
        <item x="501"/>
        <item x="637"/>
        <item x="146"/>
        <item x="466"/>
        <item x="144"/>
        <item x="632"/>
        <item x="444"/>
        <item x="580"/>
        <item x="477"/>
        <item x="536"/>
        <item x="129"/>
        <item x="402"/>
        <item x="483"/>
        <item x="256"/>
        <item x="570"/>
        <item x="15"/>
        <item x="306"/>
        <item x="12"/>
        <item x="47"/>
        <item x="328"/>
        <item x="7"/>
        <item x="396"/>
        <item x="323"/>
        <item x="414"/>
        <item x="327"/>
        <item x="439"/>
        <item x="591"/>
        <item x="219"/>
        <item x="186"/>
        <item x="510"/>
        <item x="157"/>
        <item x="290"/>
        <item x="206"/>
        <item x="642"/>
        <item x="280"/>
        <item x="204"/>
        <item x="266"/>
        <item x="86"/>
        <item x="282"/>
        <item x="464"/>
        <item x="56"/>
        <item x="201"/>
        <item x="171"/>
        <item x="404"/>
        <item x="118"/>
        <item x="132"/>
        <item x="215"/>
        <item x="66"/>
        <item x="308"/>
        <item x="389"/>
        <item x="249"/>
        <item x="385"/>
        <item x="397"/>
        <item x="514"/>
        <item x="497"/>
        <item x="577"/>
        <item x="43"/>
        <item x="400"/>
        <item x="589"/>
        <item x="617"/>
        <item x="398"/>
        <item x="626"/>
        <item x="309"/>
        <item x="104"/>
        <item x="512"/>
        <item x="571"/>
        <item x="172"/>
        <item x="124"/>
        <item x="32"/>
        <item x="395"/>
        <item x="604"/>
        <item x="361"/>
        <item x="633"/>
        <item x="474"/>
        <item x="95"/>
        <item x="200"/>
        <item x="2"/>
        <item x="549"/>
        <item x="492"/>
        <item x="289"/>
        <item x="406"/>
        <item x="586"/>
        <item x="495"/>
        <item x="260"/>
        <item x="482"/>
        <item x="276"/>
        <item x="505"/>
        <item x="33"/>
        <item x="428"/>
        <item x="312"/>
        <item x="285"/>
        <item x="538"/>
        <item x="602"/>
        <item x="161"/>
        <item x="318"/>
        <item x="227"/>
        <item x="647"/>
        <item x="73"/>
        <item x="421"/>
        <item x="252"/>
        <item x="330"/>
        <item x="568"/>
        <item x="499"/>
        <item x="278"/>
        <item x="454"/>
        <item x="416"/>
        <item x="451"/>
        <item x="29"/>
        <item x="342"/>
        <item x="45"/>
        <item x="0"/>
        <item x="371"/>
        <item x="216"/>
        <item x="479"/>
        <item x="504"/>
        <item x="190"/>
        <item x="288"/>
        <item x="533"/>
        <item x="540"/>
        <item x="553"/>
        <item x="243"/>
        <item x="473"/>
        <item x="1"/>
        <item x="154"/>
        <item x="38"/>
        <item x="465"/>
        <item x="360"/>
        <item x="78"/>
        <item x="374"/>
        <item x="481"/>
        <item x="127"/>
        <item x="135"/>
        <item x="113"/>
        <item x="558"/>
        <item x="560"/>
        <item x="532"/>
        <item x="364"/>
        <item x="160"/>
        <item x="453"/>
        <item x="207"/>
        <item x="543"/>
        <item x="13"/>
        <item x="394"/>
        <item x="337"/>
        <item x="427"/>
        <item x="382"/>
        <item x="628"/>
        <item x="131"/>
        <item x="234"/>
        <item x="48"/>
        <item x="294"/>
        <item x="81"/>
        <item x="240"/>
        <item x="334"/>
        <item x="392"/>
        <item x="91"/>
        <item x="68"/>
        <item x="212"/>
        <item x="516"/>
        <item x="472"/>
        <item x="369"/>
        <item x="250"/>
        <item x="339"/>
        <item x="618"/>
        <item x="379"/>
        <item x="529"/>
        <item x="225"/>
        <item x="480"/>
        <item x="244"/>
        <item x="152"/>
        <item x="411"/>
        <item x="193"/>
        <item x="14"/>
        <item x="365"/>
        <item x="507"/>
        <item x="303"/>
        <item x="224"/>
        <item x="255"/>
        <item x="286"/>
        <item x="18"/>
        <item x="378"/>
        <item x="458"/>
        <item x="10"/>
        <item x="165"/>
        <item x="624"/>
        <item x="96"/>
        <item x="321"/>
        <item x="643"/>
        <item x="269"/>
        <item x="420"/>
        <item x="229"/>
        <item x="283"/>
        <item x="471"/>
        <item x="527"/>
        <item x="168"/>
        <item t="default"/>
      </items>
    </pivotField>
    <pivotField showAll="0"/>
    <pivotField axis="axisRow" showAll="0">
      <items count="4">
        <item x="0"/>
        <item x="2"/>
        <item x="1"/>
        <item t="default"/>
      </items>
    </pivotField>
    <pivotField showAll="0"/>
    <pivotField showAll="0"/>
    <pivotField showAll="0">
      <items count="7">
        <item x="3"/>
        <item x="0"/>
        <item x="1"/>
        <item x="2"/>
        <item x="5"/>
        <item x="4"/>
        <item t="default"/>
      </items>
    </pivotField>
    <pivotField showAll="0"/>
    <pivotField showAll="0"/>
    <pivotField showAll="0"/>
    <pivotField showAll="0">
      <items count="6">
        <item x="2"/>
        <item x="4"/>
        <item x="3"/>
        <item x="0"/>
        <item x="1"/>
        <item t="default"/>
      </items>
    </pivotField>
    <pivotField numFmtId="14" showAll="0">
      <items count="62">
        <item x="7"/>
        <item x="32"/>
        <item x="8"/>
        <item x="53"/>
        <item x="60"/>
        <item x="38"/>
        <item x="57"/>
        <item x="20"/>
        <item x="11"/>
        <item x="50"/>
        <item x="49"/>
        <item x="51"/>
        <item x="34"/>
        <item x="27"/>
        <item x="18"/>
        <item x="22"/>
        <item x="2"/>
        <item x="36"/>
        <item x="43"/>
        <item x="4"/>
        <item x="35"/>
        <item x="13"/>
        <item x="12"/>
        <item x="26"/>
        <item x="25"/>
        <item x="39"/>
        <item x="37"/>
        <item x="33"/>
        <item x="58"/>
        <item x="40"/>
        <item x="24"/>
        <item x="15"/>
        <item x="5"/>
        <item x="29"/>
        <item x="54"/>
        <item x="14"/>
        <item x="45"/>
        <item x="28"/>
        <item x="23"/>
        <item x="0"/>
        <item x="17"/>
        <item x="21"/>
        <item x="48"/>
        <item x="59"/>
        <item x="6"/>
        <item x="16"/>
        <item x="10"/>
        <item x="42"/>
        <item x="55"/>
        <item x="44"/>
        <item x="3"/>
        <item x="47"/>
        <item x="41"/>
        <item x="19"/>
        <item x="31"/>
        <item x="56"/>
        <item x="46"/>
        <item x="1"/>
        <item x="52"/>
        <item x="9"/>
        <item x="30"/>
        <item t="default"/>
      </items>
    </pivotField>
    <pivotField showAll="0"/>
    <pivotField dataField="1"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9">
        <item x="0"/>
        <item x="1"/>
        <item x="2"/>
        <item x="3"/>
        <item x="4"/>
        <item x="5"/>
        <item x="6"/>
        <item x="7"/>
        <item t="default"/>
      </items>
    </pivotField>
  </pivotFields>
  <rowFields count="1">
    <field x="2"/>
  </rowFields>
  <rowItems count="4">
    <i>
      <x/>
    </i>
    <i>
      <x v="1"/>
    </i>
    <i>
      <x v="2"/>
    </i>
    <i t="grand">
      <x/>
    </i>
  </rowItems>
  <colItems count="1">
    <i/>
  </colItems>
  <dataFields count="1">
    <dataField name="Sum of Revenue " fld="12" baseField="0" baseItem="0"/>
  </dataFields>
  <formats count="7">
    <format dxfId="7">
      <pivotArea collapsedLevelsAreSubtotals="1" fieldPosition="0">
        <references count="1">
          <reference field="2" count="0"/>
        </references>
      </pivotArea>
    </format>
    <format dxfId="6">
      <pivotArea type="all" dataOnly="0" outline="0" fieldPosition="0"/>
    </format>
    <format dxfId="5">
      <pivotArea outline="0" collapsedLevelsAreSubtotals="1" fieldPosition="0"/>
    </format>
    <format dxfId="4">
      <pivotArea field="2" type="button" dataOnly="0" labelOnly="1" outline="0" axis="axisRow" fieldPosition="0"/>
    </format>
    <format dxfId="3">
      <pivotArea dataOnly="0" labelOnly="1" fieldPosition="0">
        <references count="1">
          <reference field="2" count="0"/>
        </references>
      </pivotArea>
    </format>
    <format dxfId="2">
      <pivotArea dataOnly="0" labelOnly="1" grandRow="1" outline="0" fieldPosition="0"/>
    </format>
    <format dxfId="1">
      <pivotArea dataOnly="0" labelOnly="1" outline="0" axis="axisValues" fieldPosition="0"/>
    </format>
  </formats>
  <chartFormats count="7">
    <chartFormat chart="2" format="1"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 chart="25" format="1" series="1">
      <pivotArea type="data" outline="0" fieldPosition="0">
        <references count="1">
          <reference field="4294967294" count="1" selected="0">
            <x v="0"/>
          </reference>
        </references>
      </pivotArea>
    </chartFormat>
    <chartFormat chart="26" format="2" series="1">
      <pivotArea type="data" outline="0" fieldPosition="0">
        <references count="1">
          <reference field="4294967294" count="1" selected="0">
            <x v="0"/>
          </reference>
        </references>
      </pivotArea>
    </chartFormat>
    <chartFormat chart="4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E180E5-0119-4764-9E4D-42A040FC97B7}"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6:B42" firstHeaderRow="1" firstDataRow="1" firstDataCol="1"/>
  <pivotFields count="17">
    <pivotField showAll="0"/>
    <pivotField showAll="0"/>
    <pivotField showAll="0"/>
    <pivotField showAll="0"/>
    <pivotField showAll="0"/>
    <pivotField showAll="0"/>
    <pivotField showAll="0"/>
    <pivotField showAll="0"/>
    <pivotField axis="axisRow" showAll="0">
      <items count="6">
        <item x="4"/>
        <item x="3"/>
        <item x="1"/>
        <item x="2"/>
        <item x="0"/>
        <item t="default"/>
      </items>
    </pivotField>
    <pivotField showAll="0">
      <items count="6">
        <item x="2"/>
        <item x="4"/>
        <item x="3"/>
        <item x="0"/>
        <item x="1"/>
        <item t="default"/>
      </items>
    </pivotField>
    <pivotField numFmtId="14" showAll="0">
      <items count="62">
        <item x="7"/>
        <item x="32"/>
        <item x="8"/>
        <item x="53"/>
        <item x="60"/>
        <item x="38"/>
        <item x="57"/>
        <item x="20"/>
        <item x="11"/>
        <item x="50"/>
        <item x="49"/>
        <item x="51"/>
        <item x="34"/>
        <item x="27"/>
        <item x="18"/>
        <item x="22"/>
        <item x="2"/>
        <item x="36"/>
        <item x="43"/>
        <item x="4"/>
        <item x="35"/>
        <item x="13"/>
        <item x="12"/>
        <item x="26"/>
        <item x="25"/>
        <item x="39"/>
        <item x="37"/>
        <item x="33"/>
        <item x="58"/>
        <item x="40"/>
        <item x="24"/>
        <item x="15"/>
        <item x="5"/>
        <item x="29"/>
        <item x="54"/>
        <item x="14"/>
        <item x="45"/>
        <item x="28"/>
        <item x="23"/>
        <item x="0"/>
        <item x="17"/>
        <item x="21"/>
        <item x="48"/>
        <item x="59"/>
        <item x="6"/>
        <item x="16"/>
        <item x="10"/>
        <item x="42"/>
        <item x="55"/>
        <item x="44"/>
        <item x="3"/>
        <item x="47"/>
        <item x="41"/>
        <item x="19"/>
        <item x="31"/>
        <item x="56"/>
        <item x="46"/>
        <item x="1"/>
        <item x="52"/>
        <item x="9"/>
        <item x="30"/>
        <item t="default"/>
      </items>
    </pivotField>
    <pivotField showAll="0"/>
    <pivotField dataField="1" showAll="0"/>
    <pivotField showAll="0"/>
    <pivotField showAll="0" defaultSubtotal="0"/>
    <pivotField showAll="0" defaultSubtotal="0"/>
    <pivotField showAll="0" defaultSubtotal="0">
      <items count="8">
        <item x="0"/>
        <item x="1"/>
        <item x="2"/>
        <item x="3"/>
        <item x="4"/>
        <item x="5"/>
        <item x="6"/>
        <item x="7"/>
      </items>
    </pivotField>
  </pivotFields>
  <rowFields count="1">
    <field x="8"/>
  </rowFields>
  <rowItems count="6">
    <i>
      <x/>
    </i>
    <i>
      <x v="1"/>
    </i>
    <i>
      <x v="2"/>
    </i>
    <i>
      <x v="3"/>
    </i>
    <i>
      <x v="4"/>
    </i>
    <i t="grand">
      <x/>
    </i>
  </rowItems>
  <colItems count="1">
    <i/>
  </colItems>
  <dataFields count="1">
    <dataField name="Sum of Revenue " fld="12" baseField="0" baseItem="0"/>
  </dataFields>
  <formats count="6">
    <format dxfId="13">
      <pivotArea type="all" dataOnly="0" outline="0" fieldPosition="0"/>
    </format>
    <format dxfId="12">
      <pivotArea outline="0" collapsedLevelsAreSubtotals="1" fieldPosition="0"/>
    </format>
    <format dxfId="11">
      <pivotArea field="8" type="button" dataOnly="0" labelOnly="1" outline="0" axis="axisRow" fieldPosition="0"/>
    </format>
    <format dxfId="10">
      <pivotArea dataOnly="0" labelOnly="1" fieldPosition="0">
        <references count="1">
          <reference field="8" count="0"/>
        </references>
      </pivotArea>
    </format>
    <format dxfId="9">
      <pivotArea dataOnly="0" labelOnly="1" grandRow="1" outline="0" fieldPosition="0"/>
    </format>
    <format dxfId="8">
      <pivotArea dataOnly="0" labelOnly="1" outline="0" axis="axisValues" fieldPosition="0"/>
    </format>
  </formats>
  <chartFormats count="6">
    <chartFormat chart="8" format="19" series="1">
      <pivotArea type="data" outline="0" fieldPosition="0">
        <references count="1">
          <reference field="4294967294" count="1" selected="0">
            <x v="0"/>
          </reference>
        </references>
      </pivotArea>
    </chartFormat>
    <chartFormat chart="8" format="20">
      <pivotArea type="data" outline="0" fieldPosition="0">
        <references count="2">
          <reference field="4294967294" count="1" selected="0">
            <x v="0"/>
          </reference>
          <reference field="8" count="1" selected="0">
            <x v="0"/>
          </reference>
        </references>
      </pivotArea>
    </chartFormat>
    <chartFormat chart="8" format="21">
      <pivotArea type="data" outline="0" fieldPosition="0">
        <references count="2">
          <reference field="4294967294" count="1" selected="0">
            <x v="0"/>
          </reference>
          <reference field="8" count="1" selected="0">
            <x v="1"/>
          </reference>
        </references>
      </pivotArea>
    </chartFormat>
    <chartFormat chart="8" format="22">
      <pivotArea type="data" outline="0" fieldPosition="0">
        <references count="2">
          <reference field="4294967294" count="1" selected="0">
            <x v="0"/>
          </reference>
          <reference field="8" count="1" selected="0">
            <x v="2"/>
          </reference>
        </references>
      </pivotArea>
    </chartFormat>
    <chartFormat chart="8" format="23">
      <pivotArea type="data" outline="0" fieldPosition="0">
        <references count="2">
          <reference field="4294967294" count="1" selected="0">
            <x v="0"/>
          </reference>
          <reference field="8" count="1" selected="0">
            <x v="3"/>
          </reference>
        </references>
      </pivotArea>
    </chartFormat>
    <chartFormat chart="8" format="24">
      <pivotArea type="data" outline="0" fieldPosition="0">
        <references count="2">
          <reference field="4294967294" count="1" selected="0">
            <x v="0"/>
          </reference>
          <reference field="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788124A-09E2-4151-9821-AEC7F9232049}" name="QUANTITY BY MEMBERSHIP"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5:B31" firstHeaderRow="1" firstDataRow="1" firstDataCol="1"/>
  <pivotFields count="17">
    <pivotField showAll="0"/>
    <pivotField showAll="0"/>
    <pivotField showAll="0"/>
    <pivotField showAll="0"/>
    <pivotField dataField="1" showAll="0"/>
    <pivotField showAll="0"/>
    <pivotField showAll="0"/>
    <pivotField showAll="0"/>
    <pivotField showAll="0"/>
    <pivotField axis="axisRow" showAll="0">
      <items count="6">
        <item x="2"/>
        <item x="4"/>
        <item x="3"/>
        <item x="0"/>
        <item x="1"/>
        <item t="default"/>
      </items>
    </pivotField>
    <pivotField numFmtId="14" showAll="0">
      <items count="62">
        <item x="7"/>
        <item x="32"/>
        <item x="8"/>
        <item x="53"/>
        <item x="60"/>
        <item x="38"/>
        <item x="57"/>
        <item x="20"/>
        <item x="11"/>
        <item x="50"/>
        <item x="49"/>
        <item x="51"/>
        <item x="34"/>
        <item x="27"/>
        <item x="18"/>
        <item x="22"/>
        <item x="2"/>
        <item x="36"/>
        <item x="43"/>
        <item x="4"/>
        <item x="35"/>
        <item x="13"/>
        <item x="12"/>
        <item x="26"/>
        <item x="25"/>
        <item x="39"/>
        <item x="37"/>
        <item x="33"/>
        <item x="58"/>
        <item x="40"/>
        <item x="24"/>
        <item x="15"/>
        <item x="5"/>
        <item x="29"/>
        <item x="54"/>
        <item x="14"/>
        <item x="45"/>
        <item x="28"/>
        <item x="23"/>
        <item x="0"/>
        <item x="17"/>
        <item x="21"/>
        <item x="48"/>
        <item x="59"/>
        <item x="6"/>
        <item x="16"/>
        <item x="10"/>
        <item x="42"/>
        <item x="55"/>
        <item x="44"/>
        <item x="3"/>
        <item x="47"/>
        <item x="41"/>
        <item x="19"/>
        <item x="31"/>
        <item x="56"/>
        <item x="46"/>
        <item x="1"/>
        <item x="52"/>
        <item x="9"/>
        <item x="30"/>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9">
        <item x="0"/>
        <item x="1"/>
        <item x="2"/>
        <item x="3"/>
        <item x="4"/>
        <item x="5"/>
        <item x="6"/>
        <item x="7"/>
        <item t="default"/>
      </items>
    </pivotField>
  </pivotFields>
  <rowFields count="1">
    <field x="9"/>
  </rowFields>
  <rowItems count="6">
    <i>
      <x/>
    </i>
    <i>
      <x v="1"/>
    </i>
    <i>
      <x v="2"/>
    </i>
    <i>
      <x v="3"/>
    </i>
    <i>
      <x v="4"/>
    </i>
    <i t="grand">
      <x/>
    </i>
  </rowItems>
  <colItems count="1">
    <i/>
  </colItems>
  <dataFields count="1">
    <dataField name="Sum of Quantity" fld="4" baseField="0" baseItem="0"/>
  </dataFields>
  <formats count="6">
    <format dxfId="19">
      <pivotArea type="all" dataOnly="0" outline="0" fieldPosition="0"/>
    </format>
    <format dxfId="18">
      <pivotArea outline="0" collapsedLevelsAreSubtotals="1" fieldPosition="0"/>
    </format>
    <format dxfId="17">
      <pivotArea field="9" type="button" dataOnly="0" labelOnly="1" outline="0" axis="axisRow" fieldPosition="0"/>
    </format>
    <format dxfId="16">
      <pivotArea dataOnly="0" labelOnly="1" fieldPosition="0">
        <references count="1">
          <reference field="9" count="0"/>
        </references>
      </pivotArea>
    </format>
    <format dxfId="15">
      <pivotArea dataOnly="0" labelOnly="1" grandRow="1" outline="0" fieldPosition="0"/>
    </format>
    <format dxfId="1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68DC57F-6BFD-45C2-9BC9-5B35F60A79AB}" name="GROWTH%"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47:B109" firstHeaderRow="1" firstDataRow="1" firstDataCol="1"/>
  <pivotFields count="17">
    <pivotField showAll="0"/>
    <pivotField showAll="0"/>
    <pivotField showAll="0"/>
    <pivotField showAll="0"/>
    <pivotField showAll="0"/>
    <pivotField showAll="0"/>
    <pivotField showAll="0"/>
    <pivotField showAll="0"/>
    <pivotField showAll="0"/>
    <pivotField showAll="0">
      <items count="6">
        <item x="2"/>
        <item x="4"/>
        <item x="3"/>
        <item x="0"/>
        <item x="1"/>
        <item t="default"/>
      </items>
    </pivotField>
    <pivotField axis="axisRow" numFmtId="14" showAll="0">
      <items count="62">
        <item x="7"/>
        <item x="32"/>
        <item x="8"/>
        <item x="53"/>
        <item x="60"/>
        <item x="38"/>
        <item x="57"/>
        <item x="20"/>
        <item x="11"/>
        <item x="50"/>
        <item x="49"/>
        <item x="51"/>
        <item x="34"/>
        <item x="27"/>
        <item x="18"/>
        <item x="22"/>
        <item x="2"/>
        <item x="36"/>
        <item x="43"/>
        <item x="4"/>
        <item x="35"/>
        <item x="13"/>
        <item x="12"/>
        <item x="26"/>
        <item x="25"/>
        <item x="39"/>
        <item x="37"/>
        <item x="33"/>
        <item x="58"/>
        <item x="40"/>
        <item x="24"/>
        <item x="15"/>
        <item x="5"/>
        <item x="29"/>
        <item x="54"/>
        <item x="14"/>
        <item x="45"/>
        <item x="28"/>
        <item x="23"/>
        <item x="0"/>
        <item x="17"/>
        <item x="21"/>
        <item x="48"/>
        <item x="59"/>
        <item x="6"/>
        <item x="16"/>
        <item x="10"/>
        <item x="42"/>
        <item x="55"/>
        <item x="44"/>
        <item x="3"/>
        <item x="47"/>
        <item x="41"/>
        <item x="19"/>
        <item x="31"/>
        <item x="56"/>
        <item x="46"/>
        <item x="1"/>
        <item x="52"/>
        <item x="9"/>
        <item x="30"/>
        <item t="default"/>
      </items>
    </pivotField>
    <pivotField showAll="0">
      <items count="7">
        <item x="4"/>
        <item x="2"/>
        <item x="3"/>
        <item x="0"/>
        <item x="1"/>
        <item x="5"/>
        <item t="default"/>
      </items>
    </pivotField>
    <pivotField dataField="1" showAll="0"/>
    <pivotField showAll="0"/>
    <pivotField showAll="0" defaultSubtotal="0">
      <items count="14">
        <item sd="0" x="0"/>
        <item x="1"/>
        <item x="2"/>
        <item x="3"/>
        <item x="4"/>
        <item x="5"/>
        <item x="6"/>
        <item x="7"/>
        <item x="8"/>
        <item x="9"/>
        <item sd="0" x="10"/>
        <item x="11"/>
        <item x="12"/>
        <item sd="0" x="13"/>
      </items>
    </pivotField>
    <pivotField showAll="0" defaultSubtotal="0">
      <items count="6">
        <item sd="0" x="0"/>
        <item sd="0" x="1"/>
        <item sd="0" x="2"/>
        <item sd="0" x="3"/>
        <item sd="0" x="4"/>
        <item sd="0" x="5"/>
      </items>
    </pivotField>
    <pivotField showAll="0" defaultSubtotal="0">
      <items count="8">
        <item sd="0" x="0"/>
        <item sd="0" x="1"/>
        <item sd="0" x="2"/>
        <item sd="0" x="3"/>
        <item sd="0" x="4"/>
        <item sd="0" x="5"/>
        <item sd="0" x="6"/>
        <item sd="0" x="7"/>
      </items>
    </pivotField>
  </pivotFields>
  <rowFields count="1">
    <field x="10"/>
  </rowFields>
  <row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rowItems>
  <colItems count="1">
    <i/>
  </colItems>
  <dataFields count="1">
    <dataField name="Sum of Revenue " fld="12" baseField="0" baseItem="0"/>
  </dataFields>
  <chartFormats count="1">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D6A4C5B-6D02-4ECD-9FB1-9F12772BBEE1}" autoFormatId="16" applyNumberFormats="0" applyBorderFormats="0" applyFontFormats="0" applyPatternFormats="0" applyAlignmentFormats="0" applyWidthHeightFormats="0">
  <queryTableRefresh nextId="15">
    <queryTableFields count="14">
      <queryTableField id="1" name="Order Date" tableColumnId="1"/>
      <queryTableField id="2" name="CustomerName" tableColumnId="2"/>
      <queryTableField id="3" name="Category" tableColumnId="3"/>
      <queryTableField id="4" name="Sub-Category" tableColumnId="4"/>
      <queryTableField id="5" name="Quantity" tableColumnId="5"/>
      <queryTableField id="6" name="State" tableColumnId="6"/>
      <queryTableField id="7" name="City" tableColumnId="7"/>
      <queryTableField id="8" name="Amount" tableColumnId="8"/>
      <queryTableField id="9" name="PaymentMode" tableColumnId="9"/>
      <queryTableField id="10" name="MEMBERSHIP" tableColumnId="10"/>
      <queryTableField id="11" name="Month " tableColumnId="11"/>
      <queryTableField id="12" name="Year" tableColumnId="12"/>
      <queryTableField id="13" name="Revenue " tableColumnId="13"/>
      <queryTableField id="14" name="Order Types" tableColumnId="1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 xr10:uid="{C046D923-CD09-4874-9BE4-A7EAF6610A36}" sourceName="Order Date">
  <pivotTables>
    <pivotTable tabId="3" name="REVENUE BY CATEGORY"/>
  </pivotTables>
  <data>
    <tabular pivotCacheId="1891955078">
      <items count="648">
        <i x="74" s="1"/>
        <i x="476" s="1"/>
        <i x="641" s="1"/>
        <i x="217" s="1"/>
        <i x="544" s="1"/>
        <i x="557" s="1"/>
        <i x="447" s="1"/>
        <i x="564" s="1"/>
        <i x="183" s="1"/>
        <i x="315" s="1"/>
        <i x="265" s="1"/>
        <i x="220" s="1"/>
        <i x="545" s="1"/>
        <i x="475" s="1"/>
        <i x="122" s="1"/>
        <i x="500" s="1"/>
        <i x="450" s="1"/>
        <i x="264" s="1"/>
        <i x="542" s="1"/>
        <i x="462" s="1"/>
        <i x="82" s="1"/>
        <i x="583" s="1"/>
        <i x="185" s="1"/>
        <i x="170" s="1"/>
        <i x="151" s="1"/>
        <i x="148" s="1"/>
        <i x="407" s="1"/>
        <i x="634" s="1"/>
        <i x="222" s="1"/>
        <i x="336" s="1"/>
        <i x="644" s="1"/>
        <i x="535" s="1"/>
        <i x="496" s="1"/>
        <i x="71" s="1"/>
        <i x="609" s="1"/>
        <i x="218" s="1"/>
        <i x="197" s="1"/>
        <i x="425" s="1"/>
        <i x="125" s="1"/>
        <i x="375" s="1"/>
        <i x="58" s="1"/>
        <i x="17" s="1"/>
        <i x="64" s="1"/>
        <i x="348" s="1"/>
        <i x="349" s="1"/>
        <i x="355" s="1"/>
        <i x="582" s="1"/>
        <i x="21" s="1"/>
        <i x="449" s="1"/>
        <i x="192" s="1"/>
        <i x="393" s="1"/>
        <i x="253" s="1"/>
        <i x="635" s="1"/>
        <i x="547" s="1"/>
        <i x="335" s="1"/>
        <i x="110" s="1"/>
        <i x="478" s="1"/>
        <i x="351" s="1"/>
        <i x="87" s="1"/>
        <i x="531" s="1"/>
        <i x="245" s="1"/>
        <i x="273" s="1"/>
        <i x="8" s="1"/>
        <i x="230" s="1"/>
        <i x="241" s="1"/>
        <i x="441" s="1"/>
        <i x="304" s="1"/>
        <i x="494" s="1"/>
        <i x="341" s="1"/>
        <i x="373" s="1"/>
        <i x="166" s="1"/>
        <i x="210" s="1"/>
        <i x="554" s="1"/>
        <i x="69" s="1"/>
        <i x="178" s="1"/>
        <i x="356" s="1"/>
        <i x="519" s="1"/>
        <i x="343" s="1"/>
        <i x="25" s="1"/>
        <i x="521" s="1"/>
        <i x="608" s="1"/>
        <i x="612" s="1"/>
        <i x="34" s="1"/>
        <i x="528" s="1"/>
        <i x="177" s="1"/>
        <i x="569" s="1"/>
        <i x="584" s="1"/>
        <i x="556" s="1"/>
        <i x="605" s="1"/>
        <i x="372" s="1"/>
        <i x="503" s="1"/>
        <i x="94" s="1"/>
        <i x="595" s="1"/>
        <i x="627" s="1"/>
        <i x="347" s="1"/>
        <i x="366" s="1"/>
        <i x="316" s="1"/>
        <i x="136" s="1"/>
        <i x="93" s="1"/>
        <i x="61" s="1"/>
        <i x="424" s="1"/>
        <i x="573" s="1"/>
        <i x="119" s="1"/>
        <i x="387" s="1"/>
        <i x="353" s="1"/>
        <i x="120" s="1"/>
        <i x="37" s="1"/>
        <i x="112" s="1"/>
        <i x="270" s="1"/>
        <i x="319" s="1"/>
        <i x="329" s="1"/>
        <i x="566" s="1"/>
        <i x="563" s="1"/>
        <i x="24" s="1"/>
        <i x="506" s="1"/>
        <i x="142" s="1"/>
        <i x="590" s="1"/>
        <i x="277" s="1"/>
        <i x="399" s="1"/>
        <i x="302" s="1"/>
        <i x="284" s="1"/>
        <i x="115" s="1"/>
        <i x="607" s="1"/>
        <i x="405" s="1"/>
        <i x="262" s="1"/>
        <i x="331" s="1"/>
        <i x="214" s="1"/>
        <i x="324" s="1"/>
        <i x="550" s="1"/>
        <i x="593" s="1"/>
        <i x="430" s="1"/>
        <i x="546" s="1"/>
        <i x="187" s="1"/>
        <i x="108" s="1"/>
        <i x="491" s="1"/>
        <i x="646" s="1"/>
        <i x="601" s="1"/>
        <i x="310" s="1"/>
        <i x="23" s="1"/>
        <i x="203" s="1"/>
        <i x="436" s="1"/>
        <i x="498" s="1"/>
        <i x="470" s="1"/>
        <i x="376" s="1"/>
        <i x="80" s="1"/>
        <i x="184" s="1"/>
        <i x="57" s="1"/>
        <i x="555" s="1"/>
        <i x="370" s="1"/>
        <i x="307" s="1"/>
        <i x="156" s="1"/>
        <i x="410" s="1"/>
        <i x="22" s="1"/>
        <i x="63" s="1"/>
        <i x="522" s="1"/>
        <i x="159" s="1"/>
        <i x="123" s="1"/>
        <i x="515" s="1"/>
        <i x="155" s="1"/>
        <i x="380" s="1"/>
        <i x="79" s="1"/>
        <i x="437" s="1"/>
        <i x="76" s="1"/>
        <i x="391" s="1"/>
        <i x="258" s="1"/>
        <i x="189" s="1"/>
        <i x="484" s="1"/>
        <i x="174" s="1"/>
        <i x="539" s="1"/>
        <i x="191" s="1"/>
        <i x="326" s="1"/>
        <i x="559" s="1"/>
        <i x="616" s="1"/>
        <i x="615" s="1"/>
        <i x="199" s="1"/>
        <i x="409" s="1"/>
        <i x="77" s="1"/>
        <i x="638" s="1"/>
        <i x="325" s="1"/>
        <i x="344" s="1"/>
        <i x="231" s="1"/>
        <i x="534" s="1"/>
        <i x="75" s="1"/>
        <i x="4" s="1"/>
        <i x="354" s="1"/>
        <i x="9" s="1"/>
        <i x="175" s="1"/>
        <i x="314" s="1"/>
        <i x="541" s="1"/>
        <i x="223" s="1"/>
        <i x="381" s="1"/>
        <i x="346" s="1"/>
        <i x="386" s="1"/>
        <i x="362" s="1"/>
        <i x="452" s="1"/>
        <i x="42" s="1"/>
        <i x="431" s="1"/>
        <i x="333" s="1"/>
        <i x="517" s="1"/>
        <i x="83" s="1"/>
        <i x="363" s="1"/>
        <i x="443" s="1"/>
        <i x="311" s="1"/>
        <i x="383" s="1"/>
        <i x="523" s="1"/>
        <i x="520" s="1"/>
        <i x="448" s="1"/>
        <i x="92" s="1"/>
        <i x="300" s="1"/>
        <i x="228" s="1"/>
        <i x="488" s="1"/>
        <i x="502" s="1"/>
        <i x="350" s="1"/>
        <i x="11" s="1"/>
        <i x="565" s="1"/>
        <i x="167" s="1"/>
        <i x="585" s="1"/>
        <i x="3" s="1"/>
        <i x="281" s="1"/>
        <i x="296" s="1"/>
        <i x="530" s="1"/>
        <i x="98" s="1"/>
        <i x="574" s="1"/>
        <i x="291" s="1"/>
        <i x="320" s="1"/>
        <i x="459" s="1"/>
        <i x="274" s="1"/>
        <i x="272" s="1"/>
        <i x="537" s="1"/>
        <i x="575" s="1"/>
        <i x="518" s="1"/>
        <i x="247" s="1"/>
        <i x="140" s="1"/>
        <i x="238" s="1"/>
        <i x="524" s="1"/>
        <i x="636" s="1"/>
        <i x="106" s="1"/>
        <i x="126" s="1"/>
        <i x="587" s="1"/>
        <i x="287" s="1"/>
        <i x="551" s="1"/>
        <i x="30" s="1"/>
        <i x="352" s="1"/>
        <i x="606" s="1"/>
        <i x="50" s="1"/>
        <i x="429" s="1"/>
        <i x="6" s="1"/>
        <i x="59" s="1"/>
        <i x="116" s="1"/>
        <i x="36" s="1"/>
        <i x="598" s="1"/>
        <i x="603" s="1"/>
        <i x="562" s="1"/>
        <i x="446" s="1"/>
        <i x="149" s="1"/>
        <i x="44" s="1"/>
        <i x="322" s="1"/>
        <i x="358" s="1"/>
        <i x="305" s="1"/>
        <i x="279" s="1"/>
        <i x="340" s="1"/>
        <i x="237" s="1"/>
        <i x="445" s="1"/>
        <i x="620" s="1"/>
        <i x="41" s="1"/>
        <i x="134" s="1"/>
        <i x="467" s="1"/>
        <i x="109" s="1"/>
        <i x="164" s="1"/>
        <i x="511" s="1"/>
        <i x="188" s="1"/>
        <i x="202" s="1"/>
        <i x="426" s="1"/>
        <i x="162" s="1"/>
        <i x="581" s="1"/>
        <i x="248" s="1"/>
        <i x="213" s="1"/>
        <i x="625" s="1"/>
        <i x="419" s="1"/>
        <i x="572" s="1"/>
        <i x="46" s="1"/>
        <i x="469" s="1"/>
        <i x="226" s="1"/>
        <i x="90" s="1"/>
        <i x="629" s="1"/>
        <i x="435" s="1"/>
        <i x="137" s="1"/>
        <i x="640" s="1"/>
        <i x="631" s="1"/>
        <i x="254" s="1"/>
        <i x="293" s="1"/>
        <i x="622" s="1"/>
        <i x="377" s="1"/>
        <i x="20" s="1"/>
        <i x="548" s="1"/>
        <i x="19" s="1"/>
        <i x="418" s="1"/>
        <i x="457" s="1"/>
        <i x="508" s="1"/>
        <i x="509" s="1"/>
        <i x="486" s="1"/>
        <i x="67" s="1"/>
        <i x="597" s="1"/>
        <i x="579" s="1"/>
        <i x="173" s="1"/>
        <i x="235" s="1"/>
        <i x="208" s="1"/>
        <i x="195" s="1"/>
        <i x="128" s="1"/>
        <i x="180" s="1"/>
        <i x="153" s="1"/>
        <i x="596" s="1"/>
        <i x="614" s="1"/>
        <i x="295" s="1"/>
        <i x="645" s="1"/>
        <i x="39" s="1"/>
        <i x="72" s="1"/>
        <i x="390" s="1"/>
        <i x="388" s="1"/>
        <i x="613" s="1"/>
        <i x="493" s="1"/>
        <i x="211" s="1"/>
        <i x="198" s="1"/>
        <i x="456" s="1"/>
        <i x="52" s="1"/>
        <i x="182" s="1"/>
        <i x="194" s="1"/>
        <i x="221" s="1"/>
        <i x="176" s="1"/>
        <i x="53" s="1"/>
        <i x="169" s="1"/>
        <i x="111" s="1"/>
        <i x="35" s="1"/>
        <i x="84" s="1"/>
        <i x="442" s="1"/>
        <i x="485" s="1"/>
        <i x="40" s="1"/>
        <i x="88" s="1"/>
        <i x="417" s="1"/>
        <i x="181" s="1"/>
        <i x="588" s="1"/>
        <i x="301" s="1"/>
        <i x="525" s="1"/>
        <i x="434" s="1"/>
        <i x="147" s="1"/>
        <i x="103" s="1"/>
        <i x="60" s="1"/>
        <i x="576" s="1"/>
        <i x="121" s="1"/>
        <i x="561" s="1"/>
        <i x="423" s="1"/>
        <i x="403" s="1"/>
        <i x="51" s="1"/>
        <i x="85" s="1"/>
        <i x="338" s="1"/>
        <i x="141" s="1"/>
        <i x="62" s="1"/>
        <i x="26" s="1"/>
        <i x="99" s="1"/>
        <i x="384" s="1"/>
        <i x="145" s="1"/>
        <i x="413" s="1"/>
        <i x="567" s="1"/>
        <i x="16" s="1"/>
        <i x="158" s="1"/>
        <i x="138" s="1"/>
        <i x="463" s="1"/>
        <i x="239" s="1"/>
        <i x="639" s="1"/>
        <i x="415" s="1"/>
        <i x="65" s="1"/>
        <i x="267" s="1"/>
        <i x="440" s="1"/>
        <i x="70" s="1"/>
        <i x="257" s="1"/>
        <i x="28" s="1"/>
        <i x="143" s="1"/>
        <i x="196" s="1"/>
        <i x="205" s="1"/>
        <i x="401" s="1"/>
        <i x="114" s="1"/>
        <i x="54" s="1"/>
        <i x="139" s="1"/>
        <i x="236" s="1"/>
        <i x="5" s="1"/>
        <i x="599" s="1"/>
        <i x="101" s="1"/>
        <i x="600" s="1"/>
        <i x="275" s="1"/>
        <i x="313" s="1"/>
        <i x="461" s="1"/>
        <i x="133" s="1"/>
        <i x="621" s="1"/>
        <i x="513" s="1"/>
        <i x="55" s="1"/>
        <i x="368" s="1"/>
        <i x="460" s="1"/>
        <i x="89" s="1"/>
        <i x="233" s="1"/>
        <i x="251" s="1"/>
        <i x="438" s="1"/>
        <i x="610" s="1"/>
        <i x="630" s="1"/>
        <i x="31" s="1"/>
        <i x="611" s="1"/>
        <i x="490" s="1"/>
        <i x="268" s="1"/>
        <i x="163" s="1"/>
        <i x="209" s="1"/>
        <i x="332" s="1"/>
        <i x="412" s="1"/>
        <i x="367" s="1"/>
        <i x="261" s="1"/>
        <i x="105" s="1"/>
        <i x="619" s="1"/>
        <i x="468" s="1"/>
        <i x="259" s="1"/>
        <i x="552" s="1"/>
        <i x="100" s="1"/>
        <i x="97" s="1"/>
        <i x="489" s="1"/>
        <i x="117" s="1"/>
        <i x="345" s="1"/>
        <i x="179" s="1"/>
        <i x="49" s="1"/>
        <i x="130" s="1"/>
        <i x="359" s="1"/>
        <i x="578" s="1"/>
        <i x="623" s="1"/>
        <i x="150" s="1"/>
        <i x="422" s="1"/>
        <i x="292" s="1"/>
        <i x="594" s="1"/>
        <i x="317" s="1"/>
        <i x="526" s="1"/>
        <i x="102" s="1"/>
        <i x="455" s="1"/>
        <i x="232" s="1"/>
        <i x="27" s="1"/>
        <i x="357" s="1"/>
        <i x="487" s="1"/>
        <i x="297" s="1"/>
        <i x="299" s="1"/>
        <i x="298" s="1"/>
        <i x="408" s="1"/>
        <i x="263" s="1"/>
        <i x="433" s="1"/>
        <i x="107" s="1"/>
        <i x="271" s="1"/>
        <i x="432" s="1"/>
        <i x="246" s="1"/>
        <i x="242" s="1"/>
        <i x="592" s="1"/>
        <i x="501" s="1"/>
        <i x="637" s="1"/>
        <i x="146" s="1"/>
        <i x="466" s="1"/>
        <i x="144" s="1"/>
        <i x="632" s="1"/>
        <i x="444" s="1"/>
        <i x="580" s="1"/>
        <i x="477" s="1"/>
        <i x="536" s="1"/>
        <i x="129" s="1"/>
        <i x="402" s="1"/>
        <i x="483" s="1"/>
        <i x="256" s="1"/>
        <i x="570" s="1"/>
        <i x="15" s="1"/>
        <i x="306" s="1"/>
        <i x="12" s="1"/>
        <i x="47" s="1"/>
        <i x="328" s="1"/>
        <i x="7" s="1"/>
        <i x="396" s="1"/>
        <i x="323" s="1"/>
        <i x="414" s="1"/>
        <i x="327" s="1"/>
        <i x="439" s="1"/>
        <i x="591" s="1"/>
        <i x="219" s="1"/>
        <i x="186" s="1"/>
        <i x="510" s="1"/>
        <i x="157" s="1"/>
        <i x="290" s="1"/>
        <i x="206" s="1"/>
        <i x="642" s="1"/>
        <i x="280" s="1"/>
        <i x="204" s="1"/>
        <i x="266" s="1"/>
        <i x="86" s="1"/>
        <i x="282" s="1"/>
        <i x="464" s="1"/>
        <i x="56" s="1"/>
        <i x="201" s="1"/>
        <i x="171" s="1"/>
        <i x="404" s="1"/>
        <i x="118" s="1"/>
        <i x="132" s="1"/>
        <i x="215" s="1"/>
        <i x="66" s="1"/>
        <i x="308" s="1"/>
        <i x="389" s="1"/>
        <i x="249" s="1"/>
        <i x="385" s="1"/>
        <i x="397" s="1"/>
        <i x="514" s="1"/>
        <i x="497" s="1"/>
        <i x="577" s="1"/>
        <i x="43" s="1"/>
        <i x="400" s="1"/>
        <i x="589" s="1"/>
        <i x="617" s="1"/>
        <i x="398" s="1"/>
        <i x="626" s="1"/>
        <i x="309" s="1"/>
        <i x="104" s="1"/>
        <i x="512" s="1"/>
        <i x="571" s="1"/>
        <i x="172" s="1"/>
        <i x="124" s="1"/>
        <i x="32" s="1"/>
        <i x="395" s="1"/>
        <i x="604" s="1"/>
        <i x="361" s="1"/>
        <i x="633" s="1"/>
        <i x="474" s="1"/>
        <i x="95" s="1"/>
        <i x="200" s="1"/>
        <i x="2" s="1"/>
        <i x="549" s="1"/>
        <i x="492" s="1"/>
        <i x="289" s="1"/>
        <i x="406" s="1"/>
        <i x="586" s="1"/>
        <i x="495" s="1"/>
        <i x="260" s="1"/>
        <i x="482" s="1"/>
        <i x="276" s="1"/>
        <i x="505" s="1"/>
        <i x="33" s="1"/>
        <i x="428" s="1"/>
        <i x="312" s="1"/>
        <i x="285" s="1"/>
        <i x="538" s="1"/>
        <i x="602" s="1"/>
        <i x="161" s="1"/>
        <i x="318" s="1"/>
        <i x="227" s="1"/>
        <i x="647" s="1"/>
        <i x="73" s="1"/>
        <i x="421" s="1"/>
        <i x="252" s="1"/>
        <i x="330" s="1"/>
        <i x="568" s="1"/>
        <i x="499" s="1"/>
        <i x="278" s="1"/>
        <i x="454" s="1"/>
        <i x="416" s="1"/>
        <i x="451" s="1"/>
        <i x="29" s="1"/>
        <i x="342" s="1"/>
        <i x="45" s="1"/>
        <i x="0" s="1"/>
        <i x="371" s="1"/>
        <i x="216" s="1"/>
        <i x="479" s="1"/>
        <i x="504" s="1"/>
        <i x="190" s="1"/>
        <i x="288" s="1"/>
        <i x="533" s="1"/>
        <i x="540" s="1"/>
        <i x="553" s="1"/>
        <i x="243" s="1"/>
        <i x="473" s="1"/>
        <i x="1" s="1"/>
        <i x="154" s="1"/>
        <i x="38" s="1"/>
        <i x="465" s="1"/>
        <i x="360" s="1"/>
        <i x="78" s="1"/>
        <i x="374" s="1"/>
        <i x="481" s="1"/>
        <i x="127" s="1"/>
        <i x="135" s="1"/>
        <i x="113" s="1"/>
        <i x="558" s="1"/>
        <i x="560" s="1"/>
        <i x="532" s="1"/>
        <i x="364" s="1"/>
        <i x="160" s="1"/>
        <i x="453" s="1"/>
        <i x="207" s="1"/>
        <i x="543" s="1"/>
        <i x="13" s="1"/>
        <i x="394" s="1"/>
        <i x="337" s="1"/>
        <i x="427" s="1"/>
        <i x="382" s="1"/>
        <i x="628" s="1"/>
        <i x="131" s="1"/>
        <i x="234" s="1"/>
        <i x="48" s="1"/>
        <i x="294" s="1"/>
        <i x="81" s="1"/>
        <i x="240" s="1"/>
        <i x="334" s="1"/>
        <i x="392" s="1"/>
        <i x="91" s="1"/>
        <i x="68" s="1"/>
        <i x="212" s="1"/>
        <i x="516" s="1"/>
        <i x="472" s="1"/>
        <i x="369" s="1"/>
        <i x="250" s="1"/>
        <i x="339" s="1"/>
        <i x="618" s="1"/>
        <i x="379" s="1"/>
        <i x="529" s="1"/>
        <i x="225" s="1"/>
        <i x="480" s="1"/>
        <i x="244" s="1"/>
        <i x="152" s="1"/>
        <i x="411" s="1"/>
        <i x="193" s="1"/>
        <i x="14" s="1"/>
        <i x="365" s="1"/>
        <i x="507" s="1"/>
        <i x="303" s="1"/>
        <i x="224" s="1"/>
        <i x="255" s="1"/>
        <i x="286" s="1"/>
        <i x="18" s="1"/>
        <i x="378" s="1"/>
        <i x="458" s="1"/>
        <i x="10" s="1"/>
        <i x="165" s="1"/>
        <i x="624" s="1"/>
        <i x="96" s="1"/>
        <i x="321" s="1"/>
        <i x="643" s="1"/>
        <i x="269" s="1"/>
        <i x="420" s="1"/>
        <i x="229" s="1"/>
        <i x="283" s="1"/>
        <i x="471" s="1"/>
        <i x="527" s="1"/>
        <i x="168"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475D3415-B5EE-4F4A-B7A3-8736EB08FDA3}" sourceName="Category">
  <pivotTables>
    <pivotTable tabId="3" name="REVENUE BY CATEGORY"/>
  </pivotTables>
  <data>
    <tabular pivotCacheId="1891955078">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A0DCCB30-0EDF-4341-944E-8793237CC7F1}" sourceName="State">
  <pivotTables>
    <pivotTable tabId="3" name="REVENUE BY CATEGORY"/>
  </pivotTables>
  <data>
    <tabular pivotCacheId="1891955078">
      <items count="6">
        <i x="3" s="1"/>
        <i x="0" s="1"/>
        <i x="1" s="1"/>
        <i x="2" s="1"/>
        <i x="5" s="1"/>
        <i x="4"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EMBERSHIP" xr10:uid="{4ECE7CD3-7C63-4FC8-AD4E-E4496D396260}" sourceName="MEMBERSHIP">
  <pivotTables>
    <pivotTable tabId="3" name="REVENUE BY CATEGORY"/>
    <pivotTable tabId="3" name="GROWTH%"/>
    <pivotTable tabId="3" name="PivotTable2"/>
    <pivotTable tabId="3" name="QUANTITY BY MEMBERSHIP"/>
    <pivotTable tabId="3" name="REVENUE BY STATE"/>
  </pivotTables>
  <data>
    <tabular pivotCacheId="1891955078">
      <items count="5">
        <i x="2" s="1"/>
        <i x="4" s="1"/>
        <i x="3"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Date" xr10:uid="{3F92F0EA-BBE6-4298-AFE3-2AB8295CB232}" cache="Slicer_Order_Date" caption="Order Date" rowHeight="234950"/>
  <slicer name="Category" xr10:uid="{3BB0700A-1A1D-4A3C-9FC7-867E18401AF5}" cache="Slicer_Category" caption="Category" rowHeight="234950"/>
  <slicer name="State" xr10:uid="{70726A1A-567F-4336-BABC-E36787014D87}" cache="Slicer_State" caption="State" rowHeight="234950"/>
  <slicer name="MEMBERSHIP" xr10:uid="{FD2A4675-7CF9-4096-A028-01CB7EE394B1}" cache="Slicer_MEMBERSHIP" caption="MEMBERSHIP"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95E48A7-1E5E-4EC5-94A4-DF9FF6092106}" name="Sales_Data_1" displayName="Sales_Data_1" ref="A1:N1195" tableType="queryTable" totalsRowShown="0">
  <autoFilter ref="A1:N1195" xr:uid="{995E48A7-1E5E-4EC5-94A4-DF9FF6092106}"/>
  <tableColumns count="14">
    <tableColumn id="1" xr3:uid="{843B142A-D0D1-4B9C-8149-2E96007D7F8B}" uniqueName="1" name="Order Date" queryTableFieldId="1" dataDxfId="29"/>
    <tableColumn id="2" xr3:uid="{A226B026-9302-4C43-9E92-108485937C7F}" uniqueName="2" name="CustomerName" queryTableFieldId="2" dataDxfId="28"/>
    <tableColumn id="3" xr3:uid="{549D0EF6-FB3C-48D7-8713-A9BE9DAAB480}" uniqueName="3" name="Category" queryTableFieldId="3" dataDxfId="27"/>
    <tableColumn id="4" xr3:uid="{82C3C9DE-F781-4F0D-86E9-75F148522F00}" uniqueName="4" name="Sub-Category" queryTableFieldId="4" dataDxfId="26"/>
    <tableColumn id="5" xr3:uid="{2CE678A0-F6E7-426F-9A77-27C8FFB4C6D5}" uniqueName="5" name="Quantity" queryTableFieldId="5"/>
    <tableColumn id="6" xr3:uid="{035FC06F-43E4-466D-A428-26DEF38C48EA}" uniqueName="6" name="State" queryTableFieldId="6" dataDxfId="25"/>
    <tableColumn id="7" xr3:uid="{04A4FADC-4F39-45DC-8844-600B0EC629A9}" uniqueName="7" name="City" queryTableFieldId="7" dataDxfId="24"/>
    <tableColumn id="8" xr3:uid="{A79B574F-30EB-406F-B76C-AB3E1DB4679C}" uniqueName="8" name="Amount" queryTableFieldId="8"/>
    <tableColumn id="9" xr3:uid="{83B71EF0-2DAF-4646-850A-0D90E1F2F89B}" uniqueName="9" name="PaymentMode" queryTableFieldId="9" dataDxfId="23"/>
    <tableColumn id="10" xr3:uid="{6803494C-EED7-4FFA-A1D6-E5D54A1AC11D}" uniqueName="10" name="MEMBERSHIP" queryTableFieldId="10" dataDxfId="22"/>
    <tableColumn id="11" xr3:uid="{0DACA458-D6AA-4BA0-A76E-FEF2ED0AEC8F}" uniqueName="11" name="Month " queryTableFieldId="11" dataDxfId="21"/>
    <tableColumn id="12" xr3:uid="{E87F83A6-1F57-40D7-B80A-65D6A5C5D79F}" uniqueName="12" name="Year" queryTableFieldId="12"/>
    <tableColumn id="13" xr3:uid="{2E2BD99F-754A-49D0-8DCF-E9B2CA340FCE}" uniqueName="13" name="Revenue " queryTableFieldId="13"/>
    <tableColumn id="14" xr3:uid="{4C4FC58A-A241-462F-A33A-E21CD4B735B6}" uniqueName="14" name="Order Types" queryTableFieldId="14" dataDxfId="2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27FF8-09E5-4D92-A276-5C3BB05FCAC0}">
  <dimension ref="A1:N1195"/>
  <sheetViews>
    <sheetView tabSelected="1" workbookViewId="0">
      <selection activeCell="T2" sqref="T2:U8"/>
    </sheetView>
  </sheetViews>
  <sheetFormatPr defaultRowHeight="14.4" x14ac:dyDescent="0.3"/>
  <cols>
    <col min="1" max="1" width="12.33203125" bestFit="1" customWidth="1"/>
    <col min="2" max="2" width="21.44140625" bestFit="1" customWidth="1"/>
    <col min="3" max="3" width="13.109375" bestFit="1" customWidth="1"/>
    <col min="4" max="4" width="15.21875" bestFit="1" customWidth="1"/>
    <col min="5" max="5" width="10.5546875" bestFit="1" customWidth="1"/>
    <col min="7" max="7" width="14.33203125" bestFit="1" customWidth="1"/>
    <col min="8" max="8" width="10.109375" bestFit="1" customWidth="1"/>
    <col min="9" max="9" width="15.88671875" bestFit="1" customWidth="1"/>
    <col min="10" max="10" width="14.88671875" bestFit="1" customWidth="1"/>
    <col min="11" max="11" width="10.33203125" bestFit="1" customWidth="1"/>
    <col min="12" max="12" width="6.88671875" bestFit="1" customWidth="1"/>
    <col min="13" max="13" width="11" bestFit="1" customWidth="1"/>
    <col min="14" max="14" width="13.33203125" bestFit="1" customWidth="1"/>
    <col min="20" max="20" width="12.5546875" bestFit="1" customWidth="1"/>
    <col min="21" max="21" width="15.33203125" bestFit="1" customWidth="1"/>
  </cols>
  <sheetData>
    <row r="1" spans="1:14" x14ac:dyDescent="0.3">
      <c r="A1" t="s">
        <v>0</v>
      </c>
      <c r="B1" t="s">
        <v>1</v>
      </c>
      <c r="C1" t="s">
        <v>804</v>
      </c>
      <c r="D1" t="s">
        <v>808</v>
      </c>
      <c r="E1" t="s">
        <v>821</v>
      </c>
      <c r="F1" t="s">
        <v>823</v>
      </c>
      <c r="G1" t="s">
        <v>822</v>
      </c>
      <c r="H1" t="s">
        <v>830</v>
      </c>
      <c r="I1" t="s">
        <v>831</v>
      </c>
      <c r="J1" t="s">
        <v>837</v>
      </c>
      <c r="K1" t="s">
        <v>846</v>
      </c>
      <c r="L1" t="s">
        <v>847</v>
      </c>
      <c r="M1" t="s">
        <v>848</v>
      </c>
      <c r="N1" t="s">
        <v>849</v>
      </c>
    </row>
    <row r="2" spans="1:14" x14ac:dyDescent="0.3">
      <c r="A2" t="s">
        <v>850</v>
      </c>
      <c r="B2" t="s">
        <v>2</v>
      </c>
      <c r="C2" t="s">
        <v>805</v>
      </c>
      <c r="D2" t="s">
        <v>809</v>
      </c>
      <c r="E2">
        <v>5</v>
      </c>
      <c r="F2" t="s">
        <v>824</v>
      </c>
      <c r="G2" t="s">
        <v>851</v>
      </c>
      <c r="H2">
        <v>9726</v>
      </c>
      <c r="I2" t="s">
        <v>832</v>
      </c>
      <c r="J2" t="s">
        <v>843</v>
      </c>
      <c r="K2" s="2">
        <v>45078</v>
      </c>
      <c r="L2">
        <v>2023</v>
      </c>
      <c r="M2">
        <v>48630</v>
      </c>
      <c r="N2" t="s">
        <v>852</v>
      </c>
    </row>
    <row r="3" spans="1:14" x14ac:dyDescent="0.3">
      <c r="A3" t="s">
        <v>853</v>
      </c>
      <c r="B3" t="s">
        <v>3</v>
      </c>
      <c r="C3" t="s">
        <v>805</v>
      </c>
      <c r="D3" t="s">
        <v>809</v>
      </c>
      <c r="E3">
        <v>5</v>
      </c>
      <c r="F3" t="s">
        <v>825</v>
      </c>
      <c r="G3" t="s">
        <v>854</v>
      </c>
      <c r="H3">
        <v>9726</v>
      </c>
      <c r="I3" t="s">
        <v>832</v>
      </c>
      <c r="J3" t="s">
        <v>843</v>
      </c>
      <c r="K3" s="2">
        <v>45627</v>
      </c>
      <c r="L3">
        <v>2024</v>
      </c>
      <c r="M3">
        <v>48630</v>
      </c>
      <c r="N3" t="s">
        <v>852</v>
      </c>
    </row>
    <row r="4" spans="1:14" x14ac:dyDescent="0.3">
      <c r="A4" t="s">
        <v>855</v>
      </c>
      <c r="B4" t="s">
        <v>4</v>
      </c>
      <c r="C4" t="s">
        <v>805</v>
      </c>
      <c r="D4" t="s">
        <v>809</v>
      </c>
      <c r="E4">
        <v>5</v>
      </c>
      <c r="F4" t="s">
        <v>826</v>
      </c>
      <c r="G4" t="s">
        <v>856</v>
      </c>
      <c r="H4">
        <v>9726</v>
      </c>
      <c r="I4" t="s">
        <v>832</v>
      </c>
      <c r="J4" t="s">
        <v>843</v>
      </c>
      <c r="K4" s="2">
        <v>44378</v>
      </c>
      <c r="L4">
        <v>2021</v>
      </c>
      <c r="M4">
        <v>48630</v>
      </c>
      <c r="N4" t="s">
        <v>852</v>
      </c>
    </row>
    <row r="5" spans="1:14" x14ac:dyDescent="0.3">
      <c r="A5" t="s">
        <v>850</v>
      </c>
      <c r="B5" t="s">
        <v>2</v>
      </c>
      <c r="C5" t="s">
        <v>805</v>
      </c>
      <c r="D5" t="s">
        <v>810</v>
      </c>
      <c r="E5">
        <v>14</v>
      </c>
      <c r="F5" t="s">
        <v>824</v>
      </c>
      <c r="G5" t="s">
        <v>851</v>
      </c>
      <c r="H5">
        <v>4975</v>
      </c>
      <c r="I5" t="s">
        <v>832</v>
      </c>
      <c r="J5" t="s">
        <v>844</v>
      </c>
      <c r="K5" s="2">
        <v>45078</v>
      </c>
      <c r="L5">
        <v>2023</v>
      </c>
      <c r="M5">
        <v>69650</v>
      </c>
      <c r="N5" t="s">
        <v>857</v>
      </c>
    </row>
    <row r="6" spans="1:14" x14ac:dyDescent="0.3">
      <c r="A6" t="s">
        <v>853</v>
      </c>
      <c r="B6" t="s">
        <v>3</v>
      </c>
      <c r="C6" t="s">
        <v>805</v>
      </c>
      <c r="D6" t="s">
        <v>810</v>
      </c>
      <c r="E6">
        <v>14</v>
      </c>
      <c r="F6" t="s">
        <v>825</v>
      </c>
      <c r="G6" t="s">
        <v>854</v>
      </c>
      <c r="H6">
        <v>4975</v>
      </c>
      <c r="I6" t="s">
        <v>832</v>
      </c>
      <c r="J6" t="s">
        <v>844</v>
      </c>
      <c r="K6" s="2">
        <v>45627</v>
      </c>
      <c r="L6">
        <v>2024</v>
      </c>
      <c r="M6">
        <v>69650</v>
      </c>
      <c r="N6" t="s">
        <v>857</v>
      </c>
    </row>
    <row r="7" spans="1:14" x14ac:dyDescent="0.3">
      <c r="A7" t="s">
        <v>855</v>
      </c>
      <c r="B7" t="s">
        <v>4</v>
      </c>
      <c r="C7" t="s">
        <v>805</v>
      </c>
      <c r="D7" t="s">
        <v>810</v>
      </c>
      <c r="E7">
        <v>14</v>
      </c>
      <c r="F7" t="s">
        <v>826</v>
      </c>
      <c r="G7" t="s">
        <v>856</v>
      </c>
      <c r="H7">
        <v>4975</v>
      </c>
      <c r="I7" t="s">
        <v>832</v>
      </c>
      <c r="J7" t="s">
        <v>844</v>
      </c>
      <c r="K7" s="2">
        <v>44378</v>
      </c>
      <c r="L7">
        <v>2021</v>
      </c>
      <c r="M7">
        <v>69650</v>
      </c>
      <c r="N7" t="s">
        <v>857</v>
      </c>
    </row>
    <row r="8" spans="1:14" x14ac:dyDescent="0.3">
      <c r="A8" t="s">
        <v>858</v>
      </c>
      <c r="B8" t="s">
        <v>5</v>
      </c>
      <c r="C8" t="s">
        <v>806</v>
      </c>
      <c r="D8" t="s">
        <v>811</v>
      </c>
      <c r="E8">
        <v>12</v>
      </c>
      <c r="F8" t="s">
        <v>824</v>
      </c>
      <c r="G8" t="s">
        <v>859</v>
      </c>
      <c r="H8">
        <v>1525</v>
      </c>
      <c r="I8" t="s">
        <v>833</v>
      </c>
      <c r="J8" t="s">
        <v>840</v>
      </c>
      <c r="K8" s="2">
        <v>45413</v>
      </c>
      <c r="L8">
        <v>2024</v>
      </c>
      <c r="M8">
        <v>18300</v>
      </c>
      <c r="N8" t="s">
        <v>857</v>
      </c>
    </row>
    <row r="9" spans="1:14" x14ac:dyDescent="0.3">
      <c r="A9" t="s">
        <v>860</v>
      </c>
      <c r="B9" t="s">
        <v>6</v>
      </c>
      <c r="C9" t="s">
        <v>806</v>
      </c>
      <c r="D9" t="s">
        <v>811</v>
      </c>
      <c r="E9">
        <v>12</v>
      </c>
      <c r="F9" t="s">
        <v>824</v>
      </c>
      <c r="G9" t="s">
        <v>851</v>
      </c>
      <c r="H9">
        <v>1525</v>
      </c>
      <c r="I9" t="s">
        <v>833</v>
      </c>
      <c r="J9" t="s">
        <v>840</v>
      </c>
      <c r="K9" s="2">
        <v>44470</v>
      </c>
      <c r="L9">
        <v>2021</v>
      </c>
      <c r="M9">
        <v>18300</v>
      </c>
      <c r="N9" t="s">
        <v>857</v>
      </c>
    </row>
    <row r="10" spans="1:14" x14ac:dyDescent="0.3">
      <c r="A10" t="s">
        <v>861</v>
      </c>
      <c r="B10" t="s">
        <v>7</v>
      </c>
      <c r="C10" t="s">
        <v>805</v>
      </c>
      <c r="D10" t="s">
        <v>812</v>
      </c>
      <c r="E10">
        <v>10</v>
      </c>
      <c r="F10" t="s">
        <v>827</v>
      </c>
      <c r="G10" t="s">
        <v>862</v>
      </c>
      <c r="H10">
        <v>883</v>
      </c>
      <c r="I10" t="s">
        <v>834</v>
      </c>
      <c r="J10" t="s">
        <v>840</v>
      </c>
      <c r="K10" s="2">
        <v>44866</v>
      </c>
      <c r="L10">
        <v>2022</v>
      </c>
      <c r="M10">
        <v>8830</v>
      </c>
      <c r="N10" t="s">
        <v>857</v>
      </c>
    </row>
    <row r="11" spans="1:14" x14ac:dyDescent="0.3">
      <c r="A11" t="s">
        <v>861</v>
      </c>
      <c r="B11" t="s">
        <v>7</v>
      </c>
      <c r="C11" t="s">
        <v>807</v>
      </c>
      <c r="D11" t="s">
        <v>813</v>
      </c>
      <c r="E11">
        <v>16</v>
      </c>
      <c r="F11" t="s">
        <v>827</v>
      </c>
      <c r="G11" t="s">
        <v>862</v>
      </c>
      <c r="H11">
        <v>8127</v>
      </c>
      <c r="I11" t="s">
        <v>835</v>
      </c>
      <c r="J11" t="s">
        <v>843</v>
      </c>
      <c r="K11" s="2">
        <v>44866</v>
      </c>
      <c r="L11">
        <v>2022</v>
      </c>
      <c r="M11">
        <v>130032</v>
      </c>
      <c r="N11" t="s">
        <v>863</v>
      </c>
    </row>
    <row r="12" spans="1:14" x14ac:dyDescent="0.3">
      <c r="A12" t="s">
        <v>864</v>
      </c>
      <c r="B12" t="s">
        <v>8</v>
      </c>
      <c r="C12" t="s">
        <v>807</v>
      </c>
      <c r="D12" t="s">
        <v>814</v>
      </c>
      <c r="E12">
        <v>19</v>
      </c>
      <c r="F12" t="s">
        <v>826</v>
      </c>
      <c r="G12" t="s">
        <v>865</v>
      </c>
      <c r="H12">
        <v>2516</v>
      </c>
      <c r="I12" t="s">
        <v>832</v>
      </c>
      <c r="J12" t="s">
        <v>842</v>
      </c>
      <c r="K12" s="2">
        <v>45231</v>
      </c>
      <c r="L12">
        <v>2023</v>
      </c>
      <c r="M12">
        <v>47804</v>
      </c>
      <c r="N12" t="s">
        <v>863</v>
      </c>
    </row>
    <row r="13" spans="1:14" x14ac:dyDescent="0.3">
      <c r="A13" t="s">
        <v>866</v>
      </c>
      <c r="B13" t="s">
        <v>9</v>
      </c>
      <c r="C13" t="s">
        <v>806</v>
      </c>
      <c r="D13" t="s">
        <v>811</v>
      </c>
      <c r="E13">
        <v>14</v>
      </c>
      <c r="F13" t="s">
        <v>826</v>
      </c>
      <c r="G13" t="s">
        <v>865</v>
      </c>
      <c r="H13">
        <v>2975</v>
      </c>
      <c r="I13" t="s">
        <v>835</v>
      </c>
      <c r="J13" t="s">
        <v>842</v>
      </c>
      <c r="K13" s="2">
        <v>43891</v>
      </c>
      <c r="L13">
        <v>2020</v>
      </c>
      <c r="M13">
        <v>41650</v>
      </c>
      <c r="N13" t="s">
        <v>857</v>
      </c>
    </row>
    <row r="14" spans="1:14" x14ac:dyDescent="0.3">
      <c r="A14" t="s">
        <v>867</v>
      </c>
      <c r="B14" t="s">
        <v>10</v>
      </c>
      <c r="C14" t="s">
        <v>806</v>
      </c>
      <c r="D14" t="s">
        <v>815</v>
      </c>
      <c r="E14">
        <v>1</v>
      </c>
      <c r="F14" t="s">
        <v>824</v>
      </c>
      <c r="G14" t="s">
        <v>859</v>
      </c>
      <c r="H14">
        <v>6851</v>
      </c>
      <c r="I14" t="s">
        <v>833</v>
      </c>
      <c r="J14" t="s">
        <v>841</v>
      </c>
      <c r="K14" s="2">
        <v>43952</v>
      </c>
      <c r="L14">
        <v>2020</v>
      </c>
      <c r="M14">
        <v>6851</v>
      </c>
      <c r="N14" t="s">
        <v>868</v>
      </c>
    </row>
    <row r="15" spans="1:14" x14ac:dyDescent="0.3">
      <c r="A15" t="s">
        <v>867</v>
      </c>
      <c r="B15" t="s">
        <v>10</v>
      </c>
      <c r="C15" t="s">
        <v>807</v>
      </c>
      <c r="D15" t="s">
        <v>816</v>
      </c>
      <c r="E15">
        <v>15</v>
      </c>
      <c r="F15" t="s">
        <v>824</v>
      </c>
      <c r="G15" t="s">
        <v>859</v>
      </c>
      <c r="H15">
        <v>7626</v>
      </c>
      <c r="I15" t="s">
        <v>835</v>
      </c>
      <c r="J15" t="s">
        <v>841</v>
      </c>
      <c r="K15" s="2">
        <v>43952</v>
      </c>
      <c r="L15">
        <v>2020</v>
      </c>
      <c r="M15">
        <v>114390</v>
      </c>
      <c r="N15" t="s">
        <v>863</v>
      </c>
    </row>
    <row r="16" spans="1:14" x14ac:dyDescent="0.3">
      <c r="A16" t="s">
        <v>867</v>
      </c>
      <c r="B16" t="s">
        <v>10</v>
      </c>
      <c r="C16" t="s">
        <v>807</v>
      </c>
      <c r="D16" t="s">
        <v>813</v>
      </c>
      <c r="E16">
        <v>9</v>
      </c>
      <c r="F16" t="s">
        <v>824</v>
      </c>
      <c r="G16" t="s">
        <v>859</v>
      </c>
      <c r="H16">
        <v>1023</v>
      </c>
      <c r="I16" t="s">
        <v>832</v>
      </c>
      <c r="J16" t="s">
        <v>840</v>
      </c>
      <c r="K16" s="2">
        <v>43952</v>
      </c>
      <c r="L16">
        <v>2020</v>
      </c>
      <c r="M16">
        <v>9207</v>
      </c>
      <c r="N16" t="s">
        <v>852</v>
      </c>
    </row>
    <row r="17" spans="1:14" x14ac:dyDescent="0.3">
      <c r="A17" t="s">
        <v>869</v>
      </c>
      <c r="B17" t="s">
        <v>11</v>
      </c>
      <c r="C17" t="s">
        <v>806</v>
      </c>
      <c r="D17" t="s">
        <v>811</v>
      </c>
      <c r="E17">
        <v>10</v>
      </c>
      <c r="F17" t="s">
        <v>825</v>
      </c>
      <c r="G17" t="s">
        <v>870</v>
      </c>
      <c r="H17">
        <v>7600</v>
      </c>
      <c r="I17" t="s">
        <v>832</v>
      </c>
      <c r="J17" t="s">
        <v>841</v>
      </c>
      <c r="K17" s="2">
        <v>45231</v>
      </c>
      <c r="L17">
        <v>2023</v>
      </c>
      <c r="M17">
        <v>76000</v>
      </c>
      <c r="N17" t="s">
        <v>857</v>
      </c>
    </row>
    <row r="18" spans="1:14" x14ac:dyDescent="0.3">
      <c r="A18" t="s">
        <v>869</v>
      </c>
      <c r="B18" t="s">
        <v>11</v>
      </c>
      <c r="C18" t="s">
        <v>806</v>
      </c>
      <c r="D18" t="s">
        <v>817</v>
      </c>
      <c r="E18">
        <v>18</v>
      </c>
      <c r="F18" t="s">
        <v>825</v>
      </c>
      <c r="G18" t="s">
        <v>870</v>
      </c>
      <c r="H18">
        <v>7501</v>
      </c>
      <c r="I18" t="s">
        <v>836</v>
      </c>
      <c r="J18" t="s">
        <v>841</v>
      </c>
      <c r="K18" s="2">
        <v>45231</v>
      </c>
      <c r="L18">
        <v>2023</v>
      </c>
      <c r="M18">
        <v>135018</v>
      </c>
      <c r="N18" t="s">
        <v>863</v>
      </c>
    </row>
    <row r="19" spans="1:14" x14ac:dyDescent="0.3">
      <c r="A19" t="s">
        <v>871</v>
      </c>
      <c r="B19" t="s">
        <v>12</v>
      </c>
      <c r="C19" t="s">
        <v>806</v>
      </c>
      <c r="D19" t="s">
        <v>817</v>
      </c>
      <c r="E19">
        <v>6</v>
      </c>
      <c r="F19" t="s">
        <v>826</v>
      </c>
      <c r="G19" t="s">
        <v>872</v>
      </c>
      <c r="H19">
        <v>725</v>
      </c>
      <c r="I19" t="s">
        <v>835</v>
      </c>
      <c r="J19" t="s">
        <v>840</v>
      </c>
      <c r="K19" s="2">
        <v>45627</v>
      </c>
      <c r="L19">
        <v>2024</v>
      </c>
      <c r="M19">
        <v>4350</v>
      </c>
      <c r="N19" t="s">
        <v>852</v>
      </c>
    </row>
    <row r="20" spans="1:14" x14ac:dyDescent="0.3">
      <c r="A20" t="s">
        <v>871</v>
      </c>
      <c r="B20" t="s">
        <v>12</v>
      </c>
      <c r="C20" t="s">
        <v>807</v>
      </c>
      <c r="D20" t="s">
        <v>813</v>
      </c>
      <c r="E20">
        <v>2</v>
      </c>
      <c r="F20" t="s">
        <v>826</v>
      </c>
      <c r="G20" t="s">
        <v>872</v>
      </c>
      <c r="H20">
        <v>7201</v>
      </c>
      <c r="I20" t="s">
        <v>835</v>
      </c>
      <c r="J20" t="s">
        <v>841</v>
      </c>
      <c r="K20" s="2">
        <v>45627</v>
      </c>
      <c r="L20">
        <v>2024</v>
      </c>
      <c r="M20">
        <v>14402</v>
      </c>
      <c r="N20" t="s">
        <v>868</v>
      </c>
    </row>
    <row r="21" spans="1:14" x14ac:dyDescent="0.3">
      <c r="A21" t="s">
        <v>873</v>
      </c>
      <c r="B21" t="s">
        <v>13</v>
      </c>
      <c r="C21" t="s">
        <v>806</v>
      </c>
      <c r="D21" t="s">
        <v>817</v>
      </c>
      <c r="E21">
        <v>1</v>
      </c>
      <c r="F21" t="s">
        <v>828</v>
      </c>
      <c r="G21" t="s">
        <v>874</v>
      </c>
      <c r="H21">
        <v>1629</v>
      </c>
      <c r="I21" t="s">
        <v>832</v>
      </c>
      <c r="J21" t="s">
        <v>840</v>
      </c>
      <c r="K21" s="2">
        <v>45689</v>
      </c>
      <c r="L21">
        <v>2025</v>
      </c>
      <c r="M21">
        <v>1629</v>
      </c>
      <c r="N21" t="s">
        <v>868</v>
      </c>
    </row>
    <row r="22" spans="1:14" x14ac:dyDescent="0.3">
      <c r="A22" t="s">
        <v>875</v>
      </c>
      <c r="B22" t="s">
        <v>14</v>
      </c>
      <c r="C22" t="s">
        <v>806</v>
      </c>
      <c r="D22" t="s">
        <v>817</v>
      </c>
      <c r="E22">
        <v>1</v>
      </c>
      <c r="F22" t="s">
        <v>827</v>
      </c>
      <c r="G22" t="s">
        <v>876</v>
      </c>
      <c r="H22">
        <v>1629</v>
      </c>
      <c r="I22" t="s">
        <v>832</v>
      </c>
      <c r="J22" t="s">
        <v>840</v>
      </c>
      <c r="K22" s="2">
        <v>45292</v>
      </c>
      <c r="L22">
        <v>2024</v>
      </c>
      <c r="M22">
        <v>1629</v>
      </c>
      <c r="N22" t="s">
        <v>868</v>
      </c>
    </row>
    <row r="23" spans="1:14" x14ac:dyDescent="0.3">
      <c r="A23" t="s">
        <v>877</v>
      </c>
      <c r="B23" t="s">
        <v>15</v>
      </c>
      <c r="C23" t="s">
        <v>806</v>
      </c>
      <c r="D23" t="s">
        <v>818</v>
      </c>
      <c r="E23">
        <v>19</v>
      </c>
      <c r="F23" t="s">
        <v>827</v>
      </c>
      <c r="G23" t="s">
        <v>876</v>
      </c>
      <c r="H23">
        <v>8971</v>
      </c>
      <c r="I23" t="s">
        <v>833</v>
      </c>
      <c r="J23" t="s">
        <v>843</v>
      </c>
      <c r="K23" s="2">
        <v>44136</v>
      </c>
      <c r="L23">
        <v>2020</v>
      </c>
      <c r="M23">
        <v>170449</v>
      </c>
      <c r="N23" t="s">
        <v>863</v>
      </c>
    </row>
    <row r="24" spans="1:14" x14ac:dyDescent="0.3">
      <c r="A24" t="s">
        <v>877</v>
      </c>
      <c r="B24" t="s">
        <v>15</v>
      </c>
      <c r="C24" t="s">
        <v>806</v>
      </c>
      <c r="D24" t="s">
        <v>818</v>
      </c>
      <c r="E24">
        <v>20</v>
      </c>
      <c r="F24" t="s">
        <v>827</v>
      </c>
      <c r="G24" t="s">
        <v>876</v>
      </c>
      <c r="H24">
        <v>2939</v>
      </c>
      <c r="I24" t="s">
        <v>836</v>
      </c>
      <c r="J24" t="s">
        <v>842</v>
      </c>
      <c r="K24" s="2">
        <v>44136</v>
      </c>
      <c r="L24">
        <v>2020</v>
      </c>
      <c r="M24">
        <v>58780</v>
      </c>
      <c r="N24" t="s">
        <v>863</v>
      </c>
    </row>
    <row r="25" spans="1:14" x14ac:dyDescent="0.3">
      <c r="A25" t="s">
        <v>878</v>
      </c>
      <c r="B25" t="s">
        <v>16</v>
      </c>
      <c r="C25" t="s">
        <v>805</v>
      </c>
      <c r="D25" t="s">
        <v>819</v>
      </c>
      <c r="E25">
        <v>11</v>
      </c>
      <c r="F25" t="s">
        <v>826</v>
      </c>
      <c r="G25" t="s">
        <v>872</v>
      </c>
      <c r="H25">
        <v>9380</v>
      </c>
      <c r="I25" t="s">
        <v>832</v>
      </c>
      <c r="J25" t="s">
        <v>843</v>
      </c>
      <c r="K25" s="2">
        <v>45413</v>
      </c>
      <c r="L25">
        <v>2024</v>
      </c>
      <c r="M25">
        <v>103180</v>
      </c>
      <c r="N25" t="s">
        <v>857</v>
      </c>
    </row>
    <row r="26" spans="1:14" x14ac:dyDescent="0.3">
      <c r="A26" t="s">
        <v>878</v>
      </c>
      <c r="B26" t="s">
        <v>16</v>
      </c>
      <c r="C26" t="s">
        <v>806</v>
      </c>
      <c r="D26" t="s">
        <v>818</v>
      </c>
      <c r="E26">
        <v>18</v>
      </c>
      <c r="F26" t="s">
        <v>826</v>
      </c>
      <c r="G26" t="s">
        <v>872</v>
      </c>
      <c r="H26">
        <v>8558</v>
      </c>
      <c r="I26" t="s">
        <v>835</v>
      </c>
      <c r="J26" t="s">
        <v>843</v>
      </c>
      <c r="K26" s="2">
        <v>45413</v>
      </c>
      <c r="L26">
        <v>2024</v>
      </c>
      <c r="M26">
        <v>154044</v>
      </c>
      <c r="N26" t="s">
        <v>863</v>
      </c>
    </row>
    <row r="27" spans="1:14" x14ac:dyDescent="0.3">
      <c r="A27" t="s">
        <v>878</v>
      </c>
      <c r="B27" t="s">
        <v>16</v>
      </c>
      <c r="C27" t="s">
        <v>806</v>
      </c>
      <c r="D27" t="s">
        <v>817</v>
      </c>
      <c r="E27">
        <v>17</v>
      </c>
      <c r="F27" t="s">
        <v>826</v>
      </c>
      <c r="G27" t="s">
        <v>872</v>
      </c>
      <c r="H27">
        <v>4080</v>
      </c>
      <c r="I27" t="s">
        <v>836</v>
      </c>
      <c r="J27" t="s">
        <v>844</v>
      </c>
      <c r="K27" s="2">
        <v>45413</v>
      </c>
      <c r="L27">
        <v>2024</v>
      </c>
      <c r="M27">
        <v>69360</v>
      </c>
      <c r="N27" t="s">
        <v>863</v>
      </c>
    </row>
    <row r="28" spans="1:14" x14ac:dyDescent="0.3">
      <c r="A28" t="s">
        <v>879</v>
      </c>
      <c r="B28" t="s">
        <v>17</v>
      </c>
      <c r="C28" t="s">
        <v>805</v>
      </c>
      <c r="D28" t="s">
        <v>809</v>
      </c>
      <c r="E28">
        <v>17</v>
      </c>
      <c r="F28" t="s">
        <v>828</v>
      </c>
      <c r="G28" t="s">
        <v>880</v>
      </c>
      <c r="H28">
        <v>4206</v>
      </c>
      <c r="I28" t="s">
        <v>834</v>
      </c>
      <c r="J28" t="s">
        <v>844</v>
      </c>
      <c r="K28" s="2">
        <v>44562</v>
      </c>
      <c r="L28">
        <v>2022</v>
      </c>
      <c r="M28">
        <v>71502</v>
      </c>
      <c r="N28" t="s">
        <v>863</v>
      </c>
    </row>
    <row r="29" spans="1:14" x14ac:dyDescent="0.3">
      <c r="A29" t="s">
        <v>881</v>
      </c>
      <c r="B29" t="s">
        <v>18</v>
      </c>
      <c r="C29" t="s">
        <v>806</v>
      </c>
      <c r="D29" t="s">
        <v>818</v>
      </c>
      <c r="E29">
        <v>20</v>
      </c>
      <c r="F29" t="s">
        <v>826</v>
      </c>
      <c r="G29" t="s">
        <v>865</v>
      </c>
      <c r="H29">
        <v>5219</v>
      </c>
      <c r="I29" t="s">
        <v>836</v>
      </c>
      <c r="J29" t="s">
        <v>844</v>
      </c>
      <c r="K29" s="2">
        <v>44531</v>
      </c>
      <c r="L29">
        <v>2021</v>
      </c>
      <c r="M29">
        <v>104380</v>
      </c>
      <c r="N29" t="s">
        <v>863</v>
      </c>
    </row>
    <row r="30" spans="1:14" x14ac:dyDescent="0.3">
      <c r="A30" t="s">
        <v>882</v>
      </c>
      <c r="B30" t="s">
        <v>19</v>
      </c>
      <c r="C30" t="s">
        <v>806</v>
      </c>
      <c r="D30" t="s">
        <v>818</v>
      </c>
      <c r="E30">
        <v>20</v>
      </c>
      <c r="F30" t="s">
        <v>827</v>
      </c>
      <c r="G30" t="s">
        <v>883</v>
      </c>
      <c r="H30">
        <v>5219</v>
      </c>
      <c r="I30" t="s">
        <v>836</v>
      </c>
      <c r="J30" t="s">
        <v>844</v>
      </c>
      <c r="K30" s="2">
        <v>44958</v>
      </c>
      <c r="L30">
        <v>2023</v>
      </c>
      <c r="M30">
        <v>104380</v>
      </c>
      <c r="N30" t="s">
        <v>863</v>
      </c>
    </row>
    <row r="31" spans="1:14" x14ac:dyDescent="0.3">
      <c r="A31" t="s">
        <v>884</v>
      </c>
      <c r="B31" t="s">
        <v>20</v>
      </c>
      <c r="C31" t="s">
        <v>806</v>
      </c>
      <c r="D31" t="s">
        <v>811</v>
      </c>
      <c r="E31">
        <v>20</v>
      </c>
      <c r="F31" t="s">
        <v>827</v>
      </c>
      <c r="G31" t="s">
        <v>883</v>
      </c>
      <c r="H31">
        <v>3686</v>
      </c>
      <c r="I31" t="s">
        <v>833</v>
      </c>
      <c r="J31" t="s">
        <v>842</v>
      </c>
      <c r="K31" s="2">
        <v>44835</v>
      </c>
      <c r="L31">
        <v>2022</v>
      </c>
      <c r="M31">
        <v>73720</v>
      </c>
      <c r="N31" t="s">
        <v>863</v>
      </c>
    </row>
    <row r="32" spans="1:14" x14ac:dyDescent="0.3">
      <c r="A32" t="s">
        <v>885</v>
      </c>
      <c r="B32" t="s">
        <v>21</v>
      </c>
      <c r="C32" t="s">
        <v>806</v>
      </c>
      <c r="D32" t="s">
        <v>811</v>
      </c>
      <c r="E32">
        <v>20</v>
      </c>
      <c r="F32" t="s">
        <v>829</v>
      </c>
      <c r="G32" t="s">
        <v>886</v>
      </c>
      <c r="H32">
        <v>3686</v>
      </c>
      <c r="I32" t="s">
        <v>833</v>
      </c>
      <c r="J32" t="s">
        <v>842</v>
      </c>
      <c r="K32" s="2">
        <v>44562</v>
      </c>
      <c r="L32">
        <v>2022</v>
      </c>
      <c r="M32">
        <v>73720</v>
      </c>
      <c r="N32" t="s">
        <v>863</v>
      </c>
    </row>
    <row r="33" spans="1:14" x14ac:dyDescent="0.3">
      <c r="A33" t="s">
        <v>887</v>
      </c>
      <c r="B33" t="s">
        <v>22</v>
      </c>
      <c r="C33" t="s">
        <v>806</v>
      </c>
      <c r="D33" t="s">
        <v>817</v>
      </c>
      <c r="E33">
        <v>4</v>
      </c>
      <c r="F33" t="s">
        <v>824</v>
      </c>
      <c r="G33" t="s">
        <v>859</v>
      </c>
      <c r="H33">
        <v>6045</v>
      </c>
      <c r="I33" t="s">
        <v>836</v>
      </c>
      <c r="J33" t="s">
        <v>841</v>
      </c>
      <c r="K33" s="2">
        <v>45261</v>
      </c>
      <c r="L33">
        <v>2023</v>
      </c>
      <c r="M33">
        <v>24180</v>
      </c>
      <c r="N33" t="s">
        <v>868</v>
      </c>
    </row>
    <row r="34" spans="1:14" x14ac:dyDescent="0.3">
      <c r="A34" t="s">
        <v>887</v>
      </c>
      <c r="B34" t="s">
        <v>22</v>
      </c>
      <c r="C34" t="s">
        <v>806</v>
      </c>
      <c r="D34" t="s">
        <v>811</v>
      </c>
      <c r="E34">
        <v>11</v>
      </c>
      <c r="F34" t="s">
        <v>824</v>
      </c>
      <c r="G34" t="s">
        <v>859</v>
      </c>
      <c r="H34">
        <v>9337</v>
      </c>
      <c r="I34" t="s">
        <v>836</v>
      </c>
      <c r="J34" t="s">
        <v>843</v>
      </c>
      <c r="K34" s="2">
        <v>45261</v>
      </c>
      <c r="L34">
        <v>2023</v>
      </c>
      <c r="M34">
        <v>102707</v>
      </c>
      <c r="N34" t="s">
        <v>857</v>
      </c>
    </row>
    <row r="35" spans="1:14" x14ac:dyDescent="0.3">
      <c r="A35" t="s">
        <v>888</v>
      </c>
      <c r="B35" t="s">
        <v>23</v>
      </c>
      <c r="C35" t="s">
        <v>805</v>
      </c>
      <c r="D35" t="s">
        <v>819</v>
      </c>
      <c r="E35">
        <v>12</v>
      </c>
      <c r="F35" t="s">
        <v>827</v>
      </c>
      <c r="G35" t="s">
        <v>876</v>
      </c>
      <c r="H35">
        <v>4051</v>
      </c>
      <c r="I35" t="s">
        <v>835</v>
      </c>
      <c r="J35" t="s">
        <v>844</v>
      </c>
      <c r="K35" s="2">
        <v>45108</v>
      </c>
      <c r="L35">
        <v>2023</v>
      </c>
      <c r="M35">
        <v>48612</v>
      </c>
      <c r="N35" t="s">
        <v>857</v>
      </c>
    </row>
    <row r="36" spans="1:14" x14ac:dyDescent="0.3">
      <c r="A36" t="s">
        <v>889</v>
      </c>
      <c r="B36" t="s">
        <v>24</v>
      </c>
      <c r="C36" t="s">
        <v>805</v>
      </c>
      <c r="D36" t="s">
        <v>819</v>
      </c>
      <c r="E36">
        <v>12</v>
      </c>
      <c r="F36" t="s">
        <v>829</v>
      </c>
      <c r="G36" t="s">
        <v>890</v>
      </c>
      <c r="H36">
        <v>4051</v>
      </c>
      <c r="I36" t="s">
        <v>835</v>
      </c>
      <c r="J36" t="s">
        <v>844</v>
      </c>
      <c r="K36" s="2">
        <v>44317</v>
      </c>
      <c r="L36">
        <v>2021</v>
      </c>
      <c r="M36">
        <v>48612</v>
      </c>
      <c r="N36" t="s">
        <v>857</v>
      </c>
    </row>
    <row r="37" spans="1:14" x14ac:dyDescent="0.3">
      <c r="A37" t="s">
        <v>888</v>
      </c>
      <c r="B37" t="s">
        <v>23</v>
      </c>
      <c r="C37" t="s">
        <v>807</v>
      </c>
      <c r="D37" t="s">
        <v>820</v>
      </c>
      <c r="E37">
        <v>11</v>
      </c>
      <c r="F37" t="s">
        <v>827</v>
      </c>
      <c r="G37" t="s">
        <v>876</v>
      </c>
      <c r="H37">
        <v>5011</v>
      </c>
      <c r="I37" t="s">
        <v>835</v>
      </c>
      <c r="J37" t="s">
        <v>844</v>
      </c>
      <c r="K37" s="2">
        <v>45108</v>
      </c>
      <c r="L37">
        <v>2023</v>
      </c>
      <c r="M37">
        <v>55121</v>
      </c>
      <c r="N37" t="s">
        <v>857</v>
      </c>
    </row>
    <row r="38" spans="1:14" x14ac:dyDescent="0.3">
      <c r="A38" t="s">
        <v>889</v>
      </c>
      <c r="B38" t="s">
        <v>24</v>
      </c>
      <c r="C38" t="s">
        <v>807</v>
      </c>
      <c r="D38" t="s">
        <v>820</v>
      </c>
      <c r="E38">
        <v>11</v>
      </c>
      <c r="F38" t="s">
        <v>829</v>
      </c>
      <c r="G38" t="s">
        <v>890</v>
      </c>
      <c r="H38">
        <v>5011</v>
      </c>
      <c r="I38" t="s">
        <v>835</v>
      </c>
      <c r="J38" t="s">
        <v>844</v>
      </c>
      <c r="K38" s="2">
        <v>44317</v>
      </c>
      <c r="L38">
        <v>2021</v>
      </c>
      <c r="M38">
        <v>55121</v>
      </c>
      <c r="N38" t="s">
        <v>857</v>
      </c>
    </row>
    <row r="39" spans="1:14" x14ac:dyDescent="0.3">
      <c r="A39" t="s">
        <v>891</v>
      </c>
      <c r="B39" t="s">
        <v>25</v>
      </c>
      <c r="C39" t="s">
        <v>807</v>
      </c>
      <c r="D39" t="s">
        <v>816</v>
      </c>
      <c r="E39">
        <v>15</v>
      </c>
      <c r="F39" t="s">
        <v>824</v>
      </c>
      <c r="G39" t="s">
        <v>859</v>
      </c>
      <c r="H39">
        <v>3958</v>
      </c>
      <c r="I39" t="s">
        <v>834</v>
      </c>
      <c r="J39" t="s">
        <v>842</v>
      </c>
      <c r="K39" s="2">
        <v>44835</v>
      </c>
      <c r="L39">
        <v>2022</v>
      </c>
      <c r="M39">
        <v>59370</v>
      </c>
      <c r="N39" t="s">
        <v>863</v>
      </c>
    </row>
    <row r="40" spans="1:14" x14ac:dyDescent="0.3">
      <c r="A40" t="s">
        <v>891</v>
      </c>
      <c r="B40" t="s">
        <v>25</v>
      </c>
      <c r="C40" t="s">
        <v>807</v>
      </c>
      <c r="D40" t="s">
        <v>813</v>
      </c>
      <c r="E40">
        <v>1</v>
      </c>
      <c r="F40" t="s">
        <v>824</v>
      </c>
      <c r="G40" t="s">
        <v>859</v>
      </c>
      <c r="H40">
        <v>3132</v>
      </c>
      <c r="I40" t="s">
        <v>833</v>
      </c>
      <c r="J40" t="s">
        <v>842</v>
      </c>
      <c r="K40" s="2">
        <v>44835</v>
      </c>
      <c r="L40">
        <v>2022</v>
      </c>
      <c r="M40">
        <v>3132</v>
      </c>
      <c r="N40" t="s">
        <v>868</v>
      </c>
    </row>
    <row r="41" spans="1:14" x14ac:dyDescent="0.3">
      <c r="A41" t="s">
        <v>892</v>
      </c>
      <c r="B41" t="s">
        <v>26</v>
      </c>
      <c r="C41" t="s">
        <v>806</v>
      </c>
      <c r="D41" t="s">
        <v>815</v>
      </c>
      <c r="E41">
        <v>12</v>
      </c>
      <c r="F41" t="s">
        <v>827</v>
      </c>
      <c r="G41" t="s">
        <v>883</v>
      </c>
      <c r="H41">
        <v>7784</v>
      </c>
      <c r="I41" t="s">
        <v>832</v>
      </c>
      <c r="J41" t="s">
        <v>841</v>
      </c>
      <c r="K41" s="2">
        <v>45505</v>
      </c>
      <c r="L41">
        <v>2024</v>
      </c>
      <c r="M41">
        <v>93408</v>
      </c>
      <c r="N41" t="s">
        <v>857</v>
      </c>
    </row>
    <row r="42" spans="1:14" x14ac:dyDescent="0.3">
      <c r="A42" t="s">
        <v>892</v>
      </c>
      <c r="B42" t="s">
        <v>26</v>
      </c>
      <c r="C42" t="s">
        <v>806</v>
      </c>
      <c r="D42" t="s">
        <v>811</v>
      </c>
      <c r="E42">
        <v>3</v>
      </c>
      <c r="F42" t="s">
        <v>827</v>
      </c>
      <c r="G42" t="s">
        <v>883</v>
      </c>
      <c r="H42">
        <v>5591</v>
      </c>
      <c r="I42" t="s">
        <v>836</v>
      </c>
      <c r="J42" t="s">
        <v>844</v>
      </c>
      <c r="K42" s="2">
        <v>45505</v>
      </c>
      <c r="L42">
        <v>2024</v>
      </c>
      <c r="M42">
        <v>16773</v>
      </c>
      <c r="N42" t="s">
        <v>868</v>
      </c>
    </row>
    <row r="43" spans="1:14" x14ac:dyDescent="0.3">
      <c r="A43" t="s">
        <v>892</v>
      </c>
      <c r="B43" t="s">
        <v>26</v>
      </c>
      <c r="C43" t="s">
        <v>805</v>
      </c>
      <c r="D43" t="s">
        <v>809</v>
      </c>
      <c r="E43">
        <v>12</v>
      </c>
      <c r="F43" t="s">
        <v>827</v>
      </c>
      <c r="G43" t="s">
        <v>883</v>
      </c>
      <c r="H43">
        <v>5122</v>
      </c>
      <c r="I43" t="s">
        <v>836</v>
      </c>
      <c r="J43" t="s">
        <v>844</v>
      </c>
      <c r="K43" s="2">
        <v>45505</v>
      </c>
      <c r="L43">
        <v>2024</v>
      </c>
      <c r="M43">
        <v>61464</v>
      </c>
      <c r="N43" t="s">
        <v>857</v>
      </c>
    </row>
    <row r="44" spans="1:14" x14ac:dyDescent="0.3">
      <c r="A44" t="s">
        <v>893</v>
      </c>
      <c r="B44" t="s">
        <v>27</v>
      </c>
      <c r="C44" t="s">
        <v>806</v>
      </c>
      <c r="D44" t="s">
        <v>818</v>
      </c>
      <c r="E44">
        <v>8</v>
      </c>
      <c r="F44" t="s">
        <v>829</v>
      </c>
      <c r="G44" t="s">
        <v>894</v>
      </c>
      <c r="H44">
        <v>8293</v>
      </c>
      <c r="I44" t="s">
        <v>836</v>
      </c>
      <c r="J44" t="s">
        <v>843</v>
      </c>
      <c r="K44" s="2">
        <v>44562</v>
      </c>
      <c r="L44">
        <v>2022</v>
      </c>
      <c r="M44">
        <v>66344</v>
      </c>
      <c r="N44" t="s">
        <v>852</v>
      </c>
    </row>
    <row r="45" spans="1:14" x14ac:dyDescent="0.3">
      <c r="A45" t="s">
        <v>895</v>
      </c>
      <c r="B45" t="s">
        <v>28</v>
      </c>
      <c r="C45" t="s">
        <v>806</v>
      </c>
      <c r="D45" t="s">
        <v>818</v>
      </c>
      <c r="E45">
        <v>8</v>
      </c>
      <c r="F45" t="s">
        <v>826</v>
      </c>
      <c r="G45" t="s">
        <v>872</v>
      </c>
      <c r="H45">
        <v>8293</v>
      </c>
      <c r="I45" t="s">
        <v>836</v>
      </c>
      <c r="J45" t="s">
        <v>843</v>
      </c>
      <c r="K45" s="2">
        <v>44105</v>
      </c>
      <c r="L45">
        <v>2020</v>
      </c>
      <c r="M45">
        <v>66344</v>
      </c>
      <c r="N45" t="s">
        <v>852</v>
      </c>
    </row>
    <row r="46" spans="1:14" x14ac:dyDescent="0.3">
      <c r="A46" t="s">
        <v>896</v>
      </c>
      <c r="B46" t="s">
        <v>29</v>
      </c>
      <c r="C46" t="s">
        <v>806</v>
      </c>
      <c r="D46" t="s">
        <v>818</v>
      </c>
      <c r="E46">
        <v>8</v>
      </c>
      <c r="F46" t="s">
        <v>827</v>
      </c>
      <c r="G46" t="s">
        <v>862</v>
      </c>
      <c r="H46">
        <v>8293</v>
      </c>
      <c r="I46" t="s">
        <v>836</v>
      </c>
      <c r="J46" t="s">
        <v>843</v>
      </c>
      <c r="K46" s="2">
        <v>45139</v>
      </c>
      <c r="L46">
        <v>2023</v>
      </c>
      <c r="M46">
        <v>66344</v>
      </c>
      <c r="N46" t="s">
        <v>852</v>
      </c>
    </row>
    <row r="47" spans="1:14" x14ac:dyDescent="0.3">
      <c r="A47" t="s">
        <v>893</v>
      </c>
      <c r="B47" t="s">
        <v>27</v>
      </c>
      <c r="C47" t="s">
        <v>805</v>
      </c>
      <c r="D47" t="s">
        <v>819</v>
      </c>
      <c r="E47">
        <v>17</v>
      </c>
      <c r="F47" t="s">
        <v>829</v>
      </c>
      <c r="G47" t="s">
        <v>894</v>
      </c>
      <c r="H47">
        <v>2863</v>
      </c>
      <c r="I47" t="s">
        <v>832</v>
      </c>
      <c r="J47" t="s">
        <v>842</v>
      </c>
      <c r="K47" s="2">
        <v>44562</v>
      </c>
      <c r="L47">
        <v>2022</v>
      </c>
      <c r="M47">
        <v>48671</v>
      </c>
      <c r="N47" t="s">
        <v>863</v>
      </c>
    </row>
    <row r="48" spans="1:14" x14ac:dyDescent="0.3">
      <c r="A48" t="s">
        <v>895</v>
      </c>
      <c r="B48" t="s">
        <v>28</v>
      </c>
      <c r="C48" t="s">
        <v>805</v>
      </c>
      <c r="D48" t="s">
        <v>819</v>
      </c>
      <c r="E48">
        <v>17</v>
      </c>
      <c r="F48" t="s">
        <v>826</v>
      </c>
      <c r="G48" t="s">
        <v>872</v>
      </c>
      <c r="H48">
        <v>2863</v>
      </c>
      <c r="I48" t="s">
        <v>832</v>
      </c>
      <c r="J48" t="s">
        <v>842</v>
      </c>
      <c r="K48" s="2">
        <v>44105</v>
      </c>
      <c r="L48">
        <v>2020</v>
      </c>
      <c r="M48">
        <v>48671</v>
      </c>
      <c r="N48" t="s">
        <v>863</v>
      </c>
    </row>
    <row r="49" spans="1:14" x14ac:dyDescent="0.3">
      <c r="A49" t="s">
        <v>896</v>
      </c>
      <c r="B49" t="s">
        <v>29</v>
      </c>
      <c r="C49" t="s">
        <v>805</v>
      </c>
      <c r="D49" t="s">
        <v>819</v>
      </c>
      <c r="E49">
        <v>17</v>
      </c>
      <c r="F49" t="s">
        <v>827</v>
      </c>
      <c r="G49" t="s">
        <v>862</v>
      </c>
      <c r="H49">
        <v>2863</v>
      </c>
      <c r="I49" t="s">
        <v>832</v>
      </c>
      <c r="J49" t="s">
        <v>842</v>
      </c>
      <c r="K49" s="2">
        <v>45139</v>
      </c>
      <c r="L49">
        <v>2023</v>
      </c>
      <c r="M49">
        <v>48671</v>
      </c>
      <c r="N49" t="s">
        <v>863</v>
      </c>
    </row>
    <row r="50" spans="1:14" x14ac:dyDescent="0.3">
      <c r="A50" t="s">
        <v>853</v>
      </c>
      <c r="B50" t="s">
        <v>30</v>
      </c>
      <c r="C50" t="s">
        <v>807</v>
      </c>
      <c r="D50" t="s">
        <v>813</v>
      </c>
      <c r="E50">
        <v>6</v>
      </c>
      <c r="F50" t="s">
        <v>827</v>
      </c>
      <c r="G50" t="s">
        <v>876</v>
      </c>
      <c r="H50">
        <v>3090</v>
      </c>
      <c r="I50" t="s">
        <v>834</v>
      </c>
      <c r="J50" t="s">
        <v>842</v>
      </c>
      <c r="K50" s="2">
        <v>45627</v>
      </c>
      <c r="L50">
        <v>2024</v>
      </c>
      <c r="M50">
        <v>18540</v>
      </c>
      <c r="N50" t="s">
        <v>852</v>
      </c>
    </row>
    <row r="51" spans="1:14" x14ac:dyDescent="0.3">
      <c r="A51" t="s">
        <v>897</v>
      </c>
      <c r="B51" t="s">
        <v>31</v>
      </c>
      <c r="C51" t="s">
        <v>807</v>
      </c>
      <c r="D51" t="s">
        <v>813</v>
      </c>
      <c r="E51">
        <v>6</v>
      </c>
      <c r="F51" t="s">
        <v>829</v>
      </c>
      <c r="G51" t="s">
        <v>890</v>
      </c>
      <c r="H51">
        <v>3090</v>
      </c>
      <c r="I51" t="s">
        <v>834</v>
      </c>
      <c r="J51" t="s">
        <v>842</v>
      </c>
      <c r="K51" s="2">
        <v>44348</v>
      </c>
      <c r="L51">
        <v>2021</v>
      </c>
      <c r="M51">
        <v>18540</v>
      </c>
      <c r="N51" t="s">
        <v>852</v>
      </c>
    </row>
    <row r="52" spans="1:14" x14ac:dyDescent="0.3">
      <c r="A52" t="s">
        <v>898</v>
      </c>
      <c r="B52" t="s">
        <v>32</v>
      </c>
      <c r="C52" t="s">
        <v>807</v>
      </c>
      <c r="D52" t="s">
        <v>813</v>
      </c>
      <c r="E52">
        <v>6</v>
      </c>
      <c r="F52" t="s">
        <v>828</v>
      </c>
      <c r="G52" t="s">
        <v>880</v>
      </c>
      <c r="H52">
        <v>3090</v>
      </c>
      <c r="I52" t="s">
        <v>834</v>
      </c>
      <c r="J52" t="s">
        <v>842</v>
      </c>
      <c r="K52" s="2">
        <v>45047</v>
      </c>
      <c r="L52">
        <v>2023</v>
      </c>
      <c r="M52">
        <v>18540</v>
      </c>
      <c r="N52" t="s">
        <v>852</v>
      </c>
    </row>
    <row r="53" spans="1:14" x14ac:dyDescent="0.3">
      <c r="A53" t="s">
        <v>899</v>
      </c>
      <c r="B53" t="s">
        <v>33</v>
      </c>
      <c r="C53" t="s">
        <v>807</v>
      </c>
      <c r="D53" t="s">
        <v>813</v>
      </c>
      <c r="E53">
        <v>6</v>
      </c>
      <c r="F53" t="s">
        <v>828</v>
      </c>
      <c r="G53" t="s">
        <v>874</v>
      </c>
      <c r="H53">
        <v>3090</v>
      </c>
      <c r="I53" t="s">
        <v>834</v>
      </c>
      <c r="J53" t="s">
        <v>842</v>
      </c>
      <c r="K53" s="2">
        <v>44470</v>
      </c>
      <c r="L53">
        <v>2021</v>
      </c>
      <c r="M53">
        <v>18540</v>
      </c>
      <c r="N53" t="s">
        <v>852</v>
      </c>
    </row>
    <row r="54" spans="1:14" x14ac:dyDescent="0.3">
      <c r="A54" t="s">
        <v>853</v>
      </c>
      <c r="B54" t="s">
        <v>30</v>
      </c>
      <c r="C54" t="s">
        <v>805</v>
      </c>
      <c r="D54" t="s">
        <v>810</v>
      </c>
      <c r="E54">
        <v>5</v>
      </c>
      <c r="F54" t="s">
        <v>827</v>
      </c>
      <c r="G54" t="s">
        <v>876</v>
      </c>
      <c r="H54">
        <v>9683</v>
      </c>
      <c r="I54" t="s">
        <v>832</v>
      </c>
      <c r="J54" t="s">
        <v>843</v>
      </c>
      <c r="K54" s="2">
        <v>45627</v>
      </c>
      <c r="L54">
        <v>2024</v>
      </c>
      <c r="M54">
        <v>48415</v>
      </c>
      <c r="N54" t="s">
        <v>852</v>
      </c>
    </row>
    <row r="55" spans="1:14" x14ac:dyDescent="0.3">
      <c r="A55" t="s">
        <v>897</v>
      </c>
      <c r="B55" t="s">
        <v>31</v>
      </c>
      <c r="C55" t="s">
        <v>805</v>
      </c>
      <c r="D55" t="s">
        <v>810</v>
      </c>
      <c r="E55">
        <v>5</v>
      </c>
      <c r="F55" t="s">
        <v>829</v>
      </c>
      <c r="G55" t="s">
        <v>890</v>
      </c>
      <c r="H55">
        <v>9683</v>
      </c>
      <c r="I55" t="s">
        <v>832</v>
      </c>
      <c r="J55" t="s">
        <v>843</v>
      </c>
      <c r="K55" s="2">
        <v>44348</v>
      </c>
      <c r="L55">
        <v>2021</v>
      </c>
      <c r="M55">
        <v>48415</v>
      </c>
      <c r="N55" t="s">
        <v>852</v>
      </c>
    </row>
    <row r="56" spans="1:14" x14ac:dyDescent="0.3">
      <c r="A56" t="s">
        <v>898</v>
      </c>
      <c r="B56" t="s">
        <v>32</v>
      </c>
      <c r="C56" t="s">
        <v>805</v>
      </c>
      <c r="D56" t="s">
        <v>810</v>
      </c>
      <c r="E56">
        <v>5</v>
      </c>
      <c r="F56" t="s">
        <v>828</v>
      </c>
      <c r="G56" t="s">
        <v>880</v>
      </c>
      <c r="H56">
        <v>9683</v>
      </c>
      <c r="I56" t="s">
        <v>832</v>
      </c>
      <c r="J56" t="s">
        <v>843</v>
      </c>
      <c r="K56" s="2">
        <v>45047</v>
      </c>
      <c r="L56">
        <v>2023</v>
      </c>
      <c r="M56">
        <v>48415</v>
      </c>
      <c r="N56" t="s">
        <v>852</v>
      </c>
    </row>
    <row r="57" spans="1:14" x14ac:dyDescent="0.3">
      <c r="A57" t="s">
        <v>899</v>
      </c>
      <c r="B57" t="s">
        <v>33</v>
      </c>
      <c r="C57" t="s">
        <v>805</v>
      </c>
      <c r="D57" t="s">
        <v>810</v>
      </c>
      <c r="E57">
        <v>5</v>
      </c>
      <c r="F57" t="s">
        <v>828</v>
      </c>
      <c r="G57" t="s">
        <v>874</v>
      </c>
      <c r="H57">
        <v>9683</v>
      </c>
      <c r="I57" t="s">
        <v>832</v>
      </c>
      <c r="J57" t="s">
        <v>843</v>
      </c>
      <c r="K57" s="2">
        <v>44470</v>
      </c>
      <c r="L57">
        <v>2021</v>
      </c>
      <c r="M57">
        <v>48415</v>
      </c>
      <c r="N57" t="s">
        <v>852</v>
      </c>
    </row>
    <row r="58" spans="1:14" x14ac:dyDescent="0.3">
      <c r="A58" t="s">
        <v>900</v>
      </c>
      <c r="B58" t="s">
        <v>34</v>
      </c>
      <c r="C58" t="s">
        <v>807</v>
      </c>
      <c r="D58" t="s">
        <v>813</v>
      </c>
      <c r="E58">
        <v>18</v>
      </c>
      <c r="F58" t="s">
        <v>829</v>
      </c>
      <c r="G58" t="s">
        <v>890</v>
      </c>
      <c r="H58">
        <v>2463</v>
      </c>
      <c r="I58" t="s">
        <v>834</v>
      </c>
      <c r="J58" t="s">
        <v>842</v>
      </c>
      <c r="K58" s="2">
        <v>44805</v>
      </c>
      <c r="L58">
        <v>2022</v>
      </c>
      <c r="M58">
        <v>44334</v>
      </c>
      <c r="N58" t="s">
        <v>863</v>
      </c>
    </row>
    <row r="59" spans="1:14" x14ac:dyDescent="0.3">
      <c r="A59" t="s">
        <v>901</v>
      </c>
      <c r="B59" t="s">
        <v>35</v>
      </c>
      <c r="C59" t="s">
        <v>807</v>
      </c>
      <c r="D59" t="s">
        <v>816</v>
      </c>
      <c r="E59">
        <v>12</v>
      </c>
      <c r="F59" t="s">
        <v>824</v>
      </c>
      <c r="G59" t="s">
        <v>851</v>
      </c>
      <c r="H59">
        <v>7811</v>
      </c>
      <c r="I59" t="s">
        <v>836</v>
      </c>
      <c r="J59" t="s">
        <v>841</v>
      </c>
      <c r="K59" s="2">
        <v>44621</v>
      </c>
      <c r="L59">
        <v>2022</v>
      </c>
      <c r="M59">
        <v>93732</v>
      </c>
      <c r="N59" t="s">
        <v>857</v>
      </c>
    </row>
    <row r="60" spans="1:14" x14ac:dyDescent="0.3">
      <c r="A60" t="s">
        <v>902</v>
      </c>
      <c r="B60" t="s">
        <v>36</v>
      </c>
      <c r="C60" t="s">
        <v>807</v>
      </c>
      <c r="D60" t="s">
        <v>813</v>
      </c>
      <c r="E60">
        <v>10</v>
      </c>
      <c r="F60" t="s">
        <v>824</v>
      </c>
      <c r="G60" t="s">
        <v>859</v>
      </c>
      <c r="H60">
        <v>6139</v>
      </c>
      <c r="I60" t="s">
        <v>833</v>
      </c>
      <c r="J60" t="s">
        <v>841</v>
      </c>
      <c r="K60" s="2">
        <v>44593</v>
      </c>
      <c r="L60">
        <v>2022</v>
      </c>
      <c r="M60">
        <v>61390</v>
      </c>
      <c r="N60" t="s">
        <v>857</v>
      </c>
    </row>
    <row r="61" spans="1:14" x14ac:dyDescent="0.3">
      <c r="A61" t="s">
        <v>903</v>
      </c>
      <c r="B61" t="s">
        <v>19</v>
      </c>
      <c r="C61" t="s">
        <v>807</v>
      </c>
      <c r="D61" t="s">
        <v>813</v>
      </c>
      <c r="E61">
        <v>10</v>
      </c>
      <c r="F61" t="s">
        <v>828</v>
      </c>
      <c r="G61" t="s">
        <v>904</v>
      </c>
      <c r="H61">
        <v>6139</v>
      </c>
      <c r="I61" t="s">
        <v>833</v>
      </c>
      <c r="J61" t="s">
        <v>841</v>
      </c>
      <c r="K61" s="2">
        <v>44287</v>
      </c>
      <c r="L61">
        <v>2021</v>
      </c>
      <c r="M61">
        <v>61390</v>
      </c>
      <c r="N61" t="s">
        <v>857</v>
      </c>
    </row>
    <row r="62" spans="1:14" x14ac:dyDescent="0.3">
      <c r="A62" t="s">
        <v>902</v>
      </c>
      <c r="B62" t="s">
        <v>36</v>
      </c>
      <c r="C62" t="s">
        <v>807</v>
      </c>
      <c r="D62" t="s">
        <v>814</v>
      </c>
      <c r="E62">
        <v>3</v>
      </c>
      <c r="F62" t="s">
        <v>824</v>
      </c>
      <c r="G62" t="s">
        <v>859</v>
      </c>
      <c r="H62">
        <v>8636</v>
      </c>
      <c r="I62" t="s">
        <v>836</v>
      </c>
      <c r="J62" t="s">
        <v>843</v>
      </c>
      <c r="K62" s="2">
        <v>44593</v>
      </c>
      <c r="L62">
        <v>2022</v>
      </c>
      <c r="M62">
        <v>25908</v>
      </c>
      <c r="N62" t="s">
        <v>868</v>
      </c>
    </row>
    <row r="63" spans="1:14" x14ac:dyDescent="0.3">
      <c r="A63" t="s">
        <v>903</v>
      </c>
      <c r="B63" t="s">
        <v>19</v>
      </c>
      <c r="C63" t="s">
        <v>807</v>
      </c>
      <c r="D63" t="s">
        <v>814</v>
      </c>
      <c r="E63">
        <v>3</v>
      </c>
      <c r="F63" t="s">
        <v>828</v>
      </c>
      <c r="G63" t="s">
        <v>904</v>
      </c>
      <c r="H63">
        <v>8636</v>
      </c>
      <c r="I63" t="s">
        <v>836</v>
      </c>
      <c r="J63" t="s">
        <v>843</v>
      </c>
      <c r="K63" s="2">
        <v>44287</v>
      </c>
      <c r="L63">
        <v>2021</v>
      </c>
      <c r="M63">
        <v>25908</v>
      </c>
      <c r="N63" t="s">
        <v>868</v>
      </c>
    </row>
    <row r="64" spans="1:14" x14ac:dyDescent="0.3">
      <c r="A64" t="s">
        <v>902</v>
      </c>
      <c r="B64" t="s">
        <v>36</v>
      </c>
      <c r="C64" t="s">
        <v>807</v>
      </c>
      <c r="D64" t="s">
        <v>816</v>
      </c>
      <c r="E64">
        <v>19</v>
      </c>
      <c r="F64" t="s">
        <v>824</v>
      </c>
      <c r="G64" t="s">
        <v>859</v>
      </c>
      <c r="H64">
        <v>4439</v>
      </c>
      <c r="I64" t="s">
        <v>835</v>
      </c>
      <c r="J64" t="s">
        <v>844</v>
      </c>
      <c r="K64" s="2">
        <v>44593</v>
      </c>
      <c r="L64">
        <v>2022</v>
      </c>
      <c r="M64">
        <v>84341</v>
      </c>
      <c r="N64" t="s">
        <v>863</v>
      </c>
    </row>
    <row r="65" spans="1:14" x14ac:dyDescent="0.3">
      <c r="A65" t="s">
        <v>903</v>
      </c>
      <c r="B65" t="s">
        <v>19</v>
      </c>
      <c r="C65" t="s">
        <v>807</v>
      </c>
      <c r="D65" t="s">
        <v>816</v>
      </c>
      <c r="E65">
        <v>19</v>
      </c>
      <c r="F65" t="s">
        <v>828</v>
      </c>
      <c r="G65" t="s">
        <v>904</v>
      </c>
      <c r="H65">
        <v>4439</v>
      </c>
      <c r="I65" t="s">
        <v>835</v>
      </c>
      <c r="J65" t="s">
        <v>844</v>
      </c>
      <c r="K65" s="2">
        <v>44287</v>
      </c>
      <c r="L65">
        <v>2021</v>
      </c>
      <c r="M65">
        <v>84341</v>
      </c>
      <c r="N65" t="s">
        <v>863</v>
      </c>
    </row>
    <row r="66" spans="1:14" x14ac:dyDescent="0.3">
      <c r="A66" t="s">
        <v>905</v>
      </c>
      <c r="B66" t="s">
        <v>37</v>
      </c>
      <c r="C66" t="s">
        <v>807</v>
      </c>
      <c r="D66" t="s">
        <v>813</v>
      </c>
      <c r="E66">
        <v>20</v>
      </c>
      <c r="F66" t="s">
        <v>826</v>
      </c>
      <c r="G66" t="s">
        <v>856</v>
      </c>
      <c r="H66">
        <v>1016</v>
      </c>
      <c r="I66" t="s">
        <v>833</v>
      </c>
      <c r="J66" t="s">
        <v>840</v>
      </c>
      <c r="K66" s="2">
        <v>44136</v>
      </c>
      <c r="L66">
        <v>2020</v>
      </c>
      <c r="M66">
        <v>20320</v>
      </c>
      <c r="N66" t="s">
        <v>863</v>
      </c>
    </row>
    <row r="67" spans="1:14" x14ac:dyDescent="0.3">
      <c r="A67" t="s">
        <v>905</v>
      </c>
      <c r="B67" t="s">
        <v>37</v>
      </c>
      <c r="C67" t="s">
        <v>807</v>
      </c>
      <c r="D67" t="s">
        <v>813</v>
      </c>
      <c r="E67">
        <v>14</v>
      </c>
      <c r="F67" t="s">
        <v>826</v>
      </c>
      <c r="G67" t="s">
        <v>856</v>
      </c>
      <c r="H67">
        <v>5768</v>
      </c>
      <c r="I67" t="s">
        <v>832</v>
      </c>
      <c r="J67" t="s">
        <v>844</v>
      </c>
      <c r="K67" s="2">
        <v>44136</v>
      </c>
      <c r="L67">
        <v>2020</v>
      </c>
      <c r="M67">
        <v>80752</v>
      </c>
      <c r="N67" t="s">
        <v>857</v>
      </c>
    </row>
    <row r="68" spans="1:14" x14ac:dyDescent="0.3">
      <c r="A68" t="s">
        <v>905</v>
      </c>
      <c r="B68" t="s">
        <v>37</v>
      </c>
      <c r="C68" t="s">
        <v>807</v>
      </c>
      <c r="D68" t="s">
        <v>813</v>
      </c>
      <c r="E68">
        <v>3</v>
      </c>
      <c r="F68" t="s">
        <v>826</v>
      </c>
      <c r="G68" t="s">
        <v>856</v>
      </c>
      <c r="H68">
        <v>1217</v>
      </c>
      <c r="I68" t="s">
        <v>835</v>
      </c>
      <c r="J68" t="s">
        <v>840</v>
      </c>
      <c r="K68" s="2">
        <v>44136</v>
      </c>
      <c r="L68">
        <v>2020</v>
      </c>
      <c r="M68">
        <v>3651</v>
      </c>
      <c r="N68" t="s">
        <v>868</v>
      </c>
    </row>
    <row r="69" spans="1:14" x14ac:dyDescent="0.3">
      <c r="A69" t="s">
        <v>906</v>
      </c>
      <c r="B69" t="s">
        <v>38</v>
      </c>
      <c r="C69" t="s">
        <v>806</v>
      </c>
      <c r="D69" t="s">
        <v>817</v>
      </c>
      <c r="E69">
        <v>2</v>
      </c>
      <c r="F69" t="s">
        <v>829</v>
      </c>
      <c r="G69" t="s">
        <v>894</v>
      </c>
      <c r="H69">
        <v>953</v>
      </c>
      <c r="I69" t="s">
        <v>833</v>
      </c>
      <c r="J69" t="s">
        <v>840</v>
      </c>
      <c r="K69" s="2">
        <v>45627</v>
      </c>
      <c r="L69">
        <v>2024</v>
      </c>
      <c r="M69">
        <v>1906</v>
      </c>
      <c r="N69" t="s">
        <v>868</v>
      </c>
    </row>
    <row r="70" spans="1:14" x14ac:dyDescent="0.3">
      <c r="A70" t="s">
        <v>907</v>
      </c>
      <c r="B70" t="s">
        <v>39</v>
      </c>
      <c r="C70" t="s">
        <v>806</v>
      </c>
      <c r="D70" t="s">
        <v>817</v>
      </c>
      <c r="E70">
        <v>2</v>
      </c>
      <c r="F70" t="s">
        <v>827</v>
      </c>
      <c r="G70" t="s">
        <v>862</v>
      </c>
      <c r="H70">
        <v>953</v>
      </c>
      <c r="I70" t="s">
        <v>833</v>
      </c>
      <c r="J70" t="s">
        <v>840</v>
      </c>
      <c r="K70" s="2">
        <v>45017</v>
      </c>
      <c r="L70">
        <v>2023</v>
      </c>
      <c r="M70">
        <v>1906</v>
      </c>
      <c r="N70" t="s">
        <v>868</v>
      </c>
    </row>
    <row r="71" spans="1:14" x14ac:dyDescent="0.3">
      <c r="A71" t="s">
        <v>906</v>
      </c>
      <c r="B71" t="s">
        <v>38</v>
      </c>
      <c r="C71" t="s">
        <v>807</v>
      </c>
      <c r="D71" t="s">
        <v>816</v>
      </c>
      <c r="E71">
        <v>3</v>
      </c>
      <c r="F71" t="s">
        <v>829</v>
      </c>
      <c r="G71" t="s">
        <v>894</v>
      </c>
      <c r="H71">
        <v>7355</v>
      </c>
      <c r="I71" t="s">
        <v>836</v>
      </c>
      <c r="J71" t="s">
        <v>841</v>
      </c>
      <c r="K71" s="2">
        <v>45627</v>
      </c>
      <c r="L71">
        <v>2024</v>
      </c>
      <c r="M71">
        <v>22065</v>
      </c>
      <c r="N71" t="s">
        <v>868</v>
      </c>
    </row>
    <row r="72" spans="1:14" x14ac:dyDescent="0.3">
      <c r="A72" t="s">
        <v>907</v>
      </c>
      <c r="B72" t="s">
        <v>39</v>
      </c>
      <c r="C72" t="s">
        <v>807</v>
      </c>
      <c r="D72" t="s">
        <v>816</v>
      </c>
      <c r="E72">
        <v>3</v>
      </c>
      <c r="F72" t="s">
        <v>827</v>
      </c>
      <c r="G72" t="s">
        <v>862</v>
      </c>
      <c r="H72">
        <v>7355</v>
      </c>
      <c r="I72" t="s">
        <v>836</v>
      </c>
      <c r="J72" t="s">
        <v>841</v>
      </c>
      <c r="K72" s="2">
        <v>45017</v>
      </c>
      <c r="L72">
        <v>2023</v>
      </c>
      <c r="M72">
        <v>22065</v>
      </c>
      <c r="N72" t="s">
        <v>868</v>
      </c>
    </row>
    <row r="73" spans="1:14" x14ac:dyDescent="0.3">
      <c r="A73" t="s">
        <v>906</v>
      </c>
      <c r="B73" t="s">
        <v>38</v>
      </c>
      <c r="C73" t="s">
        <v>805</v>
      </c>
      <c r="D73" t="s">
        <v>819</v>
      </c>
      <c r="E73">
        <v>3</v>
      </c>
      <c r="F73" t="s">
        <v>829</v>
      </c>
      <c r="G73" t="s">
        <v>894</v>
      </c>
      <c r="H73">
        <v>1843</v>
      </c>
      <c r="I73" t="s">
        <v>835</v>
      </c>
      <c r="J73" t="s">
        <v>840</v>
      </c>
      <c r="K73" s="2">
        <v>45627</v>
      </c>
      <c r="L73">
        <v>2024</v>
      </c>
      <c r="M73">
        <v>5529</v>
      </c>
      <c r="N73" t="s">
        <v>868</v>
      </c>
    </row>
    <row r="74" spans="1:14" x14ac:dyDescent="0.3">
      <c r="A74" t="s">
        <v>907</v>
      </c>
      <c r="B74" t="s">
        <v>39</v>
      </c>
      <c r="C74" t="s">
        <v>805</v>
      </c>
      <c r="D74" t="s">
        <v>819</v>
      </c>
      <c r="E74">
        <v>3</v>
      </c>
      <c r="F74" t="s">
        <v>827</v>
      </c>
      <c r="G74" t="s">
        <v>862</v>
      </c>
      <c r="H74">
        <v>1843</v>
      </c>
      <c r="I74" t="s">
        <v>835</v>
      </c>
      <c r="J74" t="s">
        <v>840</v>
      </c>
      <c r="K74" s="2">
        <v>45017</v>
      </c>
      <c r="L74">
        <v>2023</v>
      </c>
      <c r="M74">
        <v>5529</v>
      </c>
      <c r="N74" t="s">
        <v>868</v>
      </c>
    </row>
    <row r="75" spans="1:14" x14ac:dyDescent="0.3">
      <c r="A75" t="s">
        <v>906</v>
      </c>
      <c r="B75" t="s">
        <v>38</v>
      </c>
      <c r="C75" t="s">
        <v>806</v>
      </c>
      <c r="D75" t="s">
        <v>811</v>
      </c>
      <c r="E75">
        <v>10</v>
      </c>
      <c r="F75" t="s">
        <v>829</v>
      </c>
      <c r="G75" t="s">
        <v>894</v>
      </c>
      <c r="H75">
        <v>1603</v>
      </c>
      <c r="I75" t="s">
        <v>833</v>
      </c>
      <c r="J75" t="s">
        <v>840</v>
      </c>
      <c r="K75" s="2">
        <v>45627</v>
      </c>
      <c r="L75">
        <v>2024</v>
      </c>
      <c r="M75">
        <v>16030</v>
      </c>
      <c r="N75" t="s">
        <v>857</v>
      </c>
    </row>
    <row r="76" spans="1:14" x14ac:dyDescent="0.3">
      <c r="A76" t="s">
        <v>907</v>
      </c>
      <c r="B76" t="s">
        <v>39</v>
      </c>
      <c r="C76" t="s">
        <v>806</v>
      </c>
      <c r="D76" t="s">
        <v>811</v>
      </c>
      <c r="E76">
        <v>10</v>
      </c>
      <c r="F76" t="s">
        <v>827</v>
      </c>
      <c r="G76" t="s">
        <v>862</v>
      </c>
      <c r="H76">
        <v>1603</v>
      </c>
      <c r="I76" t="s">
        <v>833</v>
      </c>
      <c r="J76" t="s">
        <v>840</v>
      </c>
      <c r="K76" s="2">
        <v>45017</v>
      </c>
      <c r="L76">
        <v>2023</v>
      </c>
      <c r="M76">
        <v>16030</v>
      </c>
      <c r="N76" t="s">
        <v>857</v>
      </c>
    </row>
    <row r="77" spans="1:14" x14ac:dyDescent="0.3">
      <c r="A77" t="s">
        <v>908</v>
      </c>
      <c r="B77" t="s">
        <v>40</v>
      </c>
      <c r="C77" t="s">
        <v>806</v>
      </c>
      <c r="D77" t="s">
        <v>811</v>
      </c>
      <c r="E77">
        <v>1</v>
      </c>
      <c r="F77" t="s">
        <v>824</v>
      </c>
      <c r="G77" t="s">
        <v>851</v>
      </c>
      <c r="H77">
        <v>2025</v>
      </c>
      <c r="I77" t="s">
        <v>835</v>
      </c>
      <c r="J77" t="s">
        <v>842</v>
      </c>
      <c r="K77" s="2">
        <v>45292</v>
      </c>
      <c r="L77">
        <v>2024</v>
      </c>
      <c r="M77">
        <v>2025</v>
      </c>
      <c r="N77" t="s">
        <v>868</v>
      </c>
    </row>
    <row r="78" spans="1:14" x14ac:dyDescent="0.3">
      <c r="A78" t="s">
        <v>908</v>
      </c>
      <c r="B78" t="s">
        <v>40</v>
      </c>
      <c r="C78" t="s">
        <v>806</v>
      </c>
      <c r="D78" t="s">
        <v>818</v>
      </c>
      <c r="E78">
        <v>16</v>
      </c>
      <c r="F78" t="s">
        <v>824</v>
      </c>
      <c r="G78" t="s">
        <v>851</v>
      </c>
      <c r="H78">
        <v>6800</v>
      </c>
      <c r="I78" t="s">
        <v>834</v>
      </c>
      <c r="J78" t="s">
        <v>841</v>
      </c>
      <c r="K78" s="2">
        <v>45292</v>
      </c>
      <c r="L78">
        <v>2024</v>
      </c>
      <c r="M78">
        <v>108800</v>
      </c>
      <c r="N78" t="s">
        <v>863</v>
      </c>
    </row>
    <row r="79" spans="1:14" x14ac:dyDescent="0.3">
      <c r="A79" t="s">
        <v>909</v>
      </c>
      <c r="B79" t="s">
        <v>41</v>
      </c>
      <c r="C79" t="s">
        <v>807</v>
      </c>
      <c r="D79" t="s">
        <v>820</v>
      </c>
      <c r="E79">
        <v>1</v>
      </c>
      <c r="F79" t="s">
        <v>824</v>
      </c>
      <c r="G79" t="s">
        <v>910</v>
      </c>
      <c r="H79">
        <v>1126</v>
      </c>
      <c r="I79" t="s">
        <v>832</v>
      </c>
      <c r="J79" t="s">
        <v>840</v>
      </c>
      <c r="K79" s="2">
        <v>44562</v>
      </c>
      <c r="L79">
        <v>2022</v>
      </c>
      <c r="M79">
        <v>1126</v>
      </c>
      <c r="N79" t="s">
        <v>868</v>
      </c>
    </row>
    <row r="80" spans="1:14" x14ac:dyDescent="0.3">
      <c r="A80" t="s">
        <v>911</v>
      </c>
      <c r="B80" t="s">
        <v>42</v>
      </c>
      <c r="C80" t="s">
        <v>807</v>
      </c>
      <c r="D80" t="s">
        <v>820</v>
      </c>
      <c r="E80">
        <v>1</v>
      </c>
      <c r="F80" t="s">
        <v>826</v>
      </c>
      <c r="G80" t="s">
        <v>856</v>
      </c>
      <c r="H80">
        <v>1126</v>
      </c>
      <c r="I80" t="s">
        <v>832</v>
      </c>
      <c r="J80" t="s">
        <v>840</v>
      </c>
      <c r="K80" s="2">
        <v>44896</v>
      </c>
      <c r="L80">
        <v>2022</v>
      </c>
      <c r="M80">
        <v>1126</v>
      </c>
      <c r="N80" t="s">
        <v>868</v>
      </c>
    </row>
    <row r="81" spans="1:14" x14ac:dyDescent="0.3">
      <c r="A81" t="s">
        <v>912</v>
      </c>
      <c r="B81" t="s">
        <v>43</v>
      </c>
      <c r="C81" t="s">
        <v>807</v>
      </c>
      <c r="D81" t="s">
        <v>813</v>
      </c>
      <c r="E81">
        <v>12</v>
      </c>
      <c r="F81" t="s">
        <v>827</v>
      </c>
      <c r="G81" t="s">
        <v>876</v>
      </c>
      <c r="H81">
        <v>7533</v>
      </c>
      <c r="I81" t="s">
        <v>832</v>
      </c>
      <c r="J81" t="s">
        <v>841</v>
      </c>
      <c r="K81" s="2">
        <v>45108</v>
      </c>
      <c r="L81">
        <v>2023</v>
      </c>
      <c r="M81">
        <v>90396</v>
      </c>
      <c r="N81" t="s">
        <v>857</v>
      </c>
    </row>
    <row r="82" spans="1:14" x14ac:dyDescent="0.3">
      <c r="A82" t="s">
        <v>912</v>
      </c>
      <c r="B82" t="s">
        <v>43</v>
      </c>
      <c r="C82" t="s">
        <v>806</v>
      </c>
      <c r="D82" t="s">
        <v>818</v>
      </c>
      <c r="E82">
        <v>16</v>
      </c>
      <c r="F82" t="s">
        <v>827</v>
      </c>
      <c r="G82" t="s">
        <v>876</v>
      </c>
      <c r="H82">
        <v>4734</v>
      </c>
      <c r="I82" t="s">
        <v>835</v>
      </c>
      <c r="J82" t="s">
        <v>844</v>
      </c>
      <c r="K82" s="2">
        <v>45108</v>
      </c>
      <c r="L82">
        <v>2023</v>
      </c>
      <c r="M82">
        <v>75744</v>
      </c>
      <c r="N82" t="s">
        <v>863</v>
      </c>
    </row>
    <row r="83" spans="1:14" x14ac:dyDescent="0.3">
      <c r="A83" t="s">
        <v>912</v>
      </c>
      <c r="B83" t="s">
        <v>43</v>
      </c>
      <c r="C83" t="s">
        <v>805</v>
      </c>
      <c r="D83" t="s">
        <v>809</v>
      </c>
      <c r="E83">
        <v>6</v>
      </c>
      <c r="F83" t="s">
        <v>827</v>
      </c>
      <c r="G83" t="s">
        <v>876</v>
      </c>
      <c r="H83">
        <v>4074</v>
      </c>
      <c r="I83" t="s">
        <v>833</v>
      </c>
      <c r="J83" t="s">
        <v>844</v>
      </c>
      <c r="K83" s="2">
        <v>45108</v>
      </c>
      <c r="L83">
        <v>2023</v>
      </c>
      <c r="M83">
        <v>24444</v>
      </c>
      <c r="N83" t="s">
        <v>852</v>
      </c>
    </row>
    <row r="84" spans="1:14" x14ac:dyDescent="0.3">
      <c r="A84" t="s">
        <v>912</v>
      </c>
      <c r="B84" t="s">
        <v>43</v>
      </c>
      <c r="C84" t="s">
        <v>807</v>
      </c>
      <c r="D84" t="s">
        <v>816</v>
      </c>
      <c r="E84">
        <v>3</v>
      </c>
      <c r="F84" t="s">
        <v>827</v>
      </c>
      <c r="G84" t="s">
        <v>876</v>
      </c>
      <c r="H84">
        <v>2334</v>
      </c>
      <c r="I84" t="s">
        <v>835</v>
      </c>
      <c r="J84" t="s">
        <v>842</v>
      </c>
      <c r="K84" s="2">
        <v>45108</v>
      </c>
      <c r="L84">
        <v>2023</v>
      </c>
      <c r="M84">
        <v>7002</v>
      </c>
      <c r="N84" t="s">
        <v>868</v>
      </c>
    </row>
    <row r="85" spans="1:14" x14ac:dyDescent="0.3">
      <c r="A85" t="s">
        <v>913</v>
      </c>
      <c r="B85" t="s">
        <v>44</v>
      </c>
      <c r="C85" t="s">
        <v>805</v>
      </c>
      <c r="D85" t="s">
        <v>819</v>
      </c>
      <c r="E85">
        <v>11</v>
      </c>
      <c r="F85" t="s">
        <v>826</v>
      </c>
      <c r="G85" t="s">
        <v>856</v>
      </c>
      <c r="H85">
        <v>2750</v>
      </c>
      <c r="I85" t="s">
        <v>833</v>
      </c>
      <c r="J85" t="s">
        <v>842</v>
      </c>
      <c r="K85" s="2">
        <v>45717</v>
      </c>
      <c r="L85">
        <v>2025</v>
      </c>
      <c r="M85">
        <v>30250</v>
      </c>
      <c r="N85" t="s">
        <v>857</v>
      </c>
    </row>
    <row r="86" spans="1:14" x14ac:dyDescent="0.3">
      <c r="A86" t="s">
        <v>914</v>
      </c>
      <c r="B86" t="s">
        <v>45</v>
      </c>
      <c r="C86" t="s">
        <v>805</v>
      </c>
      <c r="D86" t="s">
        <v>819</v>
      </c>
      <c r="E86">
        <v>11</v>
      </c>
      <c r="F86" t="s">
        <v>829</v>
      </c>
      <c r="G86" t="s">
        <v>894</v>
      </c>
      <c r="H86">
        <v>2750</v>
      </c>
      <c r="I86" t="s">
        <v>833</v>
      </c>
      <c r="J86" t="s">
        <v>842</v>
      </c>
      <c r="K86" s="2">
        <v>45536</v>
      </c>
      <c r="L86">
        <v>2024</v>
      </c>
      <c r="M86">
        <v>30250</v>
      </c>
      <c r="N86" t="s">
        <v>857</v>
      </c>
    </row>
    <row r="87" spans="1:14" x14ac:dyDescent="0.3">
      <c r="A87" t="s">
        <v>913</v>
      </c>
      <c r="B87" t="s">
        <v>44</v>
      </c>
      <c r="C87" t="s">
        <v>806</v>
      </c>
      <c r="D87" t="s">
        <v>811</v>
      </c>
      <c r="E87">
        <v>19</v>
      </c>
      <c r="F87" t="s">
        <v>826</v>
      </c>
      <c r="G87" t="s">
        <v>856</v>
      </c>
      <c r="H87">
        <v>8639</v>
      </c>
      <c r="I87" t="s">
        <v>834</v>
      </c>
      <c r="J87" t="s">
        <v>843</v>
      </c>
      <c r="K87" s="2">
        <v>45717</v>
      </c>
      <c r="L87">
        <v>2025</v>
      </c>
      <c r="M87">
        <v>164141</v>
      </c>
      <c r="N87" t="s">
        <v>863</v>
      </c>
    </row>
    <row r="88" spans="1:14" x14ac:dyDescent="0.3">
      <c r="A88" t="s">
        <v>914</v>
      </c>
      <c r="B88" t="s">
        <v>45</v>
      </c>
      <c r="C88" t="s">
        <v>806</v>
      </c>
      <c r="D88" t="s">
        <v>811</v>
      </c>
      <c r="E88">
        <v>19</v>
      </c>
      <c r="F88" t="s">
        <v>829</v>
      </c>
      <c r="G88" t="s">
        <v>894</v>
      </c>
      <c r="H88">
        <v>8639</v>
      </c>
      <c r="I88" t="s">
        <v>834</v>
      </c>
      <c r="J88" t="s">
        <v>843</v>
      </c>
      <c r="K88" s="2">
        <v>45536</v>
      </c>
      <c r="L88">
        <v>2024</v>
      </c>
      <c r="M88">
        <v>164141</v>
      </c>
      <c r="N88" t="s">
        <v>863</v>
      </c>
    </row>
    <row r="89" spans="1:14" x14ac:dyDescent="0.3">
      <c r="A89" t="s">
        <v>915</v>
      </c>
      <c r="B89" t="s">
        <v>46</v>
      </c>
      <c r="C89" t="s">
        <v>806</v>
      </c>
      <c r="D89" t="s">
        <v>815</v>
      </c>
      <c r="E89">
        <v>4</v>
      </c>
      <c r="F89" t="s">
        <v>826</v>
      </c>
      <c r="G89" t="s">
        <v>865</v>
      </c>
      <c r="H89">
        <v>3808</v>
      </c>
      <c r="I89" t="s">
        <v>832</v>
      </c>
      <c r="J89" t="s">
        <v>842</v>
      </c>
      <c r="K89" s="2">
        <v>43922</v>
      </c>
      <c r="L89">
        <v>2020</v>
      </c>
      <c r="M89">
        <v>15232</v>
      </c>
      <c r="N89" t="s">
        <v>868</v>
      </c>
    </row>
    <row r="90" spans="1:14" x14ac:dyDescent="0.3">
      <c r="A90" t="s">
        <v>915</v>
      </c>
      <c r="B90" t="s">
        <v>46</v>
      </c>
      <c r="C90" t="s">
        <v>806</v>
      </c>
      <c r="D90" t="s">
        <v>811</v>
      </c>
      <c r="E90">
        <v>16</v>
      </c>
      <c r="F90" t="s">
        <v>826</v>
      </c>
      <c r="G90" t="s">
        <v>865</v>
      </c>
      <c r="H90">
        <v>2588</v>
      </c>
      <c r="I90" t="s">
        <v>835</v>
      </c>
      <c r="J90" t="s">
        <v>842</v>
      </c>
      <c r="K90" s="2">
        <v>43922</v>
      </c>
      <c r="L90">
        <v>2020</v>
      </c>
      <c r="M90">
        <v>41408</v>
      </c>
      <c r="N90" t="s">
        <v>863</v>
      </c>
    </row>
    <row r="91" spans="1:14" x14ac:dyDescent="0.3">
      <c r="A91" t="s">
        <v>916</v>
      </c>
      <c r="B91" t="s">
        <v>47</v>
      </c>
      <c r="C91" t="s">
        <v>805</v>
      </c>
      <c r="D91" t="s">
        <v>809</v>
      </c>
      <c r="E91">
        <v>5</v>
      </c>
      <c r="F91" t="s">
        <v>825</v>
      </c>
      <c r="G91" t="s">
        <v>870</v>
      </c>
      <c r="H91">
        <v>1591</v>
      </c>
      <c r="I91" t="s">
        <v>835</v>
      </c>
      <c r="J91" t="s">
        <v>840</v>
      </c>
      <c r="K91" s="2">
        <v>44713</v>
      </c>
      <c r="L91">
        <v>2022</v>
      </c>
      <c r="M91">
        <v>7955</v>
      </c>
      <c r="N91" t="s">
        <v>852</v>
      </c>
    </row>
    <row r="92" spans="1:14" x14ac:dyDescent="0.3">
      <c r="A92" t="s">
        <v>917</v>
      </c>
      <c r="B92" t="s">
        <v>48</v>
      </c>
      <c r="C92" t="s">
        <v>805</v>
      </c>
      <c r="D92" t="s">
        <v>809</v>
      </c>
      <c r="E92">
        <v>5</v>
      </c>
      <c r="F92" t="s">
        <v>824</v>
      </c>
      <c r="G92" t="s">
        <v>910</v>
      </c>
      <c r="H92">
        <v>1591</v>
      </c>
      <c r="I92" t="s">
        <v>835</v>
      </c>
      <c r="J92" t="s">
        <v>840</v>
      </c>
      <c r="K92" s="2">
        <v>44256</v>
      </c>
      <c r="L92">
        <v>2021</v>
      </c>
      <c r="M92">
        <v>7955</v>
      </c>
      <c r="N92" t="s">
        <v>852</v>
      </c>
    </row>
    <row r="93" spans="1:14" x14ac:dyDescent="0.3">
      <c r="A93" t="s">
        <v>918</v>
      </c>
      <c r="B93" t="s">
        <v>49</v>
      </c>
      <c r="C93" t="s">
        <v>805</v>
      </c>
      <c r="D93" t="s">
        <v>809</v>
      </c>
      <c r="E93">
        <v>5</v>
      </c>
      <c r="F93" t="s">
        <v>829</v>
      </c>
      <c r="G93" t="s">
        <v>890</v>
      </c>
      <c r="H93">
        <v>1591</v>
      </c>
      <c r="I93" t="s">
        <v>835</v>
      </c>
      <c r="J93" t="s">
        <v>840</v>
      </c>
      <c r="K93" s="2">
        <v>44593</v>
      </c>
      <c r="L93">
        <v>2022</v>
      </c>
      <c r="M93">
        <v>7955</v>
      </c>
      <c r="N93" t="s">
        <v>852</v>
      </c>
    </row>
    <row r="94" spans="1:14" x14ac:dyDescent="0.3">
      <c r="A94" t="s">
        <v>919</v>
      </c>
      <c r="B94" t="s">
        <v>50</v>
      </c>
      <c r="C94" t="s">
        <v>807</v>
      </c>
      <c r="D94" t="s">
        <v>814</v>
      </c>
      <c r="E94">
        <v>10</v>
      </c>
      <c r="F94" t="s">
        <v>829</v>
      </c>
      <c r="G94" t="s">
        <v>894</v>
      </c>
      <c r="H94">
        <v>1757</v>
      </c>
      <c r="I94" t="s">
        <v>832</v>
      </c>
      <c r="J94" t="s">
        <v>840</v>
      </c>
      <c r="K94" s="2">
        <v>44621</v>
      </c>
      <c r="L94">
        <v>2022</v>
      </c>
      <c r="M94">
        <v>17570</v>
      </c>
      <c r="N94" t="s">
        <v>857</v>
      </c>
    </row>
    <row r="95" spans="1:14" x14ac:dyDescent="0.3">
      <c r="A95" t="s">
        <v>920</v>
      </c>
      <c r="B95" t="s">
        <v>51</v>
      </c>
      <c r="C95" t="s">
        <v>807</v>
      </c>
      <c r="D95" t="s">
        <v>814</v>
      </c>
      <c r="E95">
        <v>10</v>
      </c>
      <c r="F95" t="s">
        <v>825</v>
      </c>
      <c r="G95" t="s">
        <v>921</v>
      </c>
      <c r="H95">
        <v>1757</v>
      </c>
      <c r="I95" t="s">
        <v>832</v>
      </c>
      <c r="J95" t="s">
        <v>840</v>
      </c>
      <c r="K95" s="2">
        <v>44866</v>
      </c>
      <c r="L95">
        <v>2022</v>
      </c>
      <c r="M95">
        <v>17570</v>
      </c>
      <c r="N95" t="s">
        <v>857</v>
      </c>
    </row>
    <row r="96" spans="1:14" x14ac:dyDescent="0.3">
      <c r="A96" t="s">
        <v>922</v>
      </c>
      <c r="B96" t="s">
        <v>52</v>
      </c>
      <c r="C96" t="s">
        <v>807</v>
      </c>
      <c r="D96" t="s">
        <v>820</v>
      </c>
      <c r="E96">
        <v>15</v>
      </c>
      <c r="F96" t="s">
        <v>824</v>
      </c>
      <c r="G96" t="s">
        <v>859</v>
      </c>
      <c r="H96">
        <v>6940</v>
      </c>
      <c r="I96" t="s">
        <v>833</v>
      </c>
      <c r="J96" t="s">
        <v>841</v>
      </c>
      <c r="K96" s="2">
        <v>44501</v>
      </c>
      <c r="L96">
        <v>2021</v>
      </c>
      <c r="M96">
        <v>104100</v>
      </c>
      <c r="N96" t="s">
        <v>863</v>
      </c>
    </row>
    <row r="97" spans="1:14" x14ac:dyDescent="0.3">
      <c r="A97" t="s">
        <v>922</v>
      </c>
      <c r="B97" t="s">
        <v>52</v>
      </c>
      <c r="C97" t="s">
        <v>805</v>
      </c>
      <c r="D97" t="s">
        <v>810</v>
      </c>
      <c r="E97">
        <v>5</v>
      </c>
      <c r="F97" t="s">
        <v>824</v>
      </c>
      <c r="G97" t="s">
        <v>859</v>
      </c>
      <c r="H97">
        <v>5105</v>
      </c>
      <c r="I97" t="s">
        <v>832</v>
      </c>
      <c r="J97" t="s">
        <v>844</v>
      </c>
      <c r="K97" s="2">
        <v>44501</v>
      </c>
      <c r="L97">
        <v>2021</v>
      </c>
      <c r="M97">
        <v>25525</v>
      </c>
      <c r="N97" t="s">
        <v>852</v>
      </c>
    </row>
    <row r="98" spans="1:14" x14ac:dyDescent="0.3">
      <c r="A98" t="s">
        <v>923</v>
      </c>
      <c r="B98" t="s">
        <v>53</v>
      </c>
      <c r="C98" t="s">
        <v>807</v>
      </c>
      <c r="D98" t="s">
        <v>813</v>
      </c>
      <c r="E98">
        <v>16</v>
      </c>
      <c r="F98" t="s">
        <v>824</v>
      </c>
      <c r="G98" t="s">
        <v>851</v>
      </c>
      <c r="H98">
        <v>5578</v>
      </c>
      <c r="I98" t="s">
        <v>836</v>
      </c>
      <c r="J98" t="s">
        <v>844</v>
      </c>
      <c r="K98" s="2">
        <v>44409</v>
      </c>
      <c r="L98">
        <v>2021</v>
      </c>
      <c r="M98">
        <v>89248</v>
      </c>
      <c r="N98" t="s">
        <v>863</v>
      </c>
    </row>
    <row r="99" spans="1:14" x14ac:dyDescent="0.3">
      <c r="A99" t="s">
        <v>924</v>
      </c>
      <c r="B99" t="s">
        <v>54</v>
      </c>
      <c r="C99" t="s">
        <v>807</v>
      </c>
      <c r="D99" t="s">
        <v>813</v>
      </c>
      <c r="E99">
        <v>16</v>
      </c>
      <c r="F99" t="s">
        <v>829</v>
      </c>
      <c r="G99" t="s">
        <v>886</v>
      </c>
      <c r="H99">
        <v>5578</v>
      </c>
      <c r="I99" t="s">
        <v>836</v>
      </c>
      <c r="J99" t="s">
        <v>844</v>
      </c>
      <c r="K99" s="2">
        <v>44682</v>
      </c>
      <c r="L99">
        <v>2022</v>
      </c>
      <c r="M99">
        <v>89248</v>
      </c>
      <c r="N99" t="s">
        <v>863</v>
      </c>
    </row>
    <row r="100" spans="1:14" x14ac:dyDescent="0.3">
      <c r="A100" t="s">
        <v>925</v>
      </c>
      <c r="B100" t="s">
        <v>55</v>
      </c>
      <c r="C100" t="s">
        <v>807</v>
      </c>
      <c r="D100" t="s">
        <v>814</v>
      </c>
      <c r="E100">
        <v>16</v>
      </c>
      <c r="F100" t="s">
        <v>828</v>
      </c>
      <c r="G100" t="s">
        <v>904</v>
      </c>
      <c r="H100">
        <v>5224</v>
      </c>
      <c r="I100" t="s">
        <v>835</v>
      </c>
      <c r="J100" t="s">
        <v>844</v>
      </c>
      <c r="K100" s="2">
        <v>45108</v>
      </c>
      <c r="L100">
        <v>2023</v>
      </c>
      <c r="M100">
        <v>83584</v>
      </c>
      <c r="N100" t="s">
        <v>863</v>
      </c>
    </row>
    <row r="101" spans="1:14" x14ac:dyDescent="0.3">
      <c r="A101" t="s">
        <v>925</v>
      </c>
      <c r="B101" t="s">
        <v>55</v>
      </c>
      <c r="C101" t="s">
        <v>806</v>
      </c>
      <c r="D101" t="s">
        <v>815</v>
      </c>
      <c r="E101">
        <v>11</v>
      </c>
      <c r="F101" t="s">
        <v>828</v>
      </c>
      <c r="G101" t="s">
        <v>904</v>
      </c>
      <c r="H101">
        <v>5002</v>
      </c>
      <c r="I101" t="s">
        <v>835</v>
      </c>
      <c r="J101" t="s">
        <v>844</v>
      </c>
      <c r="K101" s="2">
        <v>45108</v>
      </c>
      <c r="L101">
        <v>2023</v>
      </c>
      <c r="M101">
        <v>55022</v>
      </c>
      <c r="N101" t="s">
        <v>857</v>
      </c>
    </row>
    <row r="102" spans="1:14" x14ac:dyDescent="0.3">
      <c r="A102" t="s">
        <v>925</v>
      </c>
      <c r="B102" t="s">
        <v>55</v>
      </c>
      <c r="C102" t="s">
        <v>806</v>
      </c>
      <c r="D102" t="s">
        <v>815</v>
      </c>
      <c r="E102">
        <v>18</v>
      </c>
      <c r="F102" t="s">
        <v>828</v>
      </c>
      <c r="G102" t="s">
        <v>904</v>
      </c>
      <c r="H102">
        <v>7380</v>
      </c>
      <c r="I102" t="s">
        <v>836</v>
      </c>
      <c r="J102" t="s">
        <v>841</v>
      </c>
      <c r="K102" s="2">
        <v>45108</v>
      </c>
      <c r="L102">
        <v>2023</v>
      </c>
      <c r="M102">
        <v>132840</v>
      </c>
      <c r="N102" t="s">
        <v>863</v>
      </c>
    </row>
    <row r="103" spans="1:14" x14ac:dyDescent="0.3">
      <c r="A103" t="s">
        <v>926</v>
      </c>
      <c r="B103" t="s">
        <v>56</v>
      </c>
      <c r="C103" t="s">
        <v>807</v>
      </c>
      <c r="D103" t="s">
        <v>814</v>
      </c>
      <c r="E103">
        <v>4</v>
      </c>
      <c r="F103" t="s">
        <v>827</v>
      </c>
      <c r="G103" t="s">
        <v>862</v>
      </c>
      <c r="H103">
        <v>7595</v>
      </c>
      <c r="I103" t="s">
        <v>833</v>
      </c>
      <c r="J103" t="s">
        <v>841</v>
      </c>
      <c r="K103" s="2">
        <v>44044</v>
      </c>
      <c r="L103">
        <v>2020</v>
      </c>
      <c r="M103">
        <v>30380</v>
      </c>
      <c r="N103" t="s">
        <v>868</v>
      </c>
    </row>
    <row r="104" spans="1:14" x14ac:dyDescent="0.3">
      <c r="A104" t="s">
        <v>927</v>
      </c>
      <c r="B104" t="s">
        <v>57</v>
      </c>
      <c r="C104" t="s">
        <v>807</v>
      </c>
      <c r="D104" t="s">
        <v>814</v>
      </c>
      <c r="E104">
        <v>4</v>
      </c>
      <c r="F104" t="s">
        <v>826</v>
      </c>
      <c r="G104" t="s">
        <v>872</v>
      </c>
      <c r="H104">
        <v>7595</v>
      </c>
      <c r="I104" t="s">
        <v>833</v>
      </c>
      <c r="J104" t="s">
        <v>841</v>
      </c>
      <c r="K104" s="2">
        <v>44652</v>
      </c>
      <c r="L104">
        <v>2022</v>
      </c>
      <c r="M104">
        <v>30380</v>
      </c>
      <c r="N104" t="s">
        <v>868</v>
      </c>
    </row>
    <row r="105" spans="1:14" x14ac:dyDescent="0.3">
      <c r="A105" t="s">
        <v>928</v>
      </c>
      <c r="B105" t="s">
        <v>58</v>
      </c>
      <c r="C105" t="s">
        <v>807</v>
      </c>
      <c r="D105" t="s">
        <v>816</v>
      </c>
      <c r="E105">
        <v>7</v>
      </c>
      <c r="F105" t="s">
        <v>828</v>
      </c>
      <c r="G105" t="s">
        <v>880</v>
      </c>
      <c r="H105">
        <v>1954</v>
      </c>
      <c r="I105" t="s">
        <v>833</v>
      </c>
      <c r="J105" t="s">
        <v>840</v>
      </c>
      <c r="K105" s="2">
        <v>44896</v>
      </c>
      <c r="L105">
        <v>2022</v>
      </c>
      <c r="M105">
        <v>13678</v>
      </c>
      <c r="N105" t="s">
        <v>852</v>
      </c>
    </row>
    <row r="106" spans="1:14" x14ac:dyDescent="0.3">
      <c r="A106" t="s">
        <v>929</v>
      </c>
      <c r="B106" t="s">
        <v>59</v>
      </c>
      <c r="C106" t="s">
        <v>805</v>
      </c>
      <c r="D106" t="s">
        <v>810</v>
      </c>
      <c r="E106">
        <v>20</v>
      </c>
      <c r="F106" t="s">
        <v>828</v>
      </c>
      <c r="G106" t="s">
        <v>874</v>
      </c>
      <c r="H106">
        <v>523</v>
      </c>
      <c r="I106" t="s">
        <v>834</v>
      </c>
      <c r="J106" t="s">
        <v>840</v>
      </c>
      <c r="K106" s="2">
        <v>45627</v>
      </c>
      <c r="L106">
        <v>2024</v>
      </c>
      <c r="M106">
        <v>10460</v>
      </c>
      <c r="N106" t="s">
        <v>863</v>
      </c>
    </row>
    <row r="107" spans="1:14" x14ac:dyDescent="0.3">
      <c r="A107" t="s">
        <v>930</v>
      </c>
      <c r="B107" t="s">
        <v>60</v>
      </c>
      <c r="C107" t="s">
        <v>805</v>
      </c>
      <c r="D107" t="s">
        <v>812</v>
      </c>
      <c r="E107">
        <v>13</v>
      </c>
      <c r="F107" t="s">
        <v>828</v>
      </c>
      <c r="G107" t="s">
        <v>880</v>
      </c>
      <c r="H107">
        <v>5704</v>
      </c>
      <c r="I107" t="s">
        <v>834</v>
      </c>
      <c r="J107" t="s">
        <v>844</v>
      </c>
      <c r="K107" s="2">
        <v>44593</v>
      </c>
      <c r="L107">
        <v>2022</v>
      </c>
      <c r="M107">
        <v>74152</v>
      </c>
      <c r="N107" t="s">
        <v>857</v>
      </c>
    </row>
    <row r="108" spans="1:14" x14ac:dyDescent="0.3">
      <c r="A108" t="s">
        <v>931</v>
      </c>
      <c r="B108" t="s">
        <v>61</v>
      </c>
      <c r="C108" t="s">
        <v>805</v>
      </c>
      <c r="D108" t="s">
        <v>812</v>
      </c>
      <c r="E108">
        <v>13</v>
      </c>
      <c r="F108" t="s">
        <v>827</v>
      </c>
      <c r="G108" t="s">
        <v>876</v>
      </c>
      <c r="H108">
        <v>5704</v>
      </c>
      <c r="I108" t="s">
        <v>834</v>
      </c>
      <c r="J108" t="s">
        <v>844</v>
      </c>
      <c r="K108" s="2">
        <v>44531</v>
      </c>
      <c r="L108">
        <v>2021</v>
      </c>
      <c r="M108">
        <v>74152</v>
      </c>
      <c r="N108" t="s">
        <v>857</v>
      </c>
    </row>
    <row r="109" spans="1:14" x14ac:dyDescent="0.3">
      <c r="A109" t="s">
        <v>930</v>
      </c>
      <c r="B109" t="s">
        <v>60</v>
      </c>
      <c r="C109" t="s">
        <v>807</v>
      </c>
      <c r="D109" t="s">
        <v>813</v>
      </c>
      <c r="E109">
        <v>8</v>
      </c>
      <c r="F109" t="s">
        <v>828</v>
      </c>
      <c r="G109" t="s">
        <v>880</v>
      </c>
      <c r="H109">
        <v>8797</v>
      </c>
      <c r="I109" t="s">
        <v>832</v>
      </c>
      <c r="J109" t="s">
        <v>843</v>
      </c>
      <c r="K109" s="2">
        <v>44593</v>
      </c>
      <c r="L109">
        <v>2022</v>
      </c>
      <c r="M109">
        <v>70376</v>
      </c>
      <c r="N109" t="s">
        <v>852</v>
      </c>
    </row>
    <row r="110" spans="1:14" x14ac:dyDescent="0.3">
      <c r="A110" t="s">
        <v>931</v>
      </c>
      <c r="B110" t="s">
        <v>61</v>
      </c>
      <c r="C110" t="s">
        <v>807</v>
      </c>
      <c r="D110" t="s">
        <v>813</v>
      </c>
      <c r="E110">
        <v>8</v>
      </c>
      <c r="F110" t="s">
        <v>827</v>
      </c>
      <c r="G110" t="s">
        <v>876</v>
      </c>
      <c r="H110">
        <v>8797</v>
      </c>
      <c r="I110" t="s">
        <v>832</v>
      </c>
      <c r="J110" t="s">
        <v>843</v>
      </c>
      <c r="K110" s="2">
        <v>44531</v>
      </c>
      <c r="L110">
        <v>2021</v>
      </c>
      <c r="M110">
        <v>70376</v>
      </c>
      <c r="N110" t="s">
        <v>852</v>
      </c>
    </row>
    <row r="111" spans="1:14" x14ac:dyDescent="0.3">
      <c r="A111" t="s">
        <v>930</v>
      </c>
      <c r="B111" t="s">
        <v>60</v>
      </c>
      <c r="C111" t="s">
        <v>805</v>
      </c>
      <c r="D111" t="s">
        <v>812</v>
      </c>
      <c r="E111">
        <v>5</v>
      </c>
      <c r="F111" t="s">
        <v>828</v>
      </c>
      <c r="G111" t="s">
        <v>880</v>
      </c>
      <c r="H111">
        <v>9236</v>
      </c>
      <c r="I111" t="s">
        <v>833</v>
      </c>
      <c r="J111" t="s">
        <v>843</v>
      </c>
      <c r="K111" s="2">
        <v>44593</v>
      </c>
      <c r="L111">
        <v>2022</v>
      </c>
      <c r="M111">
        <v>46180</v>
      </c>
      <c r="N111" t="s">
        <v>852</v>
      </c>
    </row>
    <row r="112" spans="1:14" x14ac:dyDescent="0.3">
      <c r="A112" t="s">
        <v>931</v>
      </c>
      <c r="B112" t="s">
        <v>61</v>
      </c>
      <c r="C112" t="s">
        <v>805</v>
      </c>
      <c r="D112" t="s">
        <v>812</v>
      </c>
      <c r="E112">
        <v>5</v>
      </c>
      <c r="F112" t="s">
        <v>827</v>
      </c>
      <c r="G112" t="s">
        <v>876</v>
      </c>
      <c r="H112">
        <v>9236</v>
      </c>
      <c r="I112" t="s">
        <v>833</v>
      </c>
      <c r="J112" t="s">
        <v>843</v>
      </c>
      <c r="K112" s="2">
        <v>44531</v>
      </c>
      <c r="L112">
        <v>2021</v>
      </c>
      <c r="M112">
        <v>46180</v>
      </c>
      <c r="N112" t="s">
        <v>852</v>
      </c>
    </row>
    <row r="113" spans="1:14" x14ac:dyDescent="0.3">
      <c r="A113" t="s">
        <v>932</v>
      </c>
      <c r="B113" t="s">
        <v>62</v>
      </c>
      <c r="C113" t="s">
        <v>807</v>
      </c>
      <c r="D113" t="s">
        <v>816</v>
      </c>
      <c r="E113">
        <v>17</v>
      </c>
      <c r="F113" t="s">
        <v>824</v>
      </c>
      <c r="G113" t="s">
        <v>851</v>
      </c>
      <c r="H113">
        <v>9109</v>
      </c>
      <c r="I113" t="s">
        <v>834</v>
      </c>
      <c r="J113" t="s">
        <v>843</v>
      </c>
      <c r="K113" s="2">
        <v>43952</v>
      </c>
      <c r="L113">
        <v>2020</v>
      </c>
      <c r="M113">
        <v>154853</v>
      </c>
      <c r="N113" t="s">
        <v>863</v>
      </c>
    </row>
    <row r="114" spans="1:14" x14ac:dyDescent="0.3">
      <c r="A114" t="s">
        <v>933</v>
      </c>
      <c r="B114" t="s">
        <v>63</v>
      </c>
      <c r="C114" t="s">
        <v>805</v>
      </c>
      <c r="D114" t="s">
        <v>819</v>
      </c>
      <c r="E114">
        <v>19</v>
      </c>
      <c r="F114" t="s">
        <v>828</v>
      </c>
      <c r="G114" t="s">
        <v>874</v>
      </c>
      <c r="H114">
        <v>4358</v>
      </c>
      <c r="I114" t="s">
        <v>835</v>
      </c>
      <c r="J114" t="s">
        <v>844</v>
      </c>
      <c r="K114" s="2">
        <v>44896</v>
      </c>
      <c r="L114">
        <v>2022</v>
      </c>
      <c r="M114">
        <v>82802</v>
      </c>
      <c r="N114" t="s">
        <v>863</v>
      </c>
    </row>
    <row r="115" spans="1:14" x14ac:dyDescent="0.3">
      <c r="A115" t="s">
        <v>934</v>
      </c>
      <c r="B115" t="s">
        <v>64</v>
      </c>
      <c r="C115" t="s">
        <v>805</v>
      </c>
      <c r="D115" t="s">
        <v>819</v>
      </c>
      <c r="E115">
        <v>19</v>
      </c>
      <c r="F115" t="s">
        <v>827</v>
      </c>
      <c r="G115" t="s">
        <v>883</v>
      </c>
      <c r="H115">
        <v>4358</v>
      </c>
      <c r="I115" t="s">
        <v>835</v>
      </c>
      <c r="J115" t="s">
        <v>844</v>
      </c>
      <c r="K115" s="2">
        <v>45536</v>
      </c>
      <c r="L115">
        <v>2024</v>
      </c>
      <c r="M115">
        <v>82802</v>
      </c>
      <c r="N115" t="s">
        <v>863</v>
      </c>
    </row>
    <row r="116" spans="1:14" x14ac:dyDescent="0.3">
      <c r="A116" t="s">
        <v>933</v>
      </c>
      <c r="B116" t="s">
        <v>63</v>
      </c>
      <c r="C116" t="s">
        <v>805</v>
      </c>
      <c r="D116" t="s">
        <v>819</v>
      </c>
      <c r="E116">
        <v>8</v>
      </c>
      <c r="F116" t="s">
        <v>828</v>
      </c>
      <c r="G116" t="s">
        <v>874</v>
      </c>
      <c r="H116">
        <v>6459</v>
      </c>
      <c r="I116" t="s">
        <v>835</v>
      </c>
      <c r="J116" t="s">
        <v>841</v>
      </c>
      <c r="K116" s="2">
        <v>44896</v>
      </c>
      <c r="L116">
        <v>2022</v>
      </c>
      <c r="M116">
        <v>51672</v>
      </c>
      <c r="N116" t="s">
        <v>852</v>
      </c>
    </row>
    <row r="117" spans="1:14" x14ac:dyDescent="0.3">
      <c r="A117" t="s">
        <v>934</v>
      </c>
      <c r="B117" t="s">
        <v>64</v>
      </c>
      <c r="C117" t="s">
        <v>805</v>
      </c>
      <c r="D117" t="s">
        <v>819</v>
      </c>
      <c r="E117">
        <v>8</v>
      </c>
      <c r="F117" t="s">
        <v>827</v>
      </c>
      <c r="G117" t="s">
        <v>883</v>
      </c>
      <c r="H117">
        <v>6459</v>
      </c>
      <c r="I117" t="s">
        <v>835</v>
      </c>
      <c r="J117" t="s">
        <v>841</v>
      </c>
      <c r="K117" s="2">
        <v>45536</v>
      </c>
      <c r="L117">
        <v>2024</v>
      </c>
      <c r="M117">
        <v>51672</v>
      </c>
      <c r="N117" t="s">
        <v>852</v>
      </c>
    </row>
    <row r="118" spans="1:14" x14ac:dyDescent="0.3">
      <c r="A118" t="s">
        <v>935</v>
      </c>
      <c r="B118" t="s">
        <v>65</v>
      </c>
      <c r="C118" t="s">
        <v>807</v>
      </c>
      <c r="D118" t="s">
        <v>820</v>
      </c>
      <c r="E118">
        <v>12</v>
      </c>
      <c r="F118" t="s">
        <v>827</v>
      </c>
      <c r="G118" t="s">
        <v>883</v>
      </c>
      <c r="H118">
        <v>2478</v>
      </c>
      <c r="I118" t="s">
        <v>836</v>
      </c>
      <c r="J118" t="s">
        <v>842</v>
      </c>
      <c r="K118" s="2">
        <v>45047</v>
      </c>
      <c r="L118">
        <v>2023</v>
      </c>
      <c r="M118">
        <v>29736</v>
      </c>
      <c r="N118" t="s">
        <v>857</v>
      </c>
    </row>
    <row r="119" spans="1:14" x14ac:dyDescent="0.3">
      <c r="A119" t="s">
        <v>936</v>
      </c>
      <c r="B119" t="s">
        <v>66</v>
      </c>
      <c r="C119" t="s">
        <v>807</v>
      </c>
      <c r="D119" t="s">
        <v>820</v>
      </c>
      <c r="E119">
        <v>12</v>
      </c>
      <c r="F119" t="s">
        <v>826</v>
      </c>
      <c r="G119" t="s">
        <v>865</v>
      </c>
      <c r="H119">
        <v>2478</v>
      </c>
      <c r="I119" t="s">
        <v>836</v>
      </c>
      <c r="J119" t="s">
        <v>842</v>
      </c>
      <c r="K119" s="2">
        <v>44256</v>
      </c>
      <c r="L119">
        <v>2021</v>
      </c>
      <c r="M119">
        <v>29736</v>
      </c>
      <c r="N119" t="s">
        <v>857</v>
      </c>
    </row>
    <row r="120" spans="1:14" x14ac:dyDescent="0.3">
      <c r="A120" t="s">
        <v>937</v>
      </c>
      <c r="B120" t="s">
        <v>67</v>
      </c>
      <c r="C120" t="s">
        <v>807</v>
      </c>
      <c r="D120" t="s">
        <v>820</v>
      </c>
      <c r="E120">
        <v>12</v>
      </c>
      <c r="F120" t="s">
        <v>827</v>
      </c>
      <c r="G120" t="s">
        <v>883</v>
      </c>
      <c r="H120">
        <v>2478</v>
      </c>
      <c r="I120" t="s">
        <v>836</v>
      </c>
      <c r="J120" t="s">
        <v>842</v>
      </c>
      <c r="K120" s="2">
        <v>44256</v>
      </c>
      <c r="L120">
        <v>2021</v>
      </c>
      <c r="M120">
        <v>29736</v>
      </c>
      <c r="N120" t="s">
        <v>857</v>
      </c>
    </row>
    <row r="121" spans="1:14" x14ac:dyDescent="0.3">
      <c r="A121" t="s">
        <v>938</v>
      </c>
      <c r="B121" t="s">
        <v>68</v>
      </c>
      <c r="C121" t="s">
        <v>807</v>
      </c>
      <c r="D121" t="s">
        <v>820</v>
      </c>
      <c r="E121">
        <v>12</v>
      </c>
      <c r="F121" t="s">
        <v>829</v>
      </c>
      <c r="G121" t="s">
        <v>894</v>
      </c>
      <c r="H121">
        <v>2478</v>
      </c>
      <c r="I121" t="s">
        <v>836</v>
      </c>
      <c r="J121" t="s">
        <v>842</v>
      </c>
      <c r="K121" s="2">
        <v>45017</v>
      </c>
      <c r="L121">
        <v>2023</v>
      </c>
      <c r="M121">
        <v>29736</v>
      </c>
      <c r="N121" t="s">
        <v>857</v>
      </c>
    </row>
    <row r="122" spans="1:14" x14ac:dyDescent="0.3">
      <c r="A122" t="s">
        <v>860</v>
      </c>
      <c r="B122" t="s">
        <v>69</v>
      </c>
      <c r="C122" t="s">
        <v>806</v>
      </c>
      <c r="D122" t="s">
        <v>811</v>
      </c>
      <c r="E122">
        <v>20</v>
      </c>
      <c r="F122" t="s">
        <v>826</v>
      </c>
      <c r="G122" t="s">
        <v>872</v>
      </c>
      <c r="H122">
        <v>9992</v>
      </c>
      <c r="I122" t="s">
        <v>833</v>
      </c>
      <c r="J122" t="s">
        <v>843</v>
      </c>
      <c r="K122" s="2">
        <v>44470</v>
      </c>
      <c r="L122">
        <v>2021</v>
      </c>
      <c r="M122">
        <v>199840</v>
      </c>
      <c r="N122" t="s">
        <v>863</v>
      </c>
    </row>
    <row r="123" spans="1:14" x14ac:dyDescent="0.3">
      <c r="A123" t="s">
        <v>939</v>
      </c>
      <c r="B123" t="s">
        <v>70</v>
      </c>
      <c r="C123" t="s">
        <v>806</v>
      </c>
      <c r="D123" t="s">
        <v>811</v>
      </c>
      <c r="E123">
        <v>20</v>
      </c>
      <c r="F123" t="s">
        <v>828</v>
      </c>
      <c r="G123" t="s">
        <v>880</v>
      </c>
      <c r="H123">
        <v>9992</v>
      </c>
      <c r="I123" t="s">
        <v>833</v>
      </c>
      <c r="J123" t="s">
        <v>843</v>
      </c>
      <c r="K123" s="2">
        <v>44652</v>
      </c>
      <c r="L123">
        <v>2022</v>
      </c>
      <c r="M123">
        <v>199840</v>
      </c>
      <c r="N123" t="s">
        <v>863</v>
      </c>
    </row>
    <row r="124" spans="1:14" x14ac:dyDescent="0.3">
      <c r="A124" t="s">
        <v>940</v>
      </c>
      <c r="B124" t="s">
        <v>71</v>
      </c>
      <c r="C124" t="s">
        <v>806</v>
      </c>
      <c r="D124" t="s">
        <v>811</v>
      </c>
      <c r="E124">
        <v>20</v>
      </c>
      <c r="F124" t="s">
        <v>826</v>
      </c>
      <c r="G124" t="s">
        <v>872</v>
      </c>
      <c r="H124">
        <v>9992</v>
      </c>
      <c r="I124" t="s">
        <v>833</v>
      </c>
      <c r="J124" t="s">
        <v>843</v>
      </c>
      <c r="K124" s="2">
        <v>44774</v>
      </c>
      <c r="L124">
        <v>2022</v>
      </c>
      <c r="M124">
        <v>199840</v>
      </c>
      <c r="N124" t="s">
        <v>863</v>
      </c>
    </row>
    <row r="125" spans="1:14" x14ac:dyDescent="0.3">
      <c r="A125" t="s">
        <v>860</v>
      </c>
      <c r="B125" t="s">
        <v>69</v>
      </c>
      <c r="C125" t="s">
        <v>806</v>
      </c>
      <c r="D125" t="s">
        <v>818</v>
      </c>
      <c r="E125">
        <v>7</v>
      </c>
      <c r="F125" t="s">
        <v>826</v>
      </c>
      <c r="G125" t="s">
        <v>872</v>
      </c>
      <c r="H125">
        <v>9619</v>
      </c>
      <c r="I125" t="s">
        <v>832</v>
      </c>
      <c r="J125" t="s">
        <v>843</v>
      </c>
      <c r="K125" s="2">
        <v>44470</v>
      </c>
      <c r="L125">
        <v>2021</v>
      </c>
      <c r="M125">
        <v>67333</v>
      </c>
      <c r="N125" t="s">
        <v>852</v>
      </c>
    </row>
    <row r="126" spans="1:14" x14ac:dyDescent="0.3">
      <c r="A126" t="s">
        <v>939</v>
      </c>
      <c r="B126" t="s">
        <v>70</v>
      </c>
      <c r="C126" t="s">
        <v>806</v>
      </c>
      <c r="D126" t="s">
        <v>818</v>
      </c>
      <c r="E126">
        <v>7</v>
      </c>
      <c r="F126" t="s">
        <v>828</v>
      </c>
      <c r="G126" t="s">
        <v>880</v>
      </c>
      <c r="H126">
        <v>9619</v>
      </c>
      <c r="I126" t="s">
        <v>832</v>
      </c>
      <c r="J126" t="s">
        <v>843</v>
      </c>
      <c r="K126" s="2">
        <v>44652</v>
      </c>
      <c r="L126">
        <v>2022</v>
      </c>
      <c r="M126">
        <v>67333</v>
      </c>
      <c r="N126" t="s">
        <v>852</v>
      </c>
    </row>
    <row r="127" spans="1:14" x14ac:dyDescent="0.3">
      <c r="A127" t="s">
        <v>940</v>
      </c>
      <c r="B127" t="s">
        <v>71</v>
      </c>
      <c r="C127" t="s">
        <v>806</v>
      </c>
      <c r="D127" t="s">
        <v>818</v>
      </c>
      <c r="E127">
        <v>7</v>
      </c>
      <c r="F127" t="s">
        <v>826</v>
      </c>
      <c r="G127" t="s">
        <v>872</v>
      </c>
      <c r="H127">
        <v>9619</v>
      </c>
      <c r="I127" t="s">
        <v>832</v>
      </c>
      <c r="J127" t="s">
        <v>843</v>
      </c>
      <c r="K127" s="2">
        <v>44774</v>
      </c>
      <c r="L127">
        <v>2022</v>
      </c>
      <c r="M127">
        <v>67333</v>
      </c>
      <c r="N127" t="s">
        <v>852</v>
      </c>
    </row>
    <row r="128" spans="1:14" x14ac:dyDescent="0.3">
      <c r="A128" t="s">
        <v>941</v>
      </c>
      <c r="B128" t="s">
        <v>72</v>
      </c>
      <c r="C128" t="s">
        <v>805</v>
      </c>
      <c r="D128" t="s">
        <v>810</v>
      </c>
      <c r="E128">
        <v>20</v>
      </c>
      <c r="F128" t="s">
        <v>827</v>
      </c>
      <c r="G128" t="s">
        <v>883</v>
      </c>
      <c r="H128">
        <v>9538</v>
      </c>
      <c r="I128" t="s">
        <v>835</v>
      </c>
      <c r="J128" t="s">
        <v>843</v>
      </c>
      <c r="K128" s="2">
        <v>45536</v>
      </c>
      <c r="L128">
        <v>2024</v>
      </c>
      <c r="M128">
        <v>190760</v>
      </c>
      <c r="N128" t="s">
        <v>863</v>
      </c>
    </row>
    <row r="129" spans="1:14" x14ac:dyDescent="0.3">
      <c r="A129" t="s">
        <v>942</v>
      </c>
      <c r="B129" t="s">
        <v>73</v>
      </c>
      <c r="C129" t="s">
        <v>805</v>
      </c>
      <c r="D129" t="s">
        <v>810</v>
      </c>
      <c r="E129">
        <v>20</v>
      </c>
      <c r="F129" t="s">
        <v>829</v>
      </c>
      <c r="G129" t="s">
        <v>894</v>
      </c>
      <c r="H129">
        <v>9538</v>
      </c>
      <c r="I129" t="s">
        <v>835</v>
      </c>
      <c r="J129" t="s">
        <v>843</v>
      </c>
      <c r="K129" s="2">
        <v>44317</v>
      </c>
      <c r="L129">
        <v>2021</v>
      </c>
      <c r="M129">
        <v>190760</v>
      </c>
      <c r="N129" t="s">
        <v>863</v>
      </c>
    </row>
    <row r="130" spans="1:14" x14ac:dyDescent="0.3">
      <c r="A130" t="s">
        <v>941</v>
      </c>
      <c r="B130" t="s">
        <v>72</v>
      </c>
      <c r="C130" t="s">
        <v>807</v>
      </c>
      <c r="D130" t="s">
        <v>814</v>
      </c>
      <c r="E130">
        <v>14</v>
      </c>
      <c r="F130" t="s">
        <v>827</v>
      </c>
      <c r="G130" t="s">
        <v>883</v>
      </c>
      <c r="H130">
        <v>9035</v>
      </c>
      <c r="I130" t="s">
        <v>834</v>
      </c>
      <c r="J130" t="s">
        <v>843</v>
      </c>
      <c r="K130" s="2">
        <v>45536</v>
      </c>
      <c r="L130">
        <v>2024</v>
      </c>
      <c r="M130">
        <v>126490</v>
      </c>
      <c r="N130" t="s">
        <v>857</v>
      </c>
    </row>
    <row r="131" spans="1:14" x14ac:dyDescent="0.3">
      <c r="A131" t="s">
        <v>942</v>
      </c>
      <c r="B131" t="s">
        <v>73</v>
      </c>
      <c r="C131" t="s">
        <v>807</v>
      </c>
      <c r="D131" t="s">
        <v>814</v>
      </c>
      <c r="E131">
        <v>14</v>
      </c>
      <c r="F131" t="s">
        <v>829</v>
      </c>
      <c r="G131" t="s">
        <v>894</v>
      </c>
      <c r="H131">
        <v>9035</v>
      </c>
      <c r="I131" t="s">
        <v>834</v>
      </c>
      <c r="J131" t="s">
        <v>843</v>
      </c>
      <c r="K131" s="2">
        <v>44317</v>
      </c>
      <c r="L131">
        <v>2021</v>
      </c>
      <c r="M131">
        <v>126490</v>
      </c>
      <c r="N131" t="s">
        <v>857</v>
      </c>
    </row>
    <row r="132" spans="1:14" x14ac:dyDescent="0.3">
      <c r="A132" t="s">
        <v>943</v>
      </c>
      <c r="B132" t="s">
        <v>74</v>
      </c>
      <c r="C132" t="s">
        <v>806</v>
      </c>
      <c r="D132" t="s">
        <v>817</v>
      </c>
      <c r="E132">
        <v>2</v>
      </c>
      <c r="F132" t="s">
        <v>824</v>
      </c>
      <c r="G132" t="s">
        <v>910</v>
      </c>
      <c r="H132">
        <v>2684</v>
      </c>
      <c r="I132" t="s">
        <v>836</v>
      </c>
      <c r="J132" t="s">
        <v>842</v>
      </c>
      <c r="K132" s="2">
        <v>45474</v>
      </c>
      <c r="L132">
        <v>2024</v>
      </c>
      <c r="M132">
        <v>5368</v>
      </c>
      <c r="N132" t="s">
        <v>868</v>
      </c>
    </row>
    <row r="133" spans="1:14" x14ac:dyDescent="0.3">
      <c r="A133" t="s">
        <v>943</v>
      </c>
      <c r="B133" t="s">
        <v>74</v>
      </c>
      <c r="C133" t="s">
        <v>807</v>
      </c>
      <c r="D133" t="s">
        <v>816</v>
      </c>
      <c r="E133">
        <v>5</v>
      </c>
      <c r="F133" t="s">
        <v>824</v>
      </c>
      <c r="G133" t="s">
        <v>910</v>
      </c>
      <c r="H133">
        <v>822</v>
      </c>
      <c r="I133" t="s">
        <v>835</v>
      </c>
      <c r="J133" t="s">
        <v>840</v>
      </c>
      <c r="K133" s="2">
        <v>45474</v>
      </c>
      <c r="L133">
        <v>2024</v>
      </c>
      <c r="M133">
        <v>4110</v>
      </c>
      <c r="N133" t="s">
        <v>852</v>
      </c>
    </row>
    <row r="134" spans="1:14" x14ac:dyDescent="0.3">
      <c r="A134" t="s">
        <v>943</v>
      </c>
      <c r="B134" t="s">
        <v>74</v>
      </c>
      <c r="C134" t="s">
        <v>807</v>
      </c>
      <c r="D134" t="s">
        <v>814</v>
      </c>
      <c r="E134">
        <v>2</v>
      </c>
      <c r="F134" t="s">
        <v>824</v>
      </c>
      <c r="G134" t="s">
        <v>910</v>
      </c>
      <c r="H134">
        <v>9730</v>
      </c>
      <c r="I134" t="s">
        <v>834</v>
      </c>
      <c r="J134" t="s">
        <v>843</v>
      </c>
      <c r="K134" s="2">
        <v>45474</v>
      </c>
      <c r="L134">
        <v>2024</v>
      </c>
      <c r="M134">
        <v>19460</v>
      </c>
      <c r="N134" t="s">
        <v>868</v>
      </c>
    </row>
    <row r="135" spans="1:14" x14ac:dyDescent="0.3">
      <c r="A135" t="s">
        <v>943</v>
      </c>
      <c r="B135" t="s">
        <v>74</v>
      </c>
      <c r="C135" t="s">
        <v>805</v>
      </c>
      <c r="D135" t="s">
        <v>809</v>
      </c>
      <c r="E135">
        <v>2</v>
      </c>
      <c r="F135" t="s">
        <v>824</v>
      </c>
      <c r="G135" t="s">
        <v>910</v>
      </c>
      <c r="H135">
        <v>2483</v>
      </c>
      <c r="I135" t="s">
        <v>836</v>
      </c>
      <c r="J135" t="s">
        <v>842</v>
      </c>
      <c r="K135" s="2">
        <v>45474</v>
      </c>
      <c r="L135">
        <v>2024</v>
      </c>
      <c r="M135">
        <v>4966</v>
      </c>
      <c r="N135" t="s">
        <v>868</v>
      </c>
    </row>
    <row r="136" spans="1:14" x14ac:dyDescent="0.3">
      <c r="A136" t="s">
        <v>944</v>
      </c>
      <c r="B136" t="s">
        <v>75</v>
      </c>
      <c r="C136" t="s">
        <v>806</v>
      </c>
      <c r="D136" t="s">
        <v>818</v>
      </c>
      <c r="E136">
        <v>7</v>
      </c>
      <c r="F136" t="s">
        <v>824</v>
      </c>
      <c r="G136" t="s">
        <v>859</v>
      </c>
      <c r="H136">
        <v>1297</v>
      </c>
      <c r="I136" t="s">
        <v>835</v>
      </c>
      <c r="J136" t="s">
        <v>840</v>
      </c>
      <c r="K136" s="2">
        <v>45323</v>
      </c>
      <c r="L136">
        <v>2024</v>
      </c>
      <c r="M136">
        <v>9079</v>
      </c>
      <c r="N136" t="s">
        <v>852</v>
      </c>
    </row>
    <row r="137" spans="1:14" x14ac:dyDescent="0.3">
      <c r="A137" t="s">
        <v>944</v>
      </c>
      <c r="B137" t="s">
        <v>75</v>
      </c>
      <c r="C137" t="s">
        <v>805</v>
      </c>
      <c r="D137" t="s">
        <v>819</v>
      </c>
      <c r="E137">
        <v>19</v>
      </c>
      <c r="F137" t="s">
        <v>824</v>
      </c>
      <c r="G137" t="s">
        <v>859</v>
      </c>
      <c r="H137">
        <v>7909</v>
      </c>
      <c r="I137" t="s">
        <v>836</v>
      </c>
      <c r="J137" t="s">
        <v>841</v>
      </c>
      <c r="K137" s="2">
        <v>45323</v>
      </c>
      <c r="L137">
        <v>2024</v>
      </c>
      <c r="M137">
        <v>150271</v>
      </c>
      <c r="N137" t="s">
        <v>863</v>
      </c>
    </row>
    <row r="138" spans="1:14" x14ac:dyDescent="0.3">
      <c r="A138" t="s">
        <v>945</v>
      </c>
      <c r="B138" t="s">
        <v>76</v>
      </c>
      <c r="C138" t="s">
        <v>807</v>
      </c>
      <c r="D138" t="s">
        <v>813</v>
      </c>
      <c r="E138">
        <v>8</v>
      </c>
      <c r="F138" t="s">
        <v>828</v>
      </c>
      <c r="G138" t="s">
        <v>874</v>
      </c>
      <c r="H138">
        <v>9768</v>
      </c>
      <c r="I138" t="s">
        <v>835</v>
      </c>
      <c r="J138" t="s">
        <v>843</v>
      </c>
      <c r="K138" s="2">
        <v>44501</v>
      </c>
      <c r="L138">
        <v>2021</v>
      </c>
      <c r="M138">
        <v>78144</v>
      </c>
      <c r="N138" t="s">
        <v>852</v>
      </c>
    </row>
    <row r="139" spans="1:14" x14ac:dyDescent="0.3">
      <c r="A139" t="s">
        <v>945</v>
      </c>
      <c r="B139" t="s">
        <v>76</v>
      </c>
      <c r="C139" t="s">
        <v>807</v>
      </c>
      <c r="D139" t="s">
        <v>816</v>
      </c>
      <c r="E139">
        <v>5</v>
      </c>
      <c r="F139" t="s">
        <v>828</v>
      </c>
      <c r="G139" t="s">
        <v>874</v>
      </c>
      <c r="H139">
        <v>4968</v>
      </c>
      <c r="I139" t="s">
        <v>833</v>
      </c>
      <c r="J139" t="s">
        <v>844</v>
      </c>
      <c r="K139" s="2">
        <v>44501</v>
      </c>
      <c r="L139">
        <v>2021</v>
      </c>
      <c r="M139">
        <v>24840</v>
      </c>
      <c r="N139" t="s">
        <v>852</v>
      </c>
    </row>
    <row r="140" spans="1:14" x14ac:dyDescent="0.3">
      <c r="A140" t="s">
        <v>945</v>
      </c>
      <c r="B140" t="s">
        <v>76</v>
      </c>
      <c r="C140" t="s">
        <v>805</v>
      </c>
      <c r="D140" t="s">
        <v>812</v>
      </c>
      <c r="E140">
        <v>4</v>
      </c>
      <c r="F140" t="s">
        <v>828</v>
      </c>
      <c r="G140" t="s">
        <v>874</v>
      </c>
      <c r="H140">
        <v>1731</v>
      </c>
      <c r="I140" t="s">
        <v>834</v>
      </c>
      <c r="J140" t="s">
        <v>840</v>
      </c>
      <c r="K140" s="2">
        <v>44501</v>
      </c>
      <c r="L140">
        <v>2021</v>
      </c>
      <c r="M140">
        <v>6924</v>
      </c>
      <c r="N140" t="s">
        <v>868</v>
      </c>
    </row>
    <row r="141" spans="1:14" x14ac:dyDescent="0.3">
      <c r="A141" t="s">
        <v>946</v>
      </c>
      <c r="B141" t="s">
        <v>77</v>
      </c>
      <c r="C141" t="s">
        <v>806</v>
      </c>
      <c r="D141" t="s">
        <v>818</v>
      </c>
      <c r="E141">
        <v>10</v>
      </c>
      <c r="F141" t="s">
        <v>827</v>
      </c>
      <c r="G141" t="s">
        <v>883</v>
      </c>
      <c r="H141">
        <v>3433</v>
      </c>
      <c r="I141" t="s">
        <v>836</v>
      </c>
      <c r="J141" t="s">
        <v>842</v>
      </c>
      <c r="K141" s="2">
        <v>45323</v>
      </c>
      <c r="L141">
        <v>2024</v>
      </c>
      <c r="M141">
        <v>34330</v>
      </c>
      <c r="N141" t="s">
        <v>857</v>
      </c>
    </row>
    <row r="142" spans="1:14" x14ac:dyDescent="0.3">
      <c r="A142" t="s">
        <v>947</v>
      </c>
      <c r="B142" t="s">
        <v>78</v>
      </c>
      <c r="C142" t="s">
        <v>806</v>
      </c>
      <c r="D142" t="s">
        <v>818</v>
      </c>
      <c r="E142">
        <v>10</v>
      </c>
      <c r="F142" t="s">
        <v>825</v>
      </c>
      <c r="G142" t="s">
        <v>870</v>
      </c>
      <c r="H142">
        <v>3433</v>
      </c>
      <c r="I142" t="s">
        <v>836</v>
      </c>
      <c r="J142" t="s">
        <v>842</v>
      </c>
      <c r="K142" s="2">
        <v>44440</v>
      </c>
      <c r="L142">
        <v>2021</v>
      </c>
      <c r="M142">
        <v>34330</v>
      </c>
      <c r="N142" t="s">
        <v>857</v>
      </c>
    </row>
    <row r="143" spans="1:14" x14ac:dyDescent="0.3">
      <c r="A143" t="s">
        <v>948</v>
      </c>
      <c r="B143" t="s">
        <v>79</v>
      </c>
      <c r="C143" t="s">
        <v>806</v>
      </c>
      <c r="D143" t="s">
        <v>818</v>
      </c>
      <c r="E143">
        <v>10</v>
      </c>
      <c r="F143" t="s">
        <v>827</v>
      </c>
      <c r="G143" t="s">
        <v>876</v>
      </c>
      <c r="H143">
        <v>3433</v>
      </c>
      <c r="I143" t="s">
        <v>836</v>
      </c>
      <c r="J143" t="s">
        <v>842</v>
      </c>
      <c r="K143" s="2">
        <v>44440</v>
      </c>
      <c r="L143">
        <v>2021</v>
      </c>
      <c r="M143">
        <v>34330</v>
      </c>
      <c r="N143" t="s">
        <v>857</v>
      </c>
    </row>
    <row r="144" spans="1:14" x14ac:dyDescent="0.3">
      <c r="A144" t="s">
        <v>946</v>
      </c>
      <c r="B144" t="s">
        <v>77</v>
      </c>
      <c r="C144" t="s">
        <v>806</v>
      </c>
      <c r="D144" t="s">
        <v>818</v>
      </c>
      <c r="E144">
        <v>1</v>
      </c>
      <c r="F144" t="s">
        <v>827</v>
      </c>
      <c r="G144" t="s">
        <v>883</v>
      </c>
      <c r="H144">
        <v>3887</v>
      </c>
      <c r="I144" t="s">
        <v>833</v>
      </c>
      <c r="J144" t="s">
        <v>842</v>
      </c>
      <c r="K144" s="2">
        <v>45323</v>
      </c>
      <c r="L144">
        <v>2024</v>
      </c>
      <c r="M144">
        <v>3887</v>
      </c>
      <c r="N144" t="s">
        <v>868</v>
      </c>
    </row>
    <row r="145" spans="1:14" x14ac:dyDescent="0.3">
      <c r="A145" t="s">
        <v>947</v>
      </c>
      <c r="B145" t="s">
        <v>78</v>
      </c>
      <c r="C145" t="s">
        <v>806</v>
      </c>
      <c r="D145" t="s">
        <v>818</v>
      </c>
      <c r="E145">
        <v>1</v>
      </c>
      <c r="F145" t="s">
        <v>825</v>
      </c>
      <c r="G145" t="s">
        <v>870</v>
      </c>
      <c r="H145">
        <v>3887</v>
      </c>
      <c r="I145" t="s">
        <v>833</v>
      </c>
      <c r="J145" t="s">
        <v>842</v>
      </c>
      <c r="K145" s="2">
        <v>44440</v>
      </c>
      <c r="L145">
        <v>2021</v>
      </c>
      <c r="M145">
        <v>3887</v>
      </c>
      <c r="N145" t="s">
        <v>868</v>
      </c>
    </row>
    <row r="146" spans="1:14" x14ac:dyDescent="0.3">
      <c r="A146" t="s">
        <v>948</v>
      </c>
      <c r="B146" t="s">
        <v>79</v>
      </c>
      <c r="C146" t="s">
        <v>806</v>
      </c>
      <c r="D146" t="s">
        <v>818</v>
      </c>
      <c r="E146">
        <v>1</v>
      </c>
      <c r="F146" t="s">
        <v>827</v>
      </c>
      <c r="G146" t="s">
        <v>876</v>
      </c>
      <c r="H146">
        <v>3887</v>
      </c>
      <c r="I146" t="s">
        <v>833</v>
      </c>
      <c r="J146" t="s">
        <v>842</v>
      </c>
      <c r="K146" s="2">
        <v>44440</v>
      </c>
      <c r="L146">
        <v>2021</v>
      </c>
      <c r="M146">
        <v>3887</v>
      </c>
      <c r="N146" t="s">
        <v>868</v>
      </c>
    </row>
    <row r="147" spans="1:14" x14ac:dyDescent="0.3">
      <c r="A147" t="s">
        <v>949</v>
      </c>
      <c r="B147" t="s">
        <v>80</v>
      </c>
      <c r="C147" t="s">
        <v>806</v>
      </c>
      <c r="D147" t="s">
        <v>815</v>
      </c>
      <c r="E147">
        <v>20</v>
      </c>
      <c r="F147" t="s">
        <v>827</v>
      </c>
      <c r="G147" t="s">
        <v>862</v>
      </c>
      <c r="H147">
        <v>1801</v>
      </c>
      <c r="I147" t="s">
        <v>835</v>
      </c>
      <c r="J147" t="s">
        <v>840</v>
      </c>
      <c r="K147" s="2">
        <v>45474</v>
      </c>
      <c r="L147">
        <v>2024</v>
      </c>
      <c r="M147">
        <v>36020</v>
      </c>
      <c r="N147" t="s">
        <v>863</v>
      </c>
    </row>
    <row r="148" spans="1:14" x14ac:dyDescent="0.3">
      <c r="A148" t="s">
        <v>949</v>
      </c>
      <c r="B148" t="s">
        <v>80</v>
      </c>
      <c r="C148" t="s">
        <v>807</v>
      </c>
      <c r="D148" t="s">
        <v>813</v>
      </c>
      <c r="E148">
        <v>10</v>
      </c>
      <c r="F148" t="s">
        <v>827</v>
      </c>
      <c r="G148" t="s">
        <v>862</v>
      </c>
      <c r="H148">
        <v>5301</v>
      </c>
      <c r="I148" t="s">
        <v>833</v>
      </c>
      <c r="J148" t="s">
        <v>844</v>
      </c>
      <c r="K148" s="2">
        <v>45474</v>
      </c>
      <c r="L148">
        <v>2024</v>
      </c>
      <c r="M148">
        <v>53010</v>
      </c>
      <c r="N148" t="s">
        <v>857</v>
      </c>
    </row>
    <row r="149" spans="1:14" x14ac:dyDescent="0.3">
      <c r="A149" t="s">
        <v>949</v>
      </c>
      <c r="B149" t="s">
        <v>80</v>
      </c>
      <c r="C149" t="s">
        <v>806</v>
      </c>
      <c r="D149" t="s">
        <v>817</v>
      </c>
      <c r="E149">
        <v>12</v>
      </c>
      <c r="F149" t="s">
        <v>827</v>
      </c>
      <c r="G149" t="s">
        <v>862</v>
      </c>
      <c r="H149">
        <v>1166</v>
      </c>
      <c r="I149" t="s">
        <v>833</v>
      </c>
      <c r="J149" t="s">
        <v>840</v>
      </c>
      <c r="K149" s="2">
        <v>45474</v>
      </c>
      <c r="L149">
        <v>2024</v>
      </c>
      <c r="M149">
        <v>13992</v>
      </c>
      <c r="N149" t="s">
        <v>857</v>
      </c>
    </row>
    <row r="150" spans="1:14" x14ac:dyDescent="0.3">
      <c r="A150" t="s">
        <v>949</v>
      </c>
      <c r="B150" t="s">
        <v>80</v>
      </c>
      <c r="C150" t="s">
        <v>806</v>
      </c>
      <c r="D150" t="s">
        <v>817</v>
      </c>
      <c r="E150">
        <v>15</v>
      </c>
      <c r="F150" t="s">
        <v>827</v>
      </c>
      <c r="G150" t="s">
        <v>862</v>
      </c>
      <c r="H150">
        <v>3196</v>
      </c>
      <c r="I150" t="s">
        <v>833</v>
      </c>
      <c r="J150" t="s">
        <v>842</v>
      </c>
      <c r="K150" s="2">
        <v>45474</v>
      </c>
      <c r="L150">
        <v>2024</v>
      </c>
      <c r="M150">
        <v>47940</v>
      </c>
      <c r="N150" t="s">
        <v>863</v>
      </c>
    </row>
    <row r="151" spans="1:14" x14ac:dyDescent="0.3">
      <c r="A151" t="s">
        <v>950</v>
      </c>
      <c r="B151" t="s">
        <v>81</v>
      </c>
      <c r="C151" t="s">
        <v>807</v>
      </c>
      <c r="D151" t="s">
        <v>814</v>
      </c>
      <c r="E151">
        <v>1</v>
      </c>
      <c r="F151" t="s">
        <v>825</v>
      </c>
      <c r="G151" t="s">
        <v>870</v>
      </c>
      <c r="H151">
        <v>3428</v>
      </c>
      <c r="I151" t="s">
        <v>835</v>
      </c>
      <c r="J151" t="s">
        <v>842</v>
      </c>
      <c r="K151" s="2">
        <v>44958</v>
      </c>
      <c r="L151">
        <v>2023</v>
      </c>
      <c r="M151">
        <v>3428</v>
      </c>
      <c r="N151" t="s">
        <v>868</v>
      </c>
    </row>
    <row r="152" spans="1:14" x14ac:dyDescent="0.3">
      <c r="A152" t="s">
        <v>950</v>
      </c>
      <c r="B152" t="s">
        <v>81</v>
      </c>
      <c r="C152" t="s">
        <v>806</v>
      </c>
      <c r="D152" t="s">
        <v>818</v>
      </c>
      <c r="E152">
        <v>12</v>
      </c>
      <c r="F152" t="s">
        <v>825</v>
      </c>
      <c r="G152" t="s">
        <v>870</v>
      </c>
      <c r="H152">
        <v>7223</v>
      </c>
      <c r="I152" t="s">
        <v>835</v>
      </c>
      <c r="J152" t="s">
        <v>841</v>
      </c>
      <c r="K152" s="2">
        <v>44958</v>
      </c>
      <c r="L152">
        <v>2023</v>
      </c>
      <c r="M152">
        <v>86676</v>
      </c>
      <c r="N152" t="s">
        <v>857</v>
      </c>
    </row>
    <row r="153" spans="1:14" x14ac:dyDescent="0.3">
      <c r="A153" t="s">
        <v>950</v>
      </c>
      <c r="B153" t="s">
        <v>81</v>
      </c>
      <c r="C153" t="s">
        <v>806</v>
      </c>
      <c r="D153" t="s">
        <v>811</v>
      </c>
      <c r="E153">
        <v>1</v>
      </c>
      <c r="F153" t="s">
        <v>825</v>
      </c>
      <c r="G153" t="s">
        <v>870</v>
      </c>
      <c r="H153">
        <v>3731</v>
      </c>
      <c r="I153" t="s">
        <v>835</v>
      </c>
      <c r="J153" t="s">
        <v>842</v>
      </c>
      <c r="K153" s="2">
        <v>44958</v>
      </c>
      <c r="L153">
        <v>2023</v>
      </c>
      <c r="M153">
        <v>3731</v>
      </c>
      <c r="N153" t="s">
        <v>868</v>
      </c>
    </row>
    <row r="154" spans="1:14" x14ac:dyDescent="0.3">
      <c r="A154" t="s">
        <v>951</v>
      </c>
      <c r="B154" t="s">
        <v>82</v>
      </c>
      <c r="C154" t="s">
        <v>806</v>
      </c>
      <c r="D154" t="s">
        <v>811</v>
      </c>
      <c r="E154">
        <v>18</v>
      </c>
      <c r="F154" t="s">
        <v>829</v>
      </c>
      <c r="G154" t="s">
        <v>886</v>
      </c>
      <c r="H154">
        <v>8903</v>
      </c>
      <c r="I154" t="s">
        <v>835</v>
      </c>
      <c r="J154" t="s">
        <v>843</v>
      </c>
      <c r="K154" s="2">
        <v>44774</v>
      </c>
      <c r="L154">
        <v>2022</v>
      </c>
      <c r="M154">
        <v>160254</v>
      </c>
      <c r="N154" t="s">
        <v>863</v>
      </c>
    </row>
    <row r="155" spans="1:14" x14ac:dyDescent="0.3">
      <c r="A155" t="s">
        <v>952</v>
      </c>
      <c r="B155" t="s">
        <v>83</v>
      </c>
      <c r="C155" t="s">
        <v>805</v>
      </c>
      <c r="D155" t="s">
        <v>819</v>
      </c>
      <c r="E155">
        <v>7</v>
      </c>
      <c r="F155" t="s">
        <v>825</v>
      </c>
      <c r="G155" t="s">
        <v>854</v>
      </c>
      <c r="H155">
        <v>6009</v>
      </c>
      <c r="I155" t="s">
        <v>832</v>
      </c>
      <c r="J155" t="s">
        <v>841</v>
      </c>
      <c r="K155" s="2">
        <v>44896</v>
      </c>
      <c r="L155">
        <v>2022</v>
      </c>
      <c r="M155">
        <v>42063</v>
      </c>
      <c r="N155" t="s">
        <v>852</v>
      </c>
    </row>
    <row r="156" spans="1:14" x14ac:dyDescent="0.3">
      <c r="A156" t="s">
        <v>953</v>
      </c>
      <c r="B156" t="s">
        <v>84</v>
      </c>
      <c r="C156" t="s">
        <v>805</v>
      </c>
      <c r="D156" t="s">
        <v>819</v>
      </c>
      <c r="E156">
        <v>7</v>
      </c>
      <c r="F156" t="s">
        <v>828</v>
      </c>
      <c r="G156" t="s">
        <v>880</v>
      </c>
      <c r="H156">
        <v>6009</v>
      </c>
      <c r="I156" t="s">
        <v>832</v>
      </c>
      <c r="J156" t="s">
        <v>841</v>
      </c>
      <c r="K156" s="2">
        <v>45383</v>
      </c>
      <c r="L156">
        <v>2024</v>
      </c>
      <c r="M156">
        <v>42063</v>
      </c>
      <c r="N156" t="s">
        <v>852</v>
      </c>
    </row>
    <row r="157" spans="1:14" x14ac:dyDescent="0.3">
      <c r="A157" t="s">
        <v>952</v>
      </c>
      <c r="B157" t="s">
        <v>83</v>
      </c>
      <c r="C157" t="s">
        <v>807</v>
      </c>
      <c r="D157" t="s">
        <v>813</v>
      </c>
      <c r="E157">
        <v>3</v>
      </c>
      <c r="F157" t="s">
        <v>825</v>
      </c>
      <c r="G157" t="s">
        <v>854</v>
      </c>
      <c r="H157">
        <v>2858</v>
      </c>
      <c r="I157" t="s">
        <v>835</v>
      </c>
      <c r="J157" t="s">
        <v>842</v>
      </c>
      <c r="K157" s="2">
        <v>44896</v>
      </c>
      <c r="L157">
        <v>2022</v>
      </c>
      <c r="M157">
        <v>8574</v>
      </c>
      <c r="N157" t="s">
        <v>868</v>
      </c>
    </row>
    <row r="158" spans="1:14" x14ac:dyDescent="0.3">
      <c r="A158" t="s">
        <v>953</v>
      </c>
      <c r="B158" t="s">
        <v>84</v>
      </c>
      <c r="C158" t="s">
        <v>807</v>
      </c>
      <c r="D158" t="s">
        <v>813</v>
      </c>
      <c r="E158">
        <v>3</v>
      </c>
      <c r="F158" t="s">
        <v>828</v>
      </c>
      <c r="G158" t="s">
        <v>880</v>
      </c>
      <c r="H158">
        <v>2858</v>
      </c>
      <c r="I158" t="s">
        <v>835</v>
      </c>
      <c r="J158" t="s">
        <v>842</v>
      </c>
      <c r="K158" s="2">
        <v>45383</v>
      </c>
      <c r="L158">
        <v>2024</v>
      </c>
      <c r="M158">
        <v>8574</v>
      </c>
      <c r="N158" t="s">
        <v>868</v>
      </c>
    </row>
    <row r="159" spans="1:14" x14ac:dyDescent="0.3">
      <c r="A159" t="s">
        <v>952</v>
      </c>
      <c r="B159" t="s">
        <v>83</v>
      </c>
      <c r="C159" t="s">
        <v>807</v>
      </c>
      <c r="D159" t="s">
        <v>816</v>
      </c>
      <c r="E159">
        <v>7</v>
      </c>
      <c r="F159" t="s">
        <v>825</v>
      </c>
      <c r="G159" t="s">
        <v>854</v>
      </c>
      <c r="H159">
        <v>8175</v>
      </c>
      <c r="I159" t="s">
        <v>835</v>
      </c>
      <c r="J159" t="s">
        <v>843</v>
      </c>
      <c r="K159" s="2">
        <v>44896</v>
      </c>
      <c r="L159">
        <v>2022</v>
      </c>
      <c r="M159">
        <v>57225</v>
      </c>
      <c r="N159" t="s">
        <v>852</v>
      </c>
    </row>
    <row r="160" spans="1:14" x14ac:dyDescent="0.3">
      <c r="A160" t="s">
        <v>953</v>
      </c>
      <c r="B160" t="s">
        <v>84</v>
      </c>
      <c r="C160" t="s">
        <v>807</v>
      </c>
      <c r="D160" t="s">
        <v>816</v>
      </c>
      <c r="E160">
        <v>7</v>
      </c>
      <c r="F160" t="s">
        <v>828</v>
      </c>
      <c r="G160" t="s">
        <v>880</v>
      </c>
      <c r="H160">
        <v>8175</v>
      </c>
      <c r="I160" t="s">
        <v>835</v>
      </c>
      <c r="J160" t="s">
        <v>843</v>
      </c>
      <c r="K160" s="2">
        <v>45383</v>
      </c>
      <c r="L160">
        <v>2024</v>
      </c>
      <c r="M160">
        <v>57225</v>
      </c>
      <c r="N160" t="s">
        <v>852</v>
      </c>
    </row>
    <row r="161" spans="1:14" x14ac:dyDescent="0.3">
      <c r="A161" t="s">
        <v>952</v>
      </c>
      <c r="B161" t="s">
        <v>83</v>
      </c>
      <c r="C161" t="s">
        <v>807</v>
      </c>
      <c r="D161" t="s">
        <v>816</v>
      </c>
      <c r="E161">
        <v>18</v>
      </c>
      <c r="F161" t="s">
        <v>825</v>
      </c>
      <c r="G161" t="s">
        <v>854</v>
      </c>
      <c r="H161">
        <v>5846</v>
      </c>
      <c r="I161" t="s">
        <v>832</v>
      </c>
      <c r="J161" t="s">
        <v>844</v>
      </c>
      <c r="K161" s="2">
        <v>44896</v>
      </c>
      <c r="L161">
        <v>2022</v>
      </c>
      <c r="M161">
        <v>105228</v>
      </c>
      <c r="N161" t="s">
        <v>863</v>
      </c>
    </row>
    <row r="162" spans="1:14" x14ac:dyDescent="0.3">
      <c r="A162" t="s">
        <v>953</v>
      </c>
      <c r="B162" t="s">
        <v>84</v>
      </c>
      <c r="C162" t="s">
        <v>807</v>
      </c>
      <c r="D162" t="s">
        <v>816</v>
      </c>
      <c r="E162">
        <v>18</v>
      </c>
      <c r="F162" t="s">
        <v>828</v>
      </c>
      <c r="G162" t="s">
        <v>880</v>
      </c>
      <c r="H162">
        <v>5846</v>
      </c>
      <c r="I162" t="s">
        <v>832</v>
      </c>
      <c r="J162" t="s">
        <v>844</v>
      </c>
      <c r="K162" s="2">
        <v>45383</v>
      </c>
      <c r="L162">
        <v>2024</v>
      </c>
      <c r="M162">
        <v>105228</v>
      </c>
      <c r="N162" t="s">
        <v>863</v>
      </c>
    </row>
    <row r="163" spans="1:14" x14ac:dyDescent="0.3">
      <c r="A163" t="s">
        <v>954</v>
      </c>
      <c r="B163" t="s">
        <v>85</v>
      </c>
      <c r="C163" t="s">
        <v>805</v>
      </c>
      <c r="D163" t="s">
        <v>812</v>
      </c>
      <c r="E163">
        <v>11</v>
      </c>
      <c r="F163" t="s">
        <v>828</v>
      </c>
      <c r="G163" t="s">
        <v>880</v>
      </c>
      <c r="H163">
        <v>706</v>
      </c>
      <c r="I163" t="s">
        <v>835</v>
      </c>
      <c r="J163" t="s">
        <v>840</v>
      </c>
      <c r="K163" s="2">
        <v>44562</v>
      </c>
      <c r="L163">
        <v>2022</v>
      </c>
      <c r="M163">
        <v>7766</v>
      </c>
      <c r="N163" t="s">
        <v>857</v>
      </c>
    </row>
    <row r="164" spans="1:14" x14ac:dyDescent="0.3">
      <c r="A164" t="s">
        <v>955</v>
      </c>
      <c r="B164" t="s">
        <v>86</v>
      </c>
      <c r="C164" t="s">
        <v>807</v>
      </c>
      <c r="D164" t="s">
        <v>813</v>
      </c>
      <c r="E164">
        <v>16</v>
      </c>
      <c r="F164" t="s">
        <v>828</v>
      </c>
      <c r="G164" t="s">
        <v>874</v>
      </c>
      <c r="H164">
        <v>9835</v>
      </c>
      <c r="I164" t="s">
        <v>836</v>
      </c>
      <c r="J164" t="s">
        <v>843</v>
      </c>
      <c r="K164" s="2">
        <v>44713</v>
      </c>
      <c r="L164">
        <v>2022</v>
      </c>
      <c r="M164">
        <v>157360</v>
      </c>
      <c r="N164" t="s">
        <v>863</v>
      </c>
    </row>
    <row r="165" spans="1:14" x14ac:dyDescent="0.3">
      <c r="A165" t="s">
        <v>956</v>
      </c>
      <c r="B165" t="s">
        <v>87</v>
      </c>
      <c r="C165" t="s">
        <v>807</v>
      </c>
      <c r="D165" t="s">
        <v>813</v>
      </c>
      <c r="E165">
        <v>16</v>
      </c>
      <c r="F165" t="s">
        <v>824</v>
      </c>
      <c r="G165" t="s">
        <v>859</v>
      </c>
      <c r="H165">
        <v>9835</v>
      </c>
      <c r="I165" t="s">
        <v>836</v>
      </c>
      <c r="J165" t="s">
        <v>843</v>
      </c>
      <c r="K165" s="2">
        <v>44501</v>
      </c>
      <c r="L165">
        <v>2021</v>
      </c>
      <c r="M165">
        <v>157360</v>
      </c>
      <c r="N165" t="s">
        <v>863</v>
      </c>
    </row>
    <row r="166" spans="1:14" x14ac:dyDescent="0.3">
      <c r="A166" t="s">
        <v>957</v>
      </c>
      <c r="B166" t="s">
        <v>88</v>
      </c>
      <c r="C166" t="s">
        <v>807</v>
      </c>
      <c r="D166" t="s">
        <v>813</v>
      </c>
      <c r="E166">
        <v>16</v>
      </c>
      <c r="F166" t="s">
        <v>827</v>
      </c>
      <c r="G166" t="s">
        <v>862</v>
      </c>
      <c r="H166">
        <v>9835</v>
      </c>
      <c r="I166" t="s">
        <v>836</v>
      </c>
      <c r="J166" t="s">
        <v>843</v>
      </c>
      <c r="K166" s="2">
        <v>44774</v>
      </c>
      <c r="L166">
        <v>2022</v>
      </c>
      <c r="M166">
        <v>157360</v>
      </c>
      <c r="N166" t="s">
        <v>863</v>
      </c>
    </row>
    <row r="167" spans="1:14" x14ac:dyDescent="0.3">
      <c r="A167" t="s">
        <v>955</v>
      </c>
      <c r="B167" t="s">
        <v>86</v>
      </c>
      <c r="C167" t="s">
        <v>806</v>
      </c>
      <c r="D167" t="s">
        <v>815</v>
      </c>
      <c r="E167">
        <v>13</v>
      </c>
      <c r="F167" t="s">
        <v>828</v>
      </c>
      <c r="G167" t="s">
        <v>874</v>
      </c>
      <c r="H167">
        <v>9691</v>
      </c>
      <c r="I167" t="s">
        <v>835</v>
      </c>
      <c r="J167" t="s">
        <v>843</v>
      </c>
      <c r="K167" s="2">
        <v>44713</v>
      </c>
      <c r="L167">
        <v>2022</v>
      </c>
      <c r="M167">
        <v>125983</v>
      </c>
      <c r="N167" t="s">
        <v>857</v>
      </c>
    </row>
    <row r="168" spans="1:14" x14ac:dyDescent="0.3">
      <c r="A168" t="s">
        <v>956</v>
      </c>
      <c r="B168" t="s">
        <v>87</v>
      </c>
      <c r="C168" t="s">
        <v>806</v>
      </c>
      <c r="D168" t="s">
        <v>815</v>
      </c>
      <c r="E168">
        <v>13</v>
      </c>
      <c r="F168" t="s">
        <v>824</v>
      </c>
      <c r="G168" t="s">
        <v>859</v>
      </c>
      <c r="H168">
        <v>9691</v>
      </c>
      <c r="I168" t="s">
        <v>835</v>
      </c>
      <c r="J168" t="s">
        <v>843</v>
      </c>
      <c r="K168" s="2">
        <v>44501</v>
      </c>
      <c r="L168">
        <v>2021</v>
      </c>
      <c r="M168">
        <v>125983</v>
      </c>
      <c r="N168" t="s">
        <v>857</v>
      </c>
    </row>
    <row r="169" spans="1:14" x14ac:dyDescent="0.3">
      <c r="A169" t="s">
        <v>957</v>
      </c>
      <c r="B169" t="s">
        <v>88</v>
      </c>
      <c r="C169" t="s">
        <v>806</v>
      </c>
      <c r="D169" t="s">
        <v>815</v>
      </c>
      <c r="E169">
        <v>13</v>
      </c>
      <c r="F169" t="s">
        <v>827</v>
      </c>
      <c r="G169" t="s">
        <v>862</v>
      </c>
      <c r="H169">
        <v>9691</v>
      </c>
      <c r="I169" t="s">
        <v>835</v>
      </c>
      <c r="J169" t="s">
        <v>843</v>
      </c>
      <c r="K169" s="2">
        <v>44774</v>
      </c>
      <c r="L169">
        <v>2022</v>
      </c>
      <c r="M169">
        <v>125983</v>
      </c>
      <c r="N169" t="s">
        <v>857</v>
      </c>
    </row>
    <row r="170" spans="1:14" x14ac:dyDescent="0.3">
      <c r="A170" t="s">
        <v>955</v>
      </c>
      <c r="B170" t="s">
        <v>86</v>
      </c>
      <c r="C170" t="s">
        <v>807</v>
      </c>
      <c r="D170" t="s">
        <v>820</v>
      </c>
      <c r="E170">
        <v>14</v>
      </c>
      <c r="F170" t="s">
        <v>828</v>
      </c>
      <c r="G170" t="s">
        <v>874</v>
      </c>
      <c r="H170">
        <v>7826</v>
      </c>
      <c r="I170" t="s">
        <v>832</v>
      </c>
      <c r="J170" t="s">
        <v>841</v>
      </c>
      <c r="K170" s="2">
        <v>44713</v>
      </c>
      <c r="L170">
        <v>2022</v>
      </c>
      <c r="M170">
        <v>109564</v>
      </c>
      <c r="N170" t="s">
        <v>857</v>
      </c>
    </row>
    <row r="171" spans="1:14" x14ac:dyDescent="0.3">
      <c r="A171" t="s">
        <v>956</v>
      </c>
      <c r="B171" t="s">
        <v>87</v>
      </c>
      <c r="C171" t="s">
        <v>807</v>
      </c>
      <c r="D171" t="s">
        <v>820</v>
      </c>
      <c r="E171">
        <v>14</v>
      </c>
      <c r="F171" t="s">
        <v>824</v>
      </c>
      <c r="G171" t="s">
        <v>859</v>
      </c>
      <c r="H171">
        <v>7826</v>
      </c>
      <c r="I171" t="s">
        <v>832</v>
      </c>
      <c r="J171" t="s">
        <v>841</v>
      </c>
      <c r="K171" s="2">
        <v>44501</v>
      </c>
      <c r="L171">
        <v>2021</v>
      </c>
      <c r="M171">
        <v>109564</v>
      </c>
      <c r="N171" t="s">
        <v>857</v>
      </c>
    </row>
    <row r="172" spans="1:14" x14ac:dyDescent="0.3">
      <c r="A172" t="s">
        <v>957</v>
      </c>
      <c r="B172" t="s">
        <v>88</v>
      </c>
      <c r="C172" t="s">
        <v>807</v>
      </c>
      <c r="D172" t="s">
        <v>820</v>
      </c>
      <c r="E172">
        <v>14</v>
      </c>
      <c r="F172" t="s">
        <v>827</v>
      </c>
      <c r="G172" t="s">
        <v>862</v>
      </c>
      <c r="H172">
        <v>7826</v>
      </c>
      <c r="I172" t="s">
        <v>832</v>
      </c>
      <c r="J172" t="s">
        <v>841</v>
      </c>
      <c r="K172" s="2">
        <v>44774</v>
      </c>
      <c r="L172">
        <v>2022</v>
      </c>
      <c r="M172">
        <v>109564</v>
      </c>
      <c r="N172" t="s">
        <v>857</v>
      </c>
    </row>
    <row r="173" spans="1:14" x14ac:dyDescent="0.3">
      <c r="A173" t="s">
        <v>958</v>
      </c>
      <c r="B173" t="s">
        <v>89</v>
      </c>
      <c r="C173" t="s">
        <v>807</v>
      </c>
      <c r="D173" t="s">
        <v>816</v>
      </c>
      <c r="E173">
        <v>11</v>
      </c>
      <c r="F173" t="s">
        <v>828</v>
      </c>
      <c r="G173" t="s">
        <v>880</v>
      </c>
      <c r="H173">
        <v>770</v>
      </c>
      <c r="I173" t="s">
        <v>836</v>
      </c>
      <c r="J173" t="s">
        <v>840</v>
      </c>
      <c r="K173" s="2">
        <v>44501</v>
      </c>
      <c r="L173">
        <v>2021</v>
      </c>
      <c r="M173">
        <v>8470</v>
      </c>
      <c r="N173" t="s">
        <v>857</v>
      </c>
    </row>
    <row r="174" spans="1:14" x14ac:dyDescent="0.3">
      <c r="A174" t="s">
        <v>959</v>
      </c>
      <c r="B174" t="s">
        <v>90</v>
      </c>
      <c r="C174" t="s">
        <v>807</v>
      </c>
      <c r="D174" t="s">
        <v>816</v>
      </c>
      <c r="E174">
        <v>11</v>
      </c>
      <c r="F174" t="s">
        <v>829</v>
      </c>
      <c r="G174" t="s">
        <v>890</v>
      </c>
      <c r="H174">
        <v>770</v>
      </c>
      <c r="I174" t="s">
        <v>836</v>
      </c>
      <c r="J174" t="s">
        <v>840</v>
      </c>
      <c r="K174" s="2">
        <v>44986</v>
      </c>
      <c r="L174">
        <v>2023</v>
      </c>
      <c r="M174">
        <v>8470</v>
      </c>
      <c r="N174" t="s">
        <v>857</v>
      </c>
    </row>
    <row r="175" spans="1:14" x14ac:dyDescent="0.3">
      <c r="A175" t="s">
        <v>960</v>
      </c>
      <c r="B175" t="s">
        <v>91</v>
      </c>
      <c r="C175" t="s">
        <v>807</v>
      </c>
      <c r="D175" t="s">
        <v>820</v>
      </c>
      <c r="E175">
        <v>20</v>
      </c>
      <c r="F175" t="s">
        <v>826</v>
      </c>
      <c r="G175" t="s">
        <v>872</v>
      </c>
      <c r="H175">
        <v>9895</v>
      </c>
      <c r="I175" t="s">
        <v>836</v>
      </c>
      <c r="J175" t="s">
        <v>843</v>
      </c>
      <c r="K175" s="2">
        <v>45261</v>
      </c>
      <c r="L175">
        <v>2023</v>
      </c>
      <c r="M175">
        <v>197900</v>
      </c>
      <c r="N175" t="s">
        <v>863</v>
      </c>
    </row>
    <row r="176" spans="1:14" x14ac:dyDescent="0.3">
      <c r="A176" t="s">
        <v>961</v>
      </c>
      <c r="B176" t="s">
        <v>92</v>
      </c>
      <c r="C176" t="s">
        <v>806</v>
      </c>
      <c r="D176" t="s">
        <v>817</v>
      </c>
      <c r="E176">
        <v>10</v>
      </c>
      <c r="F176" t="s">
        <v>824</v>
      </c>
      <c r="G176" t="s">
        <v>851</v>
      </c>
      <c r="H176">
        <v>6517</v>
      </c>
      <c r="I176" t="s">
        <v>833</v>
      </c>
      <c r="J176" t="s">
        <v>841</v>
      </c>
      <c r="K176" s="2">
        <v>45413</v>
      </c>
      <c r="L176">
        <v>2024</v>
      </c>
      <c r="M176">
        <v>65170</v>
      </c>
      <c r="N176" t="s">
        <v>857</v>
      </c>
    </row>
    <row r="177" spans="1:14" x14ac:dyDescent="0.3">
      <c r="A177" t="s">
        <v>962</v>
      </c>
      <c r="B177" t="s">
        <v>93</v>
      </c>
      <c r="C177" t="s">
        <v>806</v>
      </c>
      <c r="D177" t="s">
        <v>817</v>
      </c>
      <c r="E177">
        <v>10</v>
      </c>
      <c r="F177" t="s">
        <v>824</v>
      </c>
      <c r="G177" t="s">
        <v>910</v>
      </c>
      <c r="H177">
        <v>6517</v>
      </c>
      <c r="I177" t="s">
        <v>833</v>
      </c>
      <c r="J177" t="s">
        <v>841</v>
      </c>
      <c r="K177" s="2">
        <v>43952</v>
      </c>
      <c r="L177">
        <v>2020</v>
      </c>
      <c r="M177">
        <v>65170</v>
      </c>
      <c r="N177" t="s">
        <v>857</v>
      </c>
    </row>
    <row r="178" spans="1:14" x14ac:dyDescent="0.3">
      <c r="A178" t="s">
        <v>961</v>
      </c>
      <c r="B178" t="s">
        <v>92</v>
      </c>
      <c r="C178" t="s">
        <v>807</v>
      </c>
      <c r="D178" t="s">
        <v>813</v>
      </c>
      <c r="E178">
        <v>11</v>
      </c>
      <c r="F178" t="s">
        <v>824</v>
      </c>
      <c r="G178" t="s">
        <v>851</v>
      </c>
      <c r="H178">
        <v>1166</v>
      </c>
      <c r="I178" t="s">
        <v>835</v>
      </c>
      <c r="J178" t="s">
        <v>840</v>
      </c>
      <c r="K178" s="2">
        <v>45413</v>
      </c>
      <c r="L178">
        <v>2024</v>
      </c>
      <c r="M178">
        <v>12826</v>
      </c>
      <c r="N178" t="s">
        <v>857</v>
      </c>
    </row>
    <row r="179" spans="1:14" x14ac:dyDescent="0.3">
      <c r="A179" t="s">
        <v>962</v>
      </c>
      <c r="B179" t="s">
        <v>93</v>
      </c>
      <c r="C179" t="s">
        <v>807</v>
      </c>
      <c r="D179" t="s">
        <v>813</v>
      </c>
      <c r="E179">
        <v>11</v>
      </c>
      <c r="F179" t="s">
        <v>824</v>
      </c>
      <c r="G179" t="s">
        <v>910</v>
      </c>
      <c r="H179">
        <v>1166</v>
      </c>
      <c r="I179" t="s">
        <v>835</v>
      </c>
      <c r="J179" t="s">
        <v>840</v>
      </c>
      <c r="K179" s="2">
        <v>43952</v>
      </c>
      <c r="L179">
        <v>2020</v>
      </c>
      <c r="M179">
        <v>12826</v>
      </c>
      <c r="N179" t="s">
        <v>857</v>
      </c>
    </row>
    <row r="180" spans="1:14" x14ac:dyDescent="0.3">
      <c r="A180" t="s">
        <v>963</v>
      </c>
      <c r="B180" t="s">
        <v>94</v>
      </c>
      <c r="C180" t="s">
        <v>807</v>
      </c>
      <c r="D180" t="s">
        <v>814</v>
      </c>
      <c r="E180">
        <v>16</v>
      </c>
      <c r="F180" t="s">
        <v>826</v>
      </c>
      <c r="G180" t="s">
        <v>856</v>
      </c>
      <c r="H180">
        <v>9820</v>
      </c>
      <c r="I180" t="s">
        <v>835</v>
      </c>
      <c r="J180" t="s">
        <v>843</v>
      </c>
      <c r="K180" s="2">
        <v>44409</v>
      </c>
      <c r="L180">
        <v>2021</v>
      </c>
      <c r="M180">
        <v>157120</v>
      </c>
      <c r="N180" t="s">
        <v>863</v>
      </c>
    </row>
    <row r="181" spans="1:14" x14ac:dyDescent="0.3">
      <c r="A181" t="s">
        <v>964</v>
      </c>
      <c r="B181" t="s">
        <v>95</v>
      </c>
      <c r="C181" t="s">
        <v>806</v>
      </c>
      <c r="D181" t="s">
        <v>818</v>
      </c>
      <c r="E181">
        <v>8</v>
      </c>
      <c r="F181" t="s">
        <v>828</v>
      </c>
      <c r="G181" t="s">
        <v>874</v>
      </c>
      <c r="H181">
        <v>8563</v>
      </c>
      <c r="I181" t="s">
        <v>836</v>
      </c>
      <c r="J181" t="s">
        <v>843</v>
      </c>
      <c r="K181" s="2">
        <v>45597</v>
      </c>
      <c r="L181">
        <v>2024</v>
      </c>
      <c r="M181">
        <v>68504</v>
      </c>
      <c r="N181" t="s">
        <v>852</v>
      </c>
    </row>
    <row r="182" spans="1:14" x14ac:dyDescent="0.3">
      <c r="A182" t="s">
        <v>964</v>
      </c>
      <c r="B182" t="s">
        <v>95</v>
      </c>
      <c r="C182" t="s">
        <v>805</v>
      </c>
      <c r="D182" t="s">
        <v>810</v>
      </c>
      <c r="E182">
        <v>20</v>
      </c>
      <c r="F182" t="s">
        <v>828</v>
      </c>
      <c r="G182" t="s">
        <v>874</v>
      </c>
      <c r="H182">
        <v>4441</v>
      </c>
      <c r="I182" t="s">
        <v>836</v>
      </c>
      <c r="J182" t="s">
        <v>844</v>
      </c>
      <c r="K182" s="2">
        <v>45597</v>
      </c>
      <c r="L182">
        <v>2024</v>
      </c>
      <c r="M182">
        <v>88820</v>
      </c>
      <c r="N182" t="s">
        <v>863</v>
      </c>
    </row>
    <row r="183" spans="1:14" x14ac:dyDescent="0.3">
      <c r="A183" t="s">
        <v>965</v>
      </c>
      <c r="B183" t="s">
        <v>96</v>
      </c>
      <c r="C183" t="s">
        <v>806</v>
      </c>
      <c r="D183" t="s">
        <v>817</v>
      </c>
      <c r="E183">
        <v>8</v>
      </c>
      <c r="F183" t="s">
        <v>824</v>
      </c>
      <c r="G183" t="s">
        <v>859</v>
      </c>
      <c r="H183">
        <v>7340</v>
      </c>
      <c r="I183" t="s">
        <v>834</v>
      </c>
      <c r="J183" t="s">
        <v>841</v>
      </c>
      <c r="K183" s="2">
        <v>44531</v>
      </c>
      <c r="L183">
        <v>2021</v>
      </c>
      <c r="M183">
        <v>58720</v>
      </c>
      <c r="N183" t="s">
        <v>852</v>
      </c>
    </row>
    <row r="184" spans="1:14" x14ac:dyDescent="0.3">
      <c r="A184" t="s">
        <v>965</v>
      </c>
      <c r="B184" t="s">
        <v>96</v>
      </c>
      <c r="C184" t="s">
        <v>805</v>
      </c>
      <c r="D184" t="s">
        <v>819</v>
      </c>
      <c r="E184">
        <v>1</v>
      </c>
      <c r="F184" t="s">
        <v>824</v>
      </c>
      <c r="G184" t="s">
        <v>859</v>
      </c>
      <c r="H184">
        <v>5442</v>
      </c>
      <c r="I184" t="s">
        <v>834</v>
      </c>
      <c r="J184" t="s">
        <v>844</v>
      </c>
      <c r="K184" s="2">
        <v>44531</v>
      </c>
      <c r="L184">
        <v>2021</v>
      </c>
      <c r="M184">
        <v>5442</v>
      </c>
      <c r="N184" t="s">
        <v>868</v>
      </c>
    </row>
    <row r="185" spans="1:14" x14ac:dyDescent="0.3">
      <c r="A185" t="s">
        <v>966</v>
      </c>
      <c r="B185" t="s">
        <v>97</v>
      </c>
      <c r="C185" t="s">
        <v>807</v>
      </c>
      <c r="D185" t="s">
        <v>813</v>
      </c>
      <c r="E185">
        <v>14</v>
      </c>
      <c r="F185" t="s">
        <v>824</v>
      </c>
      <c r="G185" t="s">
        <v>910</v>
      </c>
      <c r="H185">
        <v>1895</v>
      </c>
      <c r="I185" t="s">
        <v>832</v>
      </c>
      <c r="J185" t="s">
        <v>840</v>
      </c>
      <c r="K185" s="2">
        <v>45474</v>
      </c>
      <c r="L185">
        <v>2024</v>
      </c>
      <c r="M185">
        <v>26530</v>
      </c>
      <c r="N185" t="s">
        <v>857</v>
      </c>
    </row>
    <row r="186" spans="1:14" x14ac:dyDescent="0.3">
      <c r="A186" t="s">
        <v>966</v>
      </c>
      <c r="B186" t="s">
        <v>97</v>
      </c>
      <c r="C186" t="s">
        <v>806</v>
      </c>
      <c r="D186" t="s">
        <v>818</v>
      </c>
      <c r="E186">
        <v>13</v>
      </c>
      <c r="F186" t="s">
        <v>824</v>
      </c>
      <c r="G186" t="s">
        <v>910</v>
      </c>
      <c r="H186">
        <v>5323</v>
      </c>
      <c r="I186" t="s">
        <v>836</v>
      </c>
      <c r="J186" t="s">
        <v>844</v>
      </c>
      <c r="K186" s="2">
        <v>45474</v>
      </c>
      <c r="L186">
        <v>2024</v>
      </c>
      <c r="M186">
        <v>69199</v>
      </c>
      <c r="N186" t="s">
        <v>857</v>
      </c>
    </row>
    <row r="187" spans="1:14" x14ac:dyDescent="0.3">
      <c r="A187" t="s">
        <v>967</v>
      </c>
      <c r="B187" t="s">
        <v>98</v>
      </c>
      <c r="C187" t="s">
        <v>806</v>
      </c>
      <c r="D187" t="s">
        <v>815</v>
      </c>
      <c r="E187">
        <v>13</v>
      </c>
      <c r="F187" t="s">
        <v>824</v>
      </c>
      <c r="G187" t="s">
        <v>851</v>
      </c>
      <c r="H187">
        <v>8850</v>
      </c>
      <c r="I187" t="s">
        <v>833</v>
      </c>
      <c r="J187" t="s">
        <v>843</v>
      </c>
      <c r="K187" s="2">
        <v>45444</v>
      </c>
      <c r="L187">
        <v>2024</v>
      </c>
      <c r="M187">
        <v>115050</v>
      </c>
      <c r="N187" t="s">
        <v>857</v>
      </c>
    </row>
    <row r="188" spans="1:14" x14ac:dyDescent="0.3">
      <c r="A188" t="s">
        <v>967</v>
      </c>
      <c r="B188" t="s">
        <v>98</v>
      </c>
      <c r="C188" t="s">
        <v>806</v>
      </c>
      <c r="D188" t="s">
        <v>817</v>
      </c>
      <c r="E188">
        <v>6</v>
      </c>
      <c r="F188" t="s">
        <v>824</v>
      </c>
      <c r="G188" t="s">
        <v>851</v>
      </c>
      <c r="H188">
        <v>8667</v>
      </c>
      <c r="I188" t="s">
        <v>833</v>
      </c>
      <c r="J188" t="s">
        <v>843</v>
      </c>
      <c r="K188" s="2">
        <v>45444</v>
      </c>
      <c r="L188">
        <v>2024</v>
      </c>
      <c r="M188">
        <v>52002</v>
      </c>
      <c r="N188" t="s">
        <v>852</v>
      </c>
    </row>
    <row r="189" spans="1:14" x14ac:dyDescent="0.3">
      <c r="A189" t="s">
        <v>968</v>
      </c>
      <c r="B189" t="s">
        <v>99</v>
      </c>
      <c r="C189" t="s">
        <v>807</v>
      </c>
      <c r="D189" t="s">
        <v>813</v>
      </c>
      <c r="E189">
        <v>1</v>
      </c>
      <c r="F189" t="s">
        <v>825</v>
      </c>
      <c r="G189" t="s">
        <v>854</v>
      </c>
      <c r="H189">
        <v>6903</v>
      </c>
      <c r="I189" t="s">
        <v>836</v>
      </c>
      <c r="J189" t="s">
        <v>841</v>
      </c>
      <c r="K189" s="2">
        <v>45413</v>
      </c>
      <c r="L189">
        <v>2024</v>
      </c>
      <c r="M189">
        <v>6903</v>
      </c>
      <c r="N189" t="s">
        <v>868</v>
      </c>
    </row>
    <row r="190" spans="1:14" x14ac:dyDescent="0.3">
      <c r="A190" t="s">
        <v>968</v>
      </c>
      <c r="B190" t="s">
        <v>99</v>
      </c>
      <c r="C190" t="s">
        <v>806</v>
      </c>
      <c r="D190" t="s">
        <v>811</v>
      </c>
      <c r="E190">
        <v>7</v>
      </c>
      <c r="F190" t="s">
        <v>825</v>
      </c>
      <c r="G190" t="s">
        <v>854</v>
      </c>
      <c r="H190">
        <v>8793</v>
      </c>
      <c r="I190" t="s">
        <v>836</v>
      </c>
      <c r="J190" t="s">
        <v>843</v>
      </c>
      <c r="K190" s="2">
        <v>45413</v>
      </c>
      <c r="L190">
        <v>2024</v>
      </c>
      <c r="M190">
        <v>61551</v>
      </c>
      <c r="N190" t="s">
        <v>852</v>
      </c>
    </row>
    <row r="191" spans="1:14" x14ac:dyDescent="0.3">
      <c r="A191" t="s">
        <v>969</v>
      </c>
      <c r="B191" t="s">
        <v>100</v>
      </c>
      <c r="C191" t="s">
        <v>806</v>
      </c>
      <c r="D191" t="s">
        <v>817</v>
      </c>
      <c r="E191">
        <v>16</v>
      </c>
      <c r="F191" t="s">
        <v>826</v>
      </c>
      <c r="G191" t="s">
        <v>856</v>
      </c>
      <c r="H191">
        <v>9883</v>
      </c>
      <c r="I191" t="s">
        <v>832</v>
      </c>
      <c r="J191" t="s">
        <v>843</v>
      </c>
      <c r="K191" s="2">
        <v>44105</v>
      </c>
      <c r="L191">
        <v>2020</v>
      </c>
      <c r="M191">
        <v>158128</v>
      </c>
      <c r="N191" t="s">
        <v>863</v>
      </c>
    </row>
    <row r="192" spans="1:14" x14ac:dyDescent="0.3">
      <c r="A192" t="s">
        <v>970</v>
      </c>
      <c r="B192" t="s">
        <v>101</v>
      </c>
      <c r="C192" t="s">
        <v>806</v>
      </c>
      <c r="D192" t="s">
        <v>817</v>
      </c>
      <c r="E192">
        <v>16</v>
      </c>
      <c r="F192" t="s">
        <v>824</v>
      </c>
      <c r="G192" t="s">
        <v>859</v>
      </c>
      <c r="H192">
        <v>9883</v>
      </c>
      <c r="I192" t="s">
        <v>832</v>
      </c>
      <c r="J192" t="s">
        <v>843</v>
      </c>
      <c r="K192" s="2">
        <v>44774</v>
      </c>
      <c r="L192">
        <v>2022</v>
      </c>
      <c r="M192">
        <v>158128</v>
      </c>
      <c r="N192" t="s">
        <v>863</v>
      </c>
    </row>
    <row r="193" spans="1:14" x14ac:dyDescent="0.3">
      <c r="A193" t="s">
        <v>971</v>
      </c>
      <c r="B193" t="s">
        <v>102</v>
      </c>
      <c r="C193" t="s">
        <v>806</v>
      </c>
      <c r="D193" t="s">
        <v>817</v>
      </c>
      <c r="E193">
        <v>16</v>
      </c>
      <c r="F193" t="s">
        <v>825</v>
      </c>
      <c r="G193" t="s">
        <v>870</v>
      </c>
      <c r="H193">
        <v>9883</v>
      </c>
      <c r="I193" t="s">
        <v>832</v>
      </c>
      <c r="J193" t="s">
        <v>843</v>
      </c>
      <c r="K193" s="2">
        <v>44470</v>
      </c>
      <c r="L193">
        <v>2021</v>
      </c>
      <c r="M193">
        <v>158128</v>
      </c>
      <c r="N193" t="s">
        <v>863</v>
      </c>
    </row>
    <row r="194" spans="1:14" x14ac:dyDescent="0.3">
      <c r="A194" t="s">
        <v>969</v>
      </c>
      <c r="B194" t="s">
        <v>100</v>
      </c>
      <c r="C194" t="s">
        <v>806</v>
      </c>
      <c r="D194" t="s">
        <v>817</v>
      </c>
      <c r="E194">
        <v>7</v>
      </c>
      <c r="F194" t="s">
        <v>826</v>
      </c>
      <c r="G194" t="s">
        <v>856</v>
      </c>
      <c r="H194">
        <v>5210</v>
      </c>
      <c r="I194" t="s">
        <v>832</v>
      </c>
      <c r="J194" t="s">
        <v>844</v>
      </c>
      <c r="K194" s="2">
        <v>44105</v>
      </c>
      <c r="L194">
        <v>2020</v>
      </c>
      <c r="M194">
        <v>36470</v>
      </c>
      <c r="N194" t="s">
        <v>852</v>
      </c>
    </row>
    <row r="195" spans="1:14" x14ac:dyDescent="0.3">
      <c r="A195" t="s">
        <v>970</v>
      </c>
      <c r="B195" t="s">
        <v>101</v>
      </c>
      <c r="C195" t="s">
        <v>806</v>
      </c>
      <c r="D195" t="s">
        <v>817</v>
      </c>
      <c r="E195">
        <v>7</v>
      </c>
      <c r="F195" t="s">
        <v>824</v>
      </c>
      <c r="G195" t="s">
        <v>859</v>
      </c>
      <c r="H195">
        <v>5210</v>
      </c>
      <c r="I195" t="s">
        <v>832</v>
      </c>
      <c r="J195" t="s">
        <v>844</v>
      </c>
      <c r="K195" s="2">
        <v>44774</v>
      </c>
      <c r="L195">
        <v>2022</v>
      </c>
      <c r="M195">
        <v>36470</v>
      </c>
      <c r="N195" t="s">
        <v>852</v>
      </c>
    </row>
    <row r="196" spans="1:14" x14ac:dyDescent="0.3">
      <c r="A196" t="s">
        <v>971</v>
      </c>
      <c r="B196" t="s">
        <v>102</v>
      </c>
      <c r="C196" t="s">
        <v>806</v>
      </c>
      <c r="D196" t="s">
        <v>817</v>
      </c>
      <c r="E196">
        <v>7</v>
      </c>
      <c r="F196" t="s">
        <v>825</v>
      </c>
      <c r="G196" t="s">
        <v>870</v>
      </c>
      <c r="H196">
        <v>5210</v>
      </c>
      <c r="I196" t="s">
        <v>832</v>
      </c>
      <c r="J196" t="s">
        <v>844</v>
      </c>
      <c r="K196" s="2">
        <v>44470</v>
      </c>
      <c r="L196">
        <v>2021</v>
      </c>
      <c r="M196">
        <v>36470</v>
      </c>
      <c r="N196" t="s">
        <v>852</v>
      </c>
    </row>
    <row r="197" spans="1:14" x14ac:dyDescent="0.3">
      <c r="A197" t="s">
        <v>918</v>
      </c>
      <c r="B197" t="s">
        <v>103</v>
      </c>
      <c r="C197" t="s">
        <v>805</v>
      </c>
      <c r="D197" t="s">
        <v>810</v>
      </c>
      <c r="E197">
        <v>4</v>
      </c>
      <c r="F197" t="s">
        <v>827</v>
      </c>
      <c r="G197" t="s">
        <v>862</v>
      </c>
      <c r="H197">
        <v>3574</v>
      </c>
      <c r="I197" t="s">
        <v>835</v>
      </c>
      <c r="J197" t="s">
        <v>842</v>
      </c>
      <c r="K197" s="2">
        <v>44593</v>
      </c>
      <c r="L197">
        <v>2022</v>
      </c>
      <c r="M197">
        <v>14296</v>
      </c>
      <c r="N197" t="s">
        <v>868</v>
      </c>
    </row>
    <row r="198" spans="1:14" x14ac:dyDescent="0.3">
      <c r="A198" t="s">
        <v>918</v>
      </c>
      <c r="B198" t="s">
        <v>103</v>
      </c>
      <c r="C198" t="s">
        <v>807</v>
      </c>
      <c r="D198" t="s">
        <v>816</v>
      </c>
      <c r="E198">
        <v>13</v>
      </c>
      <c r="F198" t="s">
        <v>827</v>
      </c>
      <c r="G198" t="s">
        <v>862</v>
      </c>
      <c r="H198">
        <v>576</v>
      </c>
      <c r="I198" t="s">
        <v>832</v>
      </c>
      <c r="J198" t="s">
        <v>840</v>
      </c>
      <c r="K198" s="2">
        <v>44593</v>
      </c>
      <c r="L198">
        <v>2022</v>
      </c>
      <c r="M198">
        <v>7488</v>
      </c>
      <c r="N198" t="s">
        <v>857</v>
      </c>
    </row>
    <row r="199" spans="1:14" x14ac:dyDescent="0.3">
      <c r="A199" t="s">
        <v>972</v>
      </c>
      <c r="B199" t="s">
        <v>104</v>
      </c>
      <c r="C199" t="s">
        <v>805</v>
      </c>
      <c r="D199" t="s">
        <v>810</v>
      </c>
      <c r="E199">
        <v>13</v>
      </c>
      <c r="F199" t="s">
        <v>829</v>
      </c>
      <c r="G199" t="s">
        <v>894</v>
      </c>
      <c r="H199">
        <v>1860</v>
      </c>
      <c r="I199" t="s">
        <v>834</v>
      </c>
      <c r="J199" t="s">
        <v>840</v>
      </c>
      <c r="K199" s="2">
        <v>45170</v>
      </c>
      <c r="L199">
        <v>2023</v>
      </c>
      <c r="M199">
        <v>24180</v>
      </c>
      <c r="N199" t="s">
        <v>857</v>
      </c>
    </row>
    <row r="200" spans="1:14" x14ac:dyDescent="0.3">
      <c r="A200" t="s">
        <v>973</v>
      </c>
      <c r="B200" t="s">
        <v>105</v>
      </c>
      <c r="C200" t="s">
        <v>806</v>
      </c>
      <c r="D200" t="s">
        <v>811</v>
      </c>
      <c r="E200">
        <v>8</v>
      </c>
      <c r="F200" t="s">
        <v>825</v>
      </c>
      <c r="G200" t="s">
        <v>921</v>
      </c>
      <c r="H200">
        <v>782</v>
      </c>
      <c r="I200" t="s">
        <v>834</v>
      </c>
      <c r="J200" t="s">
        <v>840</v>
      </c>
      <c r="K200" s="2">
        <v>44197</v>
      </c>
      <c r="L200">
        <v>2021</v>
      </c>
      <c r="M200">
        <v>6256</v>
      </c>
      <c r="N200" t="s">
        <v>852</v>
      </c>
    </row>
    <row r="201" spans="1:14" x14ac:dyDescent="0.3">
      <c r="A201" t="s">
        <v>973</v>
      </c>
      <c r="B201" t="s">
        <v>105</v>
      </c>
      <c r="C201" t="s">
        <v>805</v>
      </c>
      <c r="D201" t="s">
        <v>812</v>
      </c>
      <c r="E201">
        <v>1</v>
      </c>
      <c r="F201" t="s">
        <v>825</v>
      </c>
      <c r="G201" t="s">
        <v>921</v>
      </c>
      <c r="H201">
        <v>4371</v>
      </c>
      <c r="I201" t="s">
        <v>832</v>
      </c>
      <c r="J201" t="s">
        <v>844</v>
      </c>
      <c r="K201" s="2">
        <v>44197</v>
      </c>
      <c r="L201">
        <v>2021</v>
      </c>
      <c r="M201">
        <v>4371</v>
      </c>
      <c r="N201" t="s">
        <v>868</v>
      </c>
    </row>
    <row r="202" spans="1:14" x14ac:dyDescent="0.3">
      <c r="A202" t="s">
        <v>974</v>
      </c>
      <c r="B202" t="s">
        <v>106</v>
      </c>
      <c r="C202" t="s">
        <v>805</v>
      </c>
      <c r="D202" t="s">
        <v>819</v>
      </c>
      <c r="E202">
        <v>1</v>
      </c>
      <c r="F202" t="s">
        <v>828</v>
      </c>
      <c r="G202" t="s">
        <v>904</v>
      </c>
      <c r="H202">
        <v>8346</v>
      </c>
      <c r="I202" t="s">
        <v>836</v>
      </c>
      <c r="J202" t="s">
        <v>843</v>
      </c>
      <c r="K202" s="2">
        <v>44044</v>
      </c>
      <c r="L202">
        <v>2020</v>
      </c>
      <c r="M202">
        <v>8346</v>
      </c>
      <c r="N202" t="s">
        <v>868</v>
      </c>
    </row>
    <row r="203" spans="1:14" x14ac:dyDescent="0.3">
      <c r="A203" t="s">
        <v>975</v>
      </c>
      <c r="B203" t="s">
        <v>107</v>
      </c>
      <c r="C203" t="s">
        <v>805</v>
      </c>
      <c r="D203" t="s">
        <v>819</v>
      </c>
      <c r="E203">
        <v>1</v>
      </c>
      <c r="F203" t="s">
        <v>825</v>
      </c>
      <c r="G203" t="s">
        <v>854</v>
      </c>
      <c r="H203">
        <v>8346</v>
      </c>
      <c r="I203" t="s">
        <v>836</v>
      </c>
      <c r="J203" t="s">
        <v>843</v>
      </c>
      <c r="K203" s="2">
        <v>45017</v>
      </c>
      <c r="L203">
        <v>2023</v>
      </c>
      <c r="M203">
        <v>8346</v>
      </c>
      <c r="N203" t="s">
        <v>868</v>
      </c>
    </row>
    <row r="204" spans="1:14" x14ac:dyDescent="0.3">
      <c r="A204" t="s">
        <v>976</v>
      </c>
      <c r="B204" t="s">
        <v>108</v>
      </c>
      <c r="C204" t="s">
        <v>805</v>
      </c>
      <c r="D204" t="s">
        <v>819</v>
      </c>
      <c r="E204">
        <v>1</v>
      </c>
      <c r="F204" t="s">
        <v>827</v>
      </c>
      <c r="G204" t="s">
        <v>883</v>
      </c>
      <c r="H204">
        <v>8346</v>
      </c>
      <c r="I204" t="s">
        <v>836</v>
      </c>
      <c r="J204" t="s">
        <v>843</v>
      </c>
      <c r="K204" s="2">
        <v>45261</v>
      </c>
      <c r="L204">
        <v>2023</v>
      </c>
      <c r="M204">
        <v>8346</v>
      </c>
      <c r="N204" t="s">
        <v>868</v>
      </c>
    </row>
    <row r="205" spans="1:14" x14ac:dyDescent="0.3">
      <c r="A205" t="s">
        <v>974</v>
      </c>
      <c r="B205" t="s">
        <v>106</v>
      </c>
      <c r="C205" t="s">
        <v>807</v>
      </c>
      <c r="D205" t="s">
        <v>813</v>
      </c>
      <c r="E205">
        <v>5</v>
      </c>
      <c r="F205" t="s">
        <v>828</v>
      </c>
      <c r="G205" t="s">
        <v>904</v>
      </c>
      <c r="H205">
        <v>6218</v>
      </c>
      <c r="I205" t="s">
        <v>833</v>
      </c>
      <c r="J205" t="s">
        <v>841</v>
      </c>
      <c r="K205" s="2">
        <v>44044</v>
      </c>
      <c r="L205">
        <v>2020</v>
      </c>
      <c r="M205">
        <v>31090</v>
      </c>
      <c r="N205" t="s">
        <v>852</v>
      </c>
    </row>
    <row r="206" spans="1:14" x14ac:dyDescent="0.3">
      <c r="A206" t="s">
        <v>975</v>
      </c>
      <c r="B206" t="s">
        <v>107</v>
      </c>
      <c r="C206" t="s">
        <v>807</v>
      </c>
      <c r="D206" t="s">
        <v>813</v>
      </c>
      <c r="E206">
        <v>5</v>
      </c>
      <c r="F206" t="s">
        <v>825</v>
      </c>
      <c r="G206" t="s">
        <v>854</v>
      </c>
      <c r="H206">
        <v>6218</v>
      </c>
      <c r="I206" t="s">
        <v>833</v>
      </c>
      <c r="J206" t="s">
        <v>841</v>
      </c>
      <c r="K206" s="2">
        <v>45017</v>
      </c>
      <c r="L206">
        <v>2023</v>
      </c>
      <c r="M206">
        <v>31090</v>
      </c>
      <c r="N206" t="s">
        <v>852</v>
      </c>
    </row>
    <row r="207" spans="1:14" x14ac:dyDescent="0.3">
      <c r="A207" t="s">
        <v>976</v>
      </c>
      <c r="B207" t="s">
        <v>108</v>
      </c>
      <c r="C207" t="s">
        <v>807</v>
      </c>
      <c r="D207" t="s">
        <v>813</v>
      </c>
      <c r="E207">
        <v>5</v>
      </c>
      <c r="F207" t="s">
        <v>827</v>
      </c>
      <c r="G207" t="s">
        <v>883</v>
      </c>
      <c r="H207">
        <v>6218</v>
      </c>
      <c r="I207" t="s">
        <v>833</v>
      </c>
      <c r="J207" t="s">
        <v>841</v>
      </c>
      <c r="K207" s="2">
        <v>45261</v>
      </c>
      <c r="L207">
        <v>2023</v>
      </c>
      <c r="M207">
        <v>31090</v>
      </c>
      <c r="N207" t="s">
        <v>852</v>
      </c>
    </row>
    <row r="208" spans="1:14" x14ac:dyDescent="0.3">
      <c r="A208" t="s">
        <v>974</v>
      </c>
      <c r="B208" t="s">
        <v>106</v>
      </c>
      <c r="C208" t="s">
        <v>805</v>
      </c>
      <c r="D208" t="s">
        <v>810</v>
      </c>
      <c r="E208">
        <v>14</v>
      </c>
      <c r="F208" t="s">
        <v>828</v>
      </c>
      <c r="G208" t="s">
        <v>904</v>
      </c>
      <c r="H208">
        <v>5167</v>
      </c>
      <c r="I208" t="s">
        <v>835</v>
      </c>
      <c r="J208" t="s">
        <v>844</v>
      </c>
      <c r="K208" s="2">
        <v>44044</v>
      </c>
      <c r="L208">
        <v>2020</v>
      </c>
      <c r="M208">
        <v>72338</v>
      </c>
      <c r="N208" t="s">
        <v>857</v>
      </c>
    </row>
    <row r="209" spans="1:14" x14ac:dyDescent="0.3">
      <c r="A209" t="s">
        <v>975</v>
      </c>
      <c r="B209" t="s">
        <v>107</v>
      </c>
      <c r="C209" t="s">
        <v>805</v>
      </c>
      <c r="D209" t="s">
        <v>810</v>
      </c>
      <c r="E209">
        <v>14</v>
      </c>
      <c r="F209" t="s">
        <v>825</v>
      </c>
      <c r="G209" t="s">
        <v>854</v>
      </c>
      <c r="H209">
        <v>5167</v>
      </c>
      <c r="I209" t="s">
        <v>835</v>
      </c>
      <c r="J209" t="s">
        <v>844</v>
      </c>
      <c r="K209" s="2">
        <v>45017</v>
      </c>
      <c r="L209">
        <v>2023</v>
      </c>
      <c r="M209">
        <v>72338</v>
      </c>
      <c r="N209" t="s">
        <v>857</v>
      </c>
    </row>
    <row r="210" spans="1:14" x14ac:dyDescent="0.3">
      <c r="A210" t="s">
        <v>976</v>
      </c>
      <c r="B210" t="s">
        <v>108</v>
      </c>
      <c r="C210" t="s">
        <v>805</v>
      </c>
      <c r="D210" t="s">
        <v>810</v>
      </c>
      <c r="E210">
        <v>14</v>
      </c>
      <c r="F210" t="s">
        <v>827</v>
      </c>
      <c r="G210" t="s">
        <v>883</v>
      </c>
      <c r="H210">
        <v>5167</v>
      </c>
      <c r="I210" t="s">
        <v>835</v>
      </c>
      <c r="J210" t="s">
        <v>844</v>
      </c>
      <c r="K210" s="2">
        <v>45261</v>
      </c>
      <c r="L210">
        <v>2023</v>
      </c>
      <c r="M210">
        <v>72338</v>
      </c>
      <c r="N210" t="s">
        <v>857</v>
      </c>
    </row>
    <row r="211" spans="1:14" x14ac:dyDescent="0.3">
      <c r="A211" t="s">
        <v>974</v>
      </c>
      <c r="B211" t="s">
        <v>106</v>
      </c>
      <c r="C211" t="s">
        <v>807</v>
      </c>
      <c r="D211" t="s">
        <v>816</v>
      </c>
      <c r="E211">
        <v>5</v>
      </c>
      <c r="F211" t="s">
        <v>828</v>
      </c>
      <c r="G211" t="s">
        <v>904</v>
      </c>
      <c r="H211">
        <v>2799</v>
      </c>
      <c r="I211" t="s">
        <v>833</v>
      </c>
      <c r="J211" t="s">
        <v>842</v>
      </c>
      <c r="K211" s="2">
        <v>44044</v>
      </c>
      <c r="L211">
        <v>2020</v>
      </c>
      <c r="M211">
        <v>13995</v>
      </c>
      <c r="N211" t="s">
        <v>852</v>
      </c>
    </row>
    <row r="212" spans="1:14" x14ac:dyDescent="0.3">
      <c r="A212" t="s">
        <v>975</v>
      </c>
      <c r="B212" t="s">
        <v>107</v>
      </c>
      <c r="C212" t="s">
        <v>807</v>
      </c>
      <c r="D212" t="s">
        <v>816</v>
      </c>
      <c r="E212">
        <v>5</v>
      </c>
      <c r="F212" t="s">
        <v>825</v>
      </c>
      <c r="G212" t="s">
        <v>854</v>
      </c>
      <c r="H212">
        <v>2799</v>
      </c>
      <c r="I212" t="s">
        <v>833</v>
      </c>
      <c r="J212" t="s">
        <v>842</v>
      </c>
      <c r="K212" s="2">
        <v>45017</v>
      </c>
      <c r="L212">
        <v>2023</v>
      </c>
      <c r="M212">
        <v>13995</v>
      </c>
      <c r="N212" t="s">
        <v>852</v>
      </c>
    </row>
    <row r="213" spans="1:14" x14ac:dyDescent="0.3">
      <c r="A213" t="s">
        <v>976</v>
      </c>
      <c r="B213" t="s">
        <v>108</v>
      </c>
      <c r="C213" t="s">
        <v>807</v>
      </c>
      <c r="D213" t="s">
        <v>816</v>
      </c>
      <c r="E213">
        <v>5</v>
      </c>
      <c r="F213" t="s">
        <v>827</v>
      </c>
      <c r="G213" t="s">
        <v>883</v>
      </c>
      <c r="H213">
        <v>2799</v>
      </c>
      <c r="I213" t="s">
        <v>833</v>
      </c>
      <c r="J213" t="s">
        <v>842</v>
      </c>
      <c r="K213" s="2">
        <v>45261</v>
      </c>
      <c r="L213">
        <v>2023</v>
      </c>
      <c r="M213">
        <v>13995</v>
      </c>
      <c r="N213" t="s">
        <v>852</v>
      </c>
    </row>
    <row r="214" spans="1:14" x14ac:dyDescent="0.3">
      <c r="A214" t="s">
        <v>977</v>
      </c>
      <c r="B214" t="s">
        <v>109</v>
      </c>
      <c r="C214" t="s">
        <v>806</v>
      </c>
      <c r="D214" t="s">
        <v>815</v>
      </c>
      <c r="E214">
        <v>20</v>
      </c>
      <c r="F214" t="s">
        <v>824</v>
      </c>
      <c r="G214" t="s">
        <v>851</v>
      </c>
      <c r="H214">
        <v>3234</v>
      </c>
      <c r="I214" t="s">
        <v>835</v>
      </c>
      <c r="J214" t="s">
        <v>842</v>
      </c>
      <c r="K214" s="2">
        <v>44621</v>
      </c>
      <c r="L214">
        <v>2022</v>
      </c>
      <c r="M214">
        <v>64680</v>
      </c>
      <c r="N214" t="s">
        <v>863</v>
      </c>
    </row>
    <row r="215" spans="1:14" x14ac:dyDescent="0.3">
      <c r="A215" t="s">
        <v>978</v>
      </c>
      <c r="B215" t="s">
        <v>110</v>
      </c>
      <c r="C215" t="s">
        <v>807</v>
      </c>
      <c r="D215" t="s">
        <v>813</v>
      </c>
      <c r="E215">
        <v>12</v>
      </c>
      <c r="F215" t="s">
        <v>825</v>
      </c>
      <c r="G215" t="s">
        <v>870</v>
      </c>
      <c r="H215">
        <v>4920</v>
      </c>
      <c r="I215" t="s">
        <v>833</v>
      </c>
      <c r="J215" t="s">
        <v>844</v>
      </c>
      <c r="K215" s="2">
        <v>44409</v>
      </c>
      <c r="L215">
        <v>2021</v>
      </c>
      <c r="M215">
        <v>59040</v>
      </c>
      <c r="N215" t="s">
        <v>857</v>
      </c>
    </row>
    <row r="216" spans="1:14" x14ac:dyDescent="0.3">
      <c r="A216" t="s">
        <v>978</v>
      </c>
      <c r="B216" t="s">
        <v>110</v>
      </c>
      <c r="C216" t="s">
        <v>807</v>
      </c>
      <c r="D216" t="s">
        <v>820</v>
      </c>
      <c r="E216">
        <v>15</v>
      </c>
      <c r="F216" t="s">
        <v>825</v>
      </c>
      <c r="G216" t="s">
        <v>870</v>
      </c>
      <c r="H216">
        <v>9078</v>
      </c>
      <c r="I216" t="s">
        <v>834</v>
      </c>
      <c r="J216" t="s">
        <v>843</v>
      </c>
      <c r="K216" s="2">
        <v>44409</v>
      </c>
      <c r="L216">
        <v>2021</v>
      </c>
      <c r="M216">
        <v>136170</v>
      </c>
      <c r="N216" t="s">
        <v>863</v>
      </c>
    </row>
    <row r="217" spans="1:14" x14ac:dyDescent="0.3">
      <c r="A217" t="s">
        <v>979</v>
      </c>
      <c r="B217" t="s">
        <v>111</v>
      </c>
      <c r="C217" t="s">
        <v>807</v>
      </c>
      <c r="D217" t="s">
        <v>820</v>
      </c>
      <c r="E217">
        <v>7</v>
      </c>
      <c r="F217" t="s">
        <v>824</v>
      </c>
      <c r="G217" t="s">
        <v>851</v>
      </c>
      <c r="H217">
        <v>8586</v>
      </c>
      <c r="I217" t="s">
        <v>832</v>
      </c>
      <c r="J217" t="s">
        <v>843</v>
      </c>
      <c r="K217" s="2">
        <v>44166</v>
      </c>
      <c r="L217">
        <v>2020</v>
      </c>
      <c r="M217">
        <v>60102</v>
      </c>
      <c r="N217" t="s">
        <v>852</v>
      </c>
    </row>
    <row r="218" spans="1:14" x14ac:dyDescent="0.3">
      <c r="A218" t="s">
        <v>980</v>
      </c>
      <c r="B218" t="s">
        <v>112</v>
      </c>
      <c r="C218" t="s">
        <v>807</v>
      </c>
      <c r="D218" t="s">
        <v>820</v>
      </c>
      <c r="E218">
        <v>7</v>
      </c>
      <c r="F218" t="s">
        <v>824</v>
      </c>
      <c r="G218" t="s">
        <v>910</v>
      </c>
      <c r="H218">
        <v>8586</v>
      </c>
      <c r="I218" t="s">
        <v>832</v>
      </c>
      <c r="J218" t="s">
        <v>843</v>
      </c>
      <c r="K218" s="2">
        <v>45108</v>
      </c>
      <c r="L218">
        <v>2023</v>
      </c>
      <c r="M218">
        <v>60102</v>
      </c>
      <c r="N218" t="s">
        <v>852</v>
      </c>
    </row>
    <row r="219" spans="1:14" x14ac:dyDescent="0.3">
      <c r="A219" t="s">
        <v>981</v>
      </c>
      <c r="B219" t="s">
        <v>113</v>
      </c>
      <c r="C219" t="s">
        <v>807</v>
      </c>
      <c r="D219" t="s">
        <v>816</v>
      </c>
      <c r="E219">
        <v>13</v>
      </c>
      <c r="F219" t="s">
        <v>827</v>
      </c>
      <c r="G219" t="s">
        <v>883</v>
      </c>
      <c r="H219">
        <v>5047</v>
      </c>
      <c r="I219" t="s">
        <v>834</v>
      </c>
      <c r="J219" t="s">
        <v>844</v>
      </c>
      <c r="K219" s="2">
        <v>45139</v>
      </c>
      <c r="L219">
        <v>2023</v>
      </c>
      <c r="M219">
        <v>65611</v>
      </c>
      <c r="N219" t="s">
        <v>857</v>
      </c>
    </row>
    <row r="220" spans="1:14" x14ac:dyDescent="0.3">
      <c r="A220" t="s">
        <v>982</v>
      </c>
      <c r="B220" t="s">
        <v>114</v>
      </c>
      <c r="C220" t="s">
        <v>807</v>
      </c>
      <c r="D220" t="s">
        <v>816</v>
      </c>
      <c r="E220">
        <v>13</v>
      </c>
      <c r="F220" t="s">
        <v>825</v>
      </c>
      <c r="G220" t="s">
        <v>854</v>
      </c>
      <c r="H220">
        <v>5047</v>
      </c>
      <c r="I220" t="s">
        <v>834</v>
      </c>
      <c r="J220" t="s">
        <v>844</v>
      </c>
      <c r="K220" s="2">
        <v>44228</v>
      </c>
      <c r="L220">
        <v>2021</v>
      </c>
      <c r="M220">
        <v>65611</v>
      </c>
      <c r="N220" t="s">
        <v>857</v>
      </c>
    </row>
    <row r="221" spans="1:14" x14ac:dyDescent="0.3">
      <c r="A221" t="s">
        <v>983</v>
      </c>
      <c r="B221" t="s">
        <v>115</v>
      </c>
      <c r="C221" t="s">
        <v>807</v>
      </c>
      <c r="D221" t="s">
        <v>816</v>
      </c>
      <c r="E221">
        <v>13</v>
      </c>
      <c r="F221" t="s">
        <v>825</v>
      </c>
      <c r="G221" t="s">
        <v>921</v>
      </c>
      <c r="H221">
        <v>5047</v>
      </c>
      <c r="I221" t="s">
        <v>834</v>
      </c>
      <c r="J221" t="s">
        <v>844</v>
      </c>
      <c r="K221" s="2">
        <v>44805</v>
      </c>
      <c r="L221">
        <v>2022</v>
      </c>
      <c r="M221">
        <v>65611</v>
      </c>
      <c r="N221" t="s">
        <v>857</v>
      </c>
    </row>
    <row r="222" spans="1:14" x14ac:dyDescent="0.3">
      <c r="A222" t="s">
        <v>984</v>
      </c>
      <c r="B222" t="s">
        <v>116</v>
      </c>
      <c r="C222" t="s">
        <v>807</v>
      </c>
      <c r="D222" t="s">
        <v>816</v>
      </c>
      <c r="E222">
        <v>13</v>
      </c>
      <c r="F222" t="s">
        <v>826</v>
      </c>
      <c r="G222" t="s">
        <v>856</v>
      </c>
      <c r="H222">
        <v>5047</v>
      </c>
      <c r="I222" t="s">
        <v>834</v>
      </c>
      <c r="J222" t="s">
        <v>844</v>
      </c>
      <c r="K222" s="2">
        <v>44682</v>
      </c>
      <c r="L222">
        <v>2022</v>
      </c>
      <c r="M222">
        <v>65611</v>
      </c>
      <c r="N222" t="s">
        <v>857</v>
      </c>
    </row>
    <row r="223" spans="1:14" x14ac:dyDescent="0.3">
      <c r="A223" t="s">
        <v>985</v>
      </c>
      <c r="B223" t="s">
        <v>117</v>
      </c>
      <c r="C223" t="s">
        <v>807</v>
      </c>
      <c r="D223" t="s">
        <v>816</v>
      </c>
      <c r="E223">
        <v>1</v>
      </c>
      <c r="F223" t="s">
        <v>827</v>
      </c>
      <c r="G223" t="s">
        <v>883</v>
      </c>
      <c r="H223">
        <v>3657</v>
      </c>
      <c r="I223" t="s">
        <v>832</v>
      </c>
      <c r="J223" t="s">
        <v>842</v>
      </c>
      <c r="K223" s="2">
        <v>44317</v>
      </c>
      <c r="L223">
        <v>2021</v>
      </c>
      <c r="M223">
        <v>3657</v>
      </c>
      <c r="N223" t="s">
        <v>868</v>
      </c>
    </row>
    <row r="224" spans="1:14" x14ac:dyDescent="0.3">
      <c r="A224" t="s">
        <v>986</v>
      </c>
      <c r="B224" t="s">
        <v>118</v>
      </c>
      <c r="C224" t="s">
        <v>805</v>
      </c>
      <c r="D224" t="s">
        <v>809</v>
      </c>
      <c r="E224">
        <v>18</v>
      </c>
      <c r="F224" t="s">
        <v>825</v>
      </c>
      <c r="G224" t="s">
        <v>921</v>
      </c>
      <c r="H224">
        <v>6471</v>
      </c>
      <c r="I224" t="s">
        <v>832</v>
      </c>
      <c r="J224" t="s">
        <v>841</v>
      </c>
      <c r="K224" s="2">
        <v>45474</v>
      </c>
      <c r="L224">
        <v>2024</v>
      </c>
      <c r="M224">
        <v>116478</v>
      </c>
      <c r="N224" t="s">
        <v>863</v>
      </c>
    </row>
    <row r="225" spans="1:14" x14ac:dyDescent="0.3">
      <c r="A225" t="s">
        <v>987</v>
      </c>
      <c r="B225" t="s">
        <v>119</v>
      </c>
      <c r="C225" t="s">
        <v>806</v>
      </c>
      <c r="D225" t="s">
        <v>818</v>
      </c>
      <c r="E225">
        <v>9</v>
      </c>
      <c r="F225" t="s">
        <v>829</v>
      </c>
      <c r="G225" t="s">
        <v>894</v>
      </c>
      <c r="H225">
        <v>949</v>
      </c>
      <c r="I225" t="s">
        <v>832</v>
      </c>
      <c r="J225" t="s">
        <v>840</v>
      </c>
      <c r="K225" s="2">
        <v>45627</v>
      </c>
      <c r="L225">
        <v>2024</v>
      </c>
      <c r="M225">
        <v>8541</v>
      </c>
      <c r="N225" t="s">
        <v>852</v>
      </c>
    </row>
    <row r="226" spans="1:14" x14ac:dyDescent="0.3">
      <c r="A226" t="s">
        <v>987</v>
      </c>
      <c r="B226" t="s">
        <v>119</v>
      </c>
      <c r="C226" t="s">
        <v>806</v>
      </c>
      <c r="D226" t="s">
        <v>818</v>
      </c>
      <c r="E226">
        <v>6</v>
      </c>
      <c r="F226" t="s">
        <v>829</v>
      </c>
      <c r="G226" t="s">
        <v>894</v>
      </c>
      <c r="H226">
        <v>6823</v>
      </c>
      <c r="I226" t="s">
        <v>834</v>
      </c>
      <c r="J226" t="s">
        <v>841</v>
      </c>
      <c r="K226" s="2">
        <v>45627</v>
      </c>
      <c r="L226">
        <v>2024</v>
      </c>
      <c r="M226">
        <v>40938</v>
      </c>
      <c r="N226" t="s">
        <v>852</v>
      </c>
    </row>
    <row r="227" spans="1:14" x14ac:dyDescent="0.3">
      <c r="A227" t="s">
        <v>987</v>
      </c>
      <c r="B227" t="s">
        <v>119</v>
      </c>
      <c r="C227" t="s">
        <v>807</v>
      </c>
      <c r="D227" t="s">
        <v>813</v>
      </c>
      <c r="E227">
        <v>2</v>
      </c>
      <c r="F227" t="s">
        <v>829</v>
      </c>
      <c r="G227" t="s">
        <v>894</v>
      </c>
      <c r="H227">
        <v>4364</v>
      </c>
      <c r="I227" t="s">
        <v>834</v>
      </c>
      <c r="J227" t="s">
        <v>844</v>
      </c>
      <c r="K227" s="2">
        <v>45627</v>
      </c>
      <c r="L227">
        <v>2024</v>
      </c>
      <c r="M227">
        <v>8728</v>
      </c>
      <c r="N227" t="s">
        <v>868</v>
      </c>
    </row>
    <row r="228" spans="1:14" x14ac:dyDescent="0.3">
      <c r="A228" t="s">
        <v>988</v>
      </c>
      <c r="B228" t="s">
        <v>120</v>
      </c>
      <c r="C228" t="s">
        <v>805</v>
      </c>
      <c r="D228" t="s">
        <v>819</v>
      </c>
      <c r="E228">
        <v>10</v>
      </c>
      <c r="F228" t="s">
        <v>825</v>
      </c>
      <c r="G228" t="s">
        <v>921</v>
      </c>
      <c r="H228">
        <v>6671</v>
      </c>
      <c r="I228" t="s">
        <v>832</v>
      </c>
      <c r="J228" t="s">
        <v>841</v>
      </c>
      <c r="K228" s="2">
        <v>44896</v>
      </c>
      <c r="L228">
        <v>2022</v>
      </c>
      <c r="M228">
        <v>66710</v>
      </c>
      <c r="N228" t="s">
        <v>857</v>
      </c>
    </row>
    <row r="229" spans="1:14" x14ac:dyDescent="0.3">
      <c r="A229" t="s">
        <v>989</v>
      </c>
      <c r="B229" t="s">
        <v>121</v>
      </c>
      <c r="C229" t="s">
        <v>806</v>
      </c>
      <c r="D229" t="s">
        <v>817</v>
      </c>
      <c r="E229">
        <v>3</v>
      </c>
      <c r="F229" t="s">
        <v>825</v>
      </c>
      <c r="G229" t="s">
        <v>870</v>
      </c>
      <c r="H229">
        <v>7472</v>
      </c>
      <c r="I229" t="s">
        <v>836</v>
      </c>
      <c r="J229" t="s">
        <v>841</v>
      </c>
      <c r="K229" s="2">
        <v>44835</v>
      </c>
      <c r="L229">
        <v>2022</v>
      </c>
      <c r="M229">
        <v>22416</v>
      </c>
      <c r="N229" t="s">
        <v>868</v>
      </c>
    </row>
    <row r="230" spans="1:14" x14ac:dyDescent="0.3">
      <c r="A230" t="s">
        <v>989</v>
      </c>
      <c r="B230" t="s">
        <v>121</v>
      </c>
      <c r="C230" t="s">
        <v>805</v>
      </c>
      <c r="D230" t="s">
        <v>810</v>
      </c>
      <c r="E230">
        <v>9</v>
      </c>
      <c r="F230" t="s">
        <v>825</v>
      </c>
      <c r="G230" t="s">
        <v>870</v>
      </c>
      <c r="H230">
        <v>9548</v>
      </c>
      <c r="I230" t="s">
        <v>836</v>
      </c>
      <c r="J230" t="s">
        <v>843</v>
      </c>
      <c r="K230" s="2">
        <v>44835</v>
      </c>
      <c r="L230">
        <v>2022</v>
      </c>
      <c r="M230">
        <v>85932</v>
      </c>
      <c r="N230" t="s">
        <v>852</v>
      </c>
    </row>
    <row r="231" spans="1:14" x14ac:dyDescent="0.3">
      <c r="A231" t="s">
        <v>990</v>
      </c>
      <c r="B231" t="s">
        <v>122</v>
      </c>
      <c r="C231" t="s">
        <v>805</v>
      </c>
      <c r="D231" t="s">
        <v>810</v>
      </c>
      <c r="E231">
        <v>17</v>
      </c>
      <c r="F231" t="s">
        <v>824</v>
      </c>
      <c r="G231" t="s">
        <v>851</v>
      </c>
      <c r="H231">
        <v>7759</v>
      </c>
      <c r="I231" t="s">
        <v>832</v>
      </c>
      <c r="J231" t="s">
        <v>841</v>
      </c>
      <c r="K231" s="2">
        <v>44256</v>
      </c>
      <c r="L231">
        <v>2021</v>
      </c>
      <c r="M231">
        <v>131903</v>
      </c>
      <c r="N231" t="s">
        <v>863</v>
      </c>
    </row>
    <row r="232" spans="1:14" x14ac:dyDescent="0.3">
      <c r="A232" t="s">
        <v>991</v>
      </c>
      <c r="B232" t="s">
        <v>123</v>
      </c>
      <c r="C232" t="s">
        <v>805</v>
      </c>
      <c r="D232" t="s">
        <v>810</v>
      </c>
      <c r="E232">
        <v>17</v>
      </c>
      <c r="F232" t="s">
        <v>828</v>
      </c>
      <c r="G232" t="s">
        <v>874</v>
      </c>
      <c r="H232">
        <v>7759</v>
      </c>
      <c r="I232" t="s">
        <v>832</v>
      </c>
      <c r="J232" t="s">
        <v>841</v>
      </c>
      <c r="K232" s="2">
        <v>45658</v>
      </c>
      <c r="L232">
        <v>2025</v>
      </c>
      <c r="M232">
        <v>131903</v>
      </c>
      <c r="N232" t="s">
        <v>863</v>
      </c>
    </row>
    <row r="233" spans="1:14" x14ac:dyDescent="0.3">
      <c r="A233" t="s">
        <v>990</v>
      </c>
      <c r="B233" t="s">
        <v>122</v>
      </c>
      <c r="C233" t="s">
        <v>806</v>
      </c>
      <c r="D233" t="s">
        <v>815</v>
      </c>
      <c r="E233">
        <v>16</v>
      </c>
      <c r="F233" t="s">
        <v>824</v>
      </c>
      <c r="G233" t="s">
        <v>851</v>
      </c>
      <c r="H233">
        <v>7521</v>
      </c>
      <c r="I233" t="s">
        <v>833</v>
      </c>
      <c r="J233" t="s">
        <v>841</v>
      </c>
      <c r="K233" s="2">
        <v>44256</v>
      </c>
      <c r="L233">
        <v>2021</v>
      </c>
      <c r="M233">
        <v>120336</v>
      </c>
      <c r="N233" t="s">
        <v>863</v>
      </c>
    </row>
    <row r="234" spans="1:14" x14ac:dyDescent="0.3">
      <c r="A234" t="s">
        <v>991</v>
      </c>
      <c r="B234" t="s">
        <v>123</v>
      </c>
      <c r="C234" t="s">
        <v>806</v>
      </c>
      <c r="D234" t="s">
        <v>815</v>
      </c>
      <c r="E234">
        <v>16</v>
      </c>
      <c r="F234" t="s">
        <v>828</v>
      </c>
      <c r="G234" t="s">
        <v>874</v>
      </c>
      <c r="H234">
        <v>7521</v>
      </c>
      <c r="I234" t="s">
        <v>833</v>
      </c>
      <c r="J234" t="s">
        <v>841</v>
      </c>
      <c r="K234" s="2">
        <v>45658</v>
      </c>
      <c r="L234">
        <v>2025</v>
      </c>
      <c r="M234">
        <v>120336</v>
      </c>
      <c r="N234" t="s">
        <v>863</v>
      </c>
    </row>
    <row r="235" spans="1:14" x14ac:dyDescent="0.3">
      <c r="A235" t="s">
        <v>992</v>
      </c>
      <c r="B235" t="s">
        <v>124</v>
      </c>
      <c r="C235" t="s">
        <v>806</v>
      </c>
      <c r="D235" t="s">
        <v>811</v>
      </c>
      <c r="E235">
        <v>12</v>
      </c>
      <c r="F235" t="s">
        <v>828</v>
      </c>
      <c r="G235" t="s">
        <v>904</v>
      </c>
      <c r="H235">
        <v>9704</v>
      </c>
      <c r="I235" t="s">
        <v>836</v>
      </c>
      <c r="J235" t="s">
        <v>843</v>
      </c>
      <c r="K235" s="2">
        <v>44256</v>
      </c>
      <c r="L235">
        <v>2021</v>
      </c>
      <c r="M235">
        <v>116448</v>
      </c>
      <c r="N235" t="s">
        <v>857</v>
      </c>
    </row>
    <row r="236" spans="1:14" x14ac:dyDescent="0.3">
      <c r="A236" t="s">
        <v>992</v>
      </c>
      <c r="B236" t="s">
        <v>124</v>
      </c>
      <c r="C236" t="s">
        <v>805</v>
      </c>
      <c r="D236" t="s">
        <v>810</v>
      </c>
      <c r="E236">
        <v>18</v>
      </c>
      <c r="F236" t="s">
        <v>828</v>
      </c>
      <c r="G236" t="s">
        <v>904</v>
      </c>
      <c r="H236">
        <v>4948</v>
      </c>
      <c r="I236" t="s">
        <v>833</v>
      </c>
      <c r="J236" t="s">
        <v>844</v>
      </c>
      <c r="K236" s="2">
        <v>44256</v>
      </c>
      <c r="L236">
        <v>2021</v>
      </c>
      <c r="M236">
        <v>89064</v>
      </c>
      <c r="N236" t="s">
        <v>863</v>
      </c>
    </row>
    <row r="237" spans="1:14" x14ac:dyDescent="0.3">
      <c r="A237" t="s">
        <v>992</v>
      </c>
      <c r="B237" t="s">
        <v>124</v>
      </c>
      <c r="C237" t="s">
        <v>805</v>
      </c>
      <c r="D237" t="s">
        <v>809</v>
      </c>
      <c r="E237">
        <v>10</v>
      </c>
      <c r="F237" t="s">
        <v>828</v>
      </c>
      <c r="G237" t="s">
        <v>904</v>
      </c>
      <c r="H237">
        <v>6435</v>
      </c>
      <c r="I237" t="s">
        <v>833</v>
      </c>
      <c r="J237" t="s">
        <v>841</v>
      </c>
      <c r="K237" s="2">
        <v>44256</v>
      </c>
      <c r="L237">
        <v>2021</v>
      </c>
      <c r="M237">
        <v>64350</v>
      </c>
      <c r="N237" t="s">
        <v>857</v>
      </c>
    </row>
    <row r="238" spans="1:14" x14ac:dyDescent="0.3">
      <c r="A238" t="s">
        <v>993</v>
      </c>
      <c r="B238" t="s">
        <v>125</v>
      </c>
      <c r="C238" t="s">
        <v>806</v>
      </c>
      <c r="D238" t="s">
        <v>815</v>
      </c>
      <c r="E238">
        <v>16</v>
      </c>
      <c r="F238" t="s">
        <v>827</v>
      </c>
      <c r="G238" t="s">
        <v>883</v>
      </c>
      <c r="H238">
        <v>9965</v>
      </c>
      <c r="I238" t="s">
        <v>836</v>
      </c>
      <c r="J238" t="s">
        <v>843</v>
      </c>
      <c r="K238" s="2">
        <v>43983</v>
      </c>
      <c r="L238">
        <v>2020</v>
      </c>
      <c r="M238">
        <v>159440</v>
      </c>
      <c r="N238" t="s">
        <v>863</v>
      </c>
    </row>
    <row r="239" spans="1:14" x14ac:dyDescent="0.3">
      <c r="A239" t="s">
        <v>994</v>
      </c>
      <c r="B239" t="s">
        <v>126</v>
      </c>
      <c r="C239" t="s">
        <v>806</v>
      </c>
      <c r="D239" t="s">
        <v>815</v>
      </c>
      <c r="E239">
        <v>16</v>
      </c>
      <c r="F239" t="s">
        <v>826</v>
      </c>
      <c r="G239" t="s">
        <v>856</v>
      </c>
      <c r="H239">
        <v>9965</v>
      </c>
      <c r="I239" t="s">
        <v>836</v>
      </c>
      <c r="J239" t="s">
        <v>843</v>
      </c>
      <c r="K239" s="2">
        <v>45170</v>
      </c>
      <c r="L239">
        <v>2023</v>
      </c>
      <c r="M239">
        <v>159440</v>
      </c>
      <c r="N239" t="s">
        <v>863</v>
      </c>
    </row>
    <row r="240" spans="1:14" x14ac:dyDescent="0.3">
      <c r="A240" t="s">
        <v>995</v>
      </c>
      <c r="B240" t="s">
        <v>127</v>
      </c>
      <c r="C240" t="s">
        <v>807</v>
      </c>
      <c r="D240" t="s">
        <v>816</v>
      </c>
      <c r="E240">
        <v>3</v>
      </c>
      <c r="F240" t="s">
        <v>826</v>
      </c>
      <c r="G240" t="s">
        <v>872</v>
      </c>
      <c r="H240">
        <v>1523</v>
      </c>
      <c r="I240" t="s">
        <v>832</v>
      </c>
      <c r="J240" t="s">
        <v>840</v>
      </c>
      <c r="K240" s="2">
        <v>45078</v>
      </c>
      <c r="L240">
        <v>2023</v>
      </c>
      <c r="M240">
        <v>4569</v>
      </c>
      <c r="N240" t="s">
        <v>868</v>
      </c>
    </row>
    <row r="241" spans="1:14" x14ac:dyDescent="0.3">
      <c r="A241" t="s">
        <v>995</v>
      </c>
      <c r="B241" t="s">
        <v>127</v>
      </c>
      <c r="C241" t="s">
        <v>805</v>
      </c>
      <c r="D241" t="s">
        <v>809</v>
      </c>
      <c r="E241">
        <v>7</v>
      </c>
      <c r="F241" t="s">
        <v>826</v>
      </c>
      <c r="G241" t="s">
        <v>872</v>
      </c>
      <c r="H241">
        <v>9073</v>
      </c>
      <c r="I241" t="s">
        <v>833</v>
      </c>
      <c r="J241" t="s">
        <v>843</v>
      </c>
      <c r="K241" s="2">
        <v>45078</v>
      </c>
      <c r="L241">
        <v>2023</v>
      </c>
      <c r="M241">
        <v>63511</v>
      </c>
      <c r="N241" t="s">
        <v>852</v>
      </c>
    </row>
    <row r="242" spans="1:14" x14ac:dyDescent="0.3">
      <c r="A242" t="s">
        <v>996</v>
      </c>
      <c r="B242" t="s">
        <v>128</v>
      </c>
      <c r="C242" t="s">
        <v>805</v>
      </c>
      <c r="D242" t="s">
        <v>812</v>
      </c>
      <c r="E242">
        <v>20</v>
      </c>
      <c r="F242" t="s">
        <v>826</v>
      </c>
      <c r="G242" t="s">
        <v>872</v>
      </c>
      <c r="H242">
        <v>6447</v>
      </c>
      <c r="I242" t="s">
        <v>836</v>
      </c>
      <c r="J242" t="s">
        <v>841</v>
      </c>
      <c r="K242" s="2">
        <v>44256</v>
      </c>
      <c r="L242">
        <v>2021</v>
      </c>
      <c r="M242">
        <v>128940</v>
      </c>
      <c r="N242" t="s">
        <v>863</v>
      </c>
    </row>
    <row r="243" spans="1:14" x14ac:dyDescent="0.3">
      <c r="A243" t="s">
        <v>996</v>
      </c>
      <c r="B243" t="s">
        <v>128</v>
      </c>
      <c r="C243" t="s">
        <v>805</v>
      </c>
      <c r="D243" t="s">
        <v>809</v>
      </c>
      <c r="E243">
        <v>6</v>
      </c>
      <c r="F243" t="s">
        <v>826</v>
      </c>
      <c r="G243" t="s">
        <v>872</v>
      </c>
      <c r="H243">
        <v>8947</v>
      </c>
      <c r="I243" t="s">
        <v>835</v>
      </c>
      <c r="J243" t="s">
        <v>843</v>
      </c>
      <c r="K243" s="2">
        <v>44256</v>
      </c>
      <c r="L243">
        <v>2021</v>
      </c>
      <c r="M243">
        <v>53682</v>
      </c>
      <c r="N243" t="s">
        <v>852</v>
      </c>
    </row>
    <row r="244" spans="1:14" x14ac:dyDescent="0.3">
      <c r="A244" t="s">
        <v>997</v>
      </c>
      <c r="B244" t="s">
        <v>129</v>
      </c>
      <c r="C244" t="s">
        <v>806</v>
      </c>
      <c r="D244" t="s">
        <v>811</v>
      </c>
      <c r="E244">
        <v>8</v>
      </c>
      <c r="F244" t="s">
        <v>827</v>
      </c>
      <c r="G244" t="s">
        <v>862</v>
      </c>
      <c r="H244">
        <v>914</v>
      </c>
      <c r="I244" t="s">
        <v>833</v>
      </c>
      <c r="J244" t="s">
        <v>840</v>
      </c>
      <c r="K244" s="2">
        <v>44197</v>
      </c>
      <c r="L244">
        <v>2021</v>
      </c>
      <c r="M244">
        <v>7312</v>
      </c>
      <c r="N244" t="s">
        <v>852</v>
      </c>
    </row>
    <row r="245" spans="1:14" x14ac:dyDescent="0.3">
      <c r="A245" t="s">
        <v>997</v>
      </c>
      <c r="B245" t="s">
        <v>129</v>
      </c>
      <c r="C245" t="s">
        <v>806</v>
      </c>
      <c r="D245" t="s">
        <v>817</v>
      </c>
      <c r="E245">
        <v>3</v>
      </c>
      <c r="F245" t="s">
        <v>827</v>
      </c>
      <c r="G245" t="s">
        <v>862</v>
      </c>
      <c r="H245">
        <v>1548</v>
      </c>
      <c r="I245" t="s">
        <v>835</v>
      </c>
      <c r="J245" t="s">
        <v>840</v>
      </c>
      <c r="K245" s="2">
        <v>44197</v>
      </c>
      <c r="L245">
        <v>2021</v>
      </c>
      <c r="M245">
        <v>4644</v>
      </c>
      <c r="N245" t="s">
        <v>868</v>
      </c>
    </row>
    <row r="246" spans="1:14" x14ac:dyDescent="0.3">
      <c r="A246" t="s">
        <v>853</v>
      </c>
      <c r="B246" t="s">
        <v>130</v>
      </c>
      <c r="C246" t="s">
        <v>807</v>
      </c>
      <c r="D246" t="s">
        <v>813</v>
      </c>
      <c r="E246">
        <v>6</v>
      </c>
      <c r="F246" t="s">
        <v>826</v>
      </c>
      <c r="G246" t="s">
        <v>865</v>
      </c>
      <c r="H246">
        <v>2759</v>
      </c>
      <c r="I246" t="s">
        <v>835</v>
      </c>
      <c r="J246" t="s">
        <v>842</v>
      </c>
      <c r="K246" s="2">
        <v>45627</v>
      </c>
      <c r="L246">
        <v>2024</v>
      </c>
      <c r="M246">
        <v>16554</v>
      </c>
      <c r="N246" t="s">
        <v>852</v>
      </c>
    </row>
    <row r="247" spans="1:14" x14ac:dyDescent="0.3">
      <c r="A247" t="s">
        <v>998</v>
      </c>
      <c r="B247" t="s">
        <v>131</v>
      </c>
      <c r="C247" t="s">
        <v>805</v>
      </c>
      <c r="D247" t="s">
        <v>812</v>
      </c>
      <c r="E247">
        <v>4</v>
      </c>
      <c r="F247" t="s">
        <v>824</v>
      </c>
      <c r="G247" t="s">
        <v>859</v>
      </c>
      <c r="H247">
        <v>1341</v>
      </c>
      <c r="I247" t="s">
        <v>832</v>
      </c>
      <c r="J247" t="s">
        <v>840</v>
      </c>
      <c r="K247" s="2">
        <v>44774</v>
      </c>
      <c r="L247">
        <v>2022</v>
      </c>
      <c r="M247">
        <v>5364</v>
      </c>
      <c r="N247" t="s">
        <v>868</v>
      </c>
    </row>
    <row r="248" spans="1:14" x14ac:dyDescent="0.3">
      <c r="A248" t="s">
        <v>999</v>
      </c>
      <c r="B248" t="s">
        <v>132</v>
      </c>
      <c r="C248" t="s">
        <v>805</v>
      </c>
      <c r="D248" t="s">
        <v>809</v>
      </c>
      <c r="E248">
        <v>19</v>
      </c>
      <c r="F248" t="s">
        <v>829</v>
      </c>
      <c r="G248" t="s">
        <v>894</v>
      </c>
      <c r="H248">
        <v>9851</v>
      </c>
      <c r="I248" t="s">
        <v>833</v>
      </c>
      <c r="J248" t="s">
        <v>843</v>
      </c>
      <c r="K248" s="2">
        <v>44621</v>
      </c>
      <c r="L248">
        <v>2022</v>
      </c>
      <c r="M248">
        <v>187169</v>
      </c>
      <c r="N248" t="s">
        <v>863</v>
      </c>
    </row>
    <row r="249" spans="1:14" x14ac:dyDescent="0.3">
      <c r="A249" t="s">
        <v>1000</v>
      </c>
      <c r="B249" t="s">
        <v>133</v>
      </c>
      <c r="C249" t="s">
        <v>805</v>
      </c>
      <c r="D249" t="s">
        <v>809</v>
      </c>
      <c r="E249">
        <v>19</v>
      </c>
      <c r="F249" t="s">
        <v>826</v>
      </c>
      <c r="G249" t="s">
        <v>856</v>
      </c>
      <c r="H249">
        <v>9851</v>
      </c>
      <c r="I249" t="s">
        <v>833</v>
      </c>
      <c r="J249" t="s">
        <v>843</v>
      </c>
      <c r="K249" s="2">
        <v>45108</v>
      </c>
      <c r="L249">
        <v>2023</v>
      </c>
      <c r="M249">
        <v>187169</v>
      </c>
      <c r="N249" t="s">
        <v>863</v>
      </c>
    </row>
    <row r="250" spans="1:14" x14ac:dyDescent="0.3">
      <c r="A250" t="s">
        <v>1001</v>
      </c>
      <c r="B250" t="s">
        <v>134</v>
      </c>
      <c r="C250" t="s">
        <v>805</v>
      </c>
      <c r="D250" t="s">
        <v>809</v>
      </c>
      <c r="E250">
        <v>19</v>
      </c>
      <c r="F250" t="s">
        <v>824</v>
      </c>
      <c r="G250" t="s">
        <v>859</v>
      </c>
      <c r="H250">
        <v>9851</v>
      </c>
      <c r="I250" t="s">
        <v>833</v>
      </c>
      <c r="J250" t="s">
        <v>843</v>
      </c>
      <c r="K250" s="2">
        <v>44805</v>
      </c>
      <c r="L250">
        <v>2022</v>
      </c>
      <c r="M250">
        <v>187169</v>
      </c>
      <c r="N250" t="s">
        <v>863</v>
      </c>
    </row>
    <row r="251" spans="1:14" x14ac:dyDescent="0.3">
      <c r="A251" t="s">
        <v>999</v>
      </c>
      <c r="B251" t="s">
        <v>132</v>
      </c>
      <c r="C251" t="s">
        <v>807</v>
      </c>
      <c r="D251" t="s">
        <v>813</v>
      </c>
      <c r="E251">
        <v>14</v>
      </c>
      <c r="F251" t="s">
        <v>829</v>
      </c>
      <c r="G251" t="s">
        <v>894</v>
      </c>
      <c r="H251">
        <v>9989</v>
      </c>
      <c r="I251" t="s">
        <v>833</v>
      </c>
      <c r="J251" t="s">
        <v>843</v>
      </c>
      <c r="K251" s="2">
        <v>44621</v>
      </c>
      <c r="L251">
        <v>2022</v>
      </c>
      <c r="M251">
        <v>139846</v>
      </c>
      <c r="N251" t="s">
        <v>857</v>
      </c>
    </row>
    <row r="252" spans="1:14" x14ac:dyDescent="0.3">
      <c r="A252" t="s">
        <v>1000</v>
      </c>
      <c r="B252" t="s">
        <v>133</v>
      </c>
      <c r="C252" t="s">
        <v>807</v>
      </c>
      <c r="D252" t="s">
        <v>813</v>
      </c>
      <c r="E252">
        <v>14</v>
      </c>
      <c r="F252" t="s">
        <v>826</v>
      </c>
      <c r="G252" t="s">
        <v>856</v>
      </c>
      <c r="H252">
        <v>9989</v>
      </c>
      <c r="I252" t="s">
        <v>833</v>
      </c>
      <c r="J252" t="s">
        <v>843</v>
      </c>
      <c r="K252" s="2">
        <v>45108</v>
      </c>
      <c r="L252">
        <v>2023</v>
      </c>
      <c r="M252">
        <v>139846</v>
      </c>
      <c r="N252" t="s">
        <v>857</v>
      </c>
    </row>
    <row r="253" spans="1:14" x14ac:dyDescent="0.3">
      <c r="A253" t="s">
        <v>1001</v>
      </c>
      <c r="B253" t="s">
        <v>134</v>
      </c>
      <c r="C253" t="s">
        <v>807</v>
      </c>
      <c r="D253" t="s">
        <v>813</v>
      </c>
      <c r="E253">
        <v>14</v>
      </c>
      <c r="F253" t="s">
        <v>824</v>
      </c>
      <c r="G253" t="s">
        <v>859</v>
      </c>
      <c r="H253">
        <v>9989</v>
      </c>
      <c r="I253" t="s">
        <v>833</v>
      </c>
      <c r="J253" t="s">
        <v>843</v>
      </c>
      <c r="K253" s="2">
        <v>44805</v>
      </c>
      <c r="L253">
        <v>2022</v>
      </c>
      <c r="M253">
        <v>139846</v>
      </c>
      <c r="N253" t="s">
        <v>857</v>
      </c>
    </row>
    <row r="254" spans="1:14" x14ac:dyDescent="0.3">
      <c r="A254" t="s">
        <v>1002</v>
      </c>
      <c r="B254" t="s">
        <v>135</v>
      </c>
      <c r="C254" t="s">
        <v>807</v>
      </c>
      <c r="D254" t="s">
        <v>813</v>
      </c>
      <c r="E254">
        <v>10</v>
      </c>
      <c r="F254" t="s">
        <v>828</v>
      </c>
      <c r="G254" t="s">
        <v>904</v>
      </c>
      <c r="H254">
        <v>7421</v>
      </c>
      <c r="I254" t="s">
        <v>836</v>
      </c>
      <c r="J254" t="s">
        <v>841</v>
      </c>
      <c r="K254" s="2">
        <v>44896</v>
      </c>
      <c r="L254">
        <v>2022</v>
      </c>
      <c r="M254">
        <v>74210</v>
      </c>
      <c r="N254" t="s">
        <v>857</v>
      </c>
    </row>
    <row r="255" spans="1:14" x14ac:dyDescent="0.3">
      <c r="A255" t="s">
        <v>909</v>
      </c>
      <c r="B255" t="s">
        <v>136</v>
      </c>
      <c r="C255" t="s">
        <v>807</v>
      </c>
      <c r="D255" t="s">
        <v>813</v>
      </c>
      <c r="E255">
        <v>10</v>
      </c>
      <c r="F255" t="s">
        <v>828</v>
      </c>
      <c r="G255" t="s">
        <v>904</v>
      </c>
      <c r="H255">
        <v>7421</v>
      </c>
      <c r="I255" t="s">
        <v>836</v>
      </c>
      <c r="J255" t="s">
        <v>841</v>
      </c>
      <c r="K255" s="2">
        <v>44562</v>
      </c>
      <c r="L255">
        <v>2022</v>
      </c>
      <c r="M255">
        <v>74210</v>
      </c>
      <c r="N255" t="s">
        <v>857</v>
      </c>
    </row>
    <row r="256" spans="1:14" x14ac:dyDescent="0.3">
      <c r="A256" t="s">
        <v>1003</v>
      </c>
      <c r="B256" t="s">
        <v>137</v>
      </c>
      <c r="C256" t="s">
        <v>807</v>
      </c>
      <c r="D256" t="s">
        <v>813</v>
      </c>
      <c r="E256">
        <v>10</v>
      </c>
      <c r="F256" t="s">
        <v>828</v>
      </c>
      <c r="G256" t="s">
        <v>874</v>
      </c>
      <c r="H256">
        <v>7421</v>
      </c>
      <c r="I256" t="s">
        <v>836</v>
      </c>
      <c r="J256" t="s">
        <v>841</v>
      </c>
      <c r="K256" s="2">
        <v>44927</v>
      </c>
      <c r="L256">
        <v>2023</v>
      </c>
      <c r="M256">
        <v>74210</v>
      </c>
      <c r="N256" t="s">
        <v>857</v>
      </c>
    </row>
    <row r="257" spans="1:14" x14ac:dyDescent="0.3">
      <c r="A257" t="s">
        <v>885</v>
      </c>
      <c r="B257" t="s">
        <v>138</v>
      </c>
      <c r="C257" t="s">
        <v>806</v>
      </c>
      <c r="D257" t="s">
        <v>817</v>
      </c>
      <c r="E257">
        <v>1</v>
      </c>
      <c r="F257" t="s">
        <v>826</v>
      </c>
      <c r="G257" t="s">
        <v>856</v>
      </c>
      <c r="H257">
        <v>3099</v>
      </c>
      <c r="I257" t="s">
        <v>836</v>
      </c>
      <c r="J257" t="s">
        <v>842</v>
      </c>
      <c r="K257" s="2">
        <v>44562</v>
      </c>
      <c r="L257">
        <v>2022</v>
      </c>
      <c r="M257">
        <v>3099</v>
      </c>
      <c r="N257" t="s">
        <v>868</v>
      </c>
    </row>
    <row r="258" spans="1:14" x14ac:dyDescent="0.3">
      <c r="A258" t="s">
        <v>885</v>
      </c>
      <c r="B258" t="s">
        <v>138</v>
      </c>
      <c r="C258" t="s">
        <v>805</v>
      </c>
      <c r="D258" t="s">
        <v>819</v>
      </c>
      <c r="E258">
        <v>7</v>
      </c>
      <c r="F258" t="s">
        <v>826</v>
      </c>
      <c r="G258" t="s">
        <v>856</v>
      </c>
      <c r="H258">
        <v>2521</v>
      </c>
      <c r="I258" t="s">
        <v>836</v>
      </c>
      <c r="J258" t="s">
        <v>842</v>
      </c>
      <c r="K258" s="2">
        <v>44562</v>
      </c>
      <c r="L258">
        <v>2022</v>
      </c>
      <c r="M258">
        <v>17647</v>
      </c>
      <c r="N258" t="s">
        <v>852</v>
      </c>
    </row>
    <row r="259" spans="1:14" x14ac:dyDescent="0.3">
      <c r="A259" t="s">
        <v>1004</v>
      </c>
      <c r="B259" t="s">
        <v>139</v>
      </c>
      <c r="C259" t="s">
        <v>805</v>
      </c>
      <c r="D259" t="s">
        <v>809</v>
      </c>
      <c r="E259">
        <v>12</v>
      </c>
      <c r="F259" t="s">
        <v>828</v>
      </c>
      <c r="G259" t="s">
        <v>874</v>
      </c>
      <c r="H259">
        <v>6962</v>
      </c>
      <c r="I259" t="s">
        <v>832</v>
      </c>
      <c r="J259" t="s">
        <v>841</v>
      </c>
      <c r="K259" s="2">
        <v>45352</v>
      </c>
      <c r="L259">
        <v>2024</v>
      </c>
      <c r="M259">
        <v>83544</v>
      </c>
      <c r="N259" t="s">
        <v>857</v>
      </c>
    </row>
    <row r="260" spans="1:14" x14ac:dyDescent="0.3">
      <c r="A260" t="s">
        <v>1005</v>
      </c>
      <c r="B260" t="s">
        <v>140</v>
      </c>
      <c r="C260" t="s">
        <v>805</v>
      </c>
      <c r="D260" t="s">
        <v>809</v>
      </c>
      <c r="E260">
        <v>12</v>
      </c>
      <c r="F260" t="s">
        <v>824</v>
      </c>
      <c r="G260" t="s">
        <v>851</v>
      </c>
      <c r="H260">
        <v>6962</v>
      </c>
      <c r="I260" t="s">
        <v>832</v>
      </c>
      <c r="J260" t="s">
        <v>841</v>
      </c>
      <c r="K260" s="2">
        <v>45689</v>
      </c>
      <c r="L260">
        <v>2025</v>
      </c>
      <c r="M260">
        <v>83544</v>
      </c>
      <c r="N260" t="s">
        <v>857</v>
      </c>
    </row>
    <row r="261" spans="1:14" x14ac:dyDescent="0.3">
      <c r="A261" t="s">
        <v>1006</v>
      </c>
      <c r="B261" t="s">
        <v>141</v>
      </c>
      <c r="C261" t="s">
        <v>807</v>
      </c>
      <c r="D261" t="s">
        <v>820</v>
      </c>
      <c r="E261">
        <v>20</v>
      </c>
      <c r="F261" t="s">
        <v>826</v>
      </c>
      <c r="G261" t="s">
        <v>856</v>
      </c>
      <c r="H261">
        <v>1085</v>
      </c>
      <c r="I261" t="s">
        <v>832</v>
      </c>
      <c r="J261" t="s">
        <v>840</v>
      </c>
      <c r="K261" s="2">
        <v>45474</v>
      </c>
      <c r="L261">
        <v>2024</v>
      </c>
      <c r="M261">
        <v>21700</v>
      </c>
      <c r="N261" t="s">
        <v>863</v>
      </c>
    </row>
    <row r="262" spans="1:14" x14ac:dyDescent="0.3">
      <c r="A262" t="s">
        <v>1007</v>
      </c>
      <c r="B262" t="s">
        <v>142</v>
      </c>
      <c r="C262" t="s">
        <v>807</v>
      </c>
      <c r="D262" t="s">
        <v>814</v>
      </c>
      <c r="E262">
        <v>2</v>
      </c>
      <c r="F262" t="s">
        <v>829</v>
      </c>
      <c r="G262" t="s">
        <v>890</v>
      </c>
      <c r="H262">
        <v>738</v>
      </c>
      <c r="I262" t="s">
        <v>833</v>
      </c>
      <c r="J262" t="s">
        <v>840</v>
      </c>
      <c r="K262" s="2">
        <v>45017</v>
      </c>
      <c r="L262">
        <v>2023</v>
      </c>
      <c r="M262">
        <v>1476</v>
      </c>
      <c r="N262" t="s">
        <v>868</v>
      </c>
    </row>
    <row r="263" spans="1:14" x14ac:dyDescent="0.3">
      <c r="A263" t="s">
        <v>1008</v>
      </c>
      <c r="B263" t="s">
        <v>143</v>
      </c>
      <c r="C263" t="s">
        <v>807</v>
      </c>
      <c r="D263" t="s">
        <v>814</v>
      </c>
      <c r="E263">
        <v>2</v>
      </c>
      <c r="F263" t="s">
        <v>826</v>
      </c>
      <c r="G263" t="s">
        <v>856</v>
      </c>
      <c r="H263">
        <v>738</v>
      </c>
      <c r="I263" t="s">
        <v>833</v>
      </c>
      <c r="J263" t="s">
        <v>840</v>
      </c>
      <c r="K263" s="2">
        <v>44166</v>
      </c>
      <c r="L263">
        <v>2020</v>
      </c>
      <c r="M263">
        <v>1476</v>
      </c>
      <c r="N263" t="s">
        <v>868</v>
      </c>
    </row>
    <row r="264" spans="1:14" x14ac:dyDescent="0.3">
      <c r="A264" t="s">
        <v>1009</v>
      </c>
      <c r="B264" t="s">
        <v>144</v>
      </c>
      <c r="C264" t="s">
        <v>807</v>
      </c>
      <c r="D264" t="s">
        <v>814</v>
      </c>
      <c r="E264">
        <v>2</v>
      </c>
      <c r="F264" t="s">
        <v>829</v>
      </c>
      <c r="G264" t="s">
        <v>890</v>
      </c>
      <c r="H264">
        <v>738</v>
      </c>
      <c r="I264" t="s">
        <v>833</v>
      </c>
      <c r="J264" t="s">
        <v>840</v>
      </c>
      <c r="K264" s="2">
        <v>45413</v>
      </c>
      <c r="L264">
        <v>2024</v>
      </c>
      <c r="M264">
        <v>1476</v>
      </c>
      <c r="N264" t="s">
        <v>868</v>
      </c>
    </row>
    <row r="265" spans="1:14" x14ac:dyDescent="0.3">
      <c r="A265" t="s">
        <v>1010</v>
      </c>
      <c r="B265" t="s">
        <v>145</v>
      </c>
      <c r="C265" t="s">
        <v>807</v>
      </c>
      <c r="D265" t="s">
        <v>814</v>
      </c>
      <c r="E265">
        <v>2</v>
      </c>
      <c r="F265" t="s">
        <v>826</v>
      </c>
      <c r="G265" t="s">
        <v>865</v>
      </c>
      <c r="H265">
        <v>738</v>
      </c>
      <c r="I265" t="s">
        <v>833</v>
      </c>
      <c r="J265" t="s">
        <v>840</v>
      </c>
      <c r="K265" s="2">
        <v>44562</v>
      </c>
      <c r="L265">
        <v>2022</v>
      </c>
      <c r="M265">
        <v>1476</v>
      </c>
      <c r="N265" t="s">
        <v>868</v>
      </c>
    </row>
    <row r="266" spans="1:14" x14ac:dyDescent="0.3">
      <c r="A266" t="s">
        <v>1011</v>
      </c>
      <c r="B266" t="s">
        <v>146</v>
      </c>
      <c r="C266" t="s">
        <v>805</v>
      </c>
      <c r="D266" t="s">
        <v>809</v>
      </c>
      <c r="E266">
        <v>17</v>
      </c>
      <c r="F266" t="s">
        <v>829</v>
      </c>
      <c r="G266" t="s">
        <v>886</v>
      </c>
      <c r="H266">
        <v>1366</v>
      </c>
      <c r="I266" t="s">
        <v>834</v>
      </c>
      <c r="J266" t="s">
        <v>840</v>
      </c>
      <c r="K266" s="2">
        <v>45170</v>
      </c>
      <c r="L266">
        <v>2023</v>
      </c>
      <c r="M266">
        <v>23222</v>
      </c>
      <c r="N266" t="s">
        <v>863</v>
      </c>
    </row>
    <row r="267" spans="1:14" x14ac:dyDescent="0.3">
      <c r="A267" t="s">
        <v>1011</v>
      </c>
      <c r="B267" t="s">
        <v>146</v>
      </c>
      <c r="C267" t="s">
        <v>806</v>
      </c>
      <c r="D267" t="s">
        <v>815</v>
      </c>
      <c r="E267">
        <v>13</v>
      </c>
      <c r="F267" t="s">
        <v>829</v>
      </c>
      <c r="G267" t="s">
        <v>886</v>
      </c>
      <c r="H267">
        <v>1518</v>
      </c>
      <c r="I267" t="s">
        <v>835</v>
      </c>
      <c r="J267" t="s">
        <v>840</v>
      </c>
      <c r="K267" s="2">
        <v>45170</v>
      </c>
      <c r="L267">
        <v>2023</v>
      </c>
      <c r="M267">
        <v>19734</v>
      </c>
      <c r="N267" t="s">
        <v>857</v>
      </c>
    </row>
    <row r="268" spans="1:14" x14ac:dyDescent="0.3">
      <c r="A268" t="s">
        <v>1012</v>
      </c>
      <c r="B268" t="s">
        <v>147</v>
      </c>
      <c r="C268" t="s">
        <v>805</v>
      </c>
      <c r="D268" t="s">
        <v>819</v>
      </c>
      <c r="E268">
        <v>1</v>
      </c>
      <c r="F268" t="s">
        <v>826</v>
      </c>
      <c r="G268" t="s">
        <v>856</v>
      </c>
      <c r="H268">
        <v>2962</v>
      </c>
      <c r="I268" t="s">
        <v>836</v>
      </c>
      <c r="J268" t="s">
        <v>842</v>
      </c>
      <c r="K268" s="2">
        <v>44317</v>
      </c>
      <c r="L268">
        <v>2021</v>
      </c>
      <c r="M268">
        <v>2962</v>
      </c>
      <c r="N268" t="s">
        <v>868</v>
      </c>
    </row>
    <row r="269" spans="1:14" x14ac:dyDescent="0.3">
      <c r="A269" t="s">
        <v>1013</v>
      </c>
      <c r="B269" t="s">
        <v>148</v>
      </c>
      <c r="C269" t="s">
        <v>805</v>
      </c>
      <c r="D269" t="s">
        <v>819</v>
      </c>
      <c r="E269">
        <v>1</v>
      </c>
      <c r="F269" t="s">
        <v>824</v>
      </c>
      <c r="G269" t="s">
        <v>910</v>
      </c>
      <c r="H269">
        <v>2962</v>
      </c>
      <c r="I269" t="s">
        <v>836</v>
      </c>
      <c r="J269" t="s">
        <v>842</v>
      </c>
      <c r="K269" s="2">
        <v>45170</v>
      </c>
      <c r="L269">
        <v>2023</v>
      </c>
      <c r="M269">
        <v>2962</v>
      </c>
      <c r="N269" t="s">
        <v>868</v>
      </c>
    </row>
    <row r="270" spans="1:14" x14ac:dyDescent="0.3">
      <c r="A270" t="s">
        <v>1012</v>
      </c>
      <c r="B270" t="s">
        <v>147</v>
      </c>
      <c r="C270" t="s">
        <v>805</v>
      </c>
      <c r="D270" t="s">
        <v>810</v>
      </c>
      <c r="E270">
        <v>12</v>
      </c>
      <c r="F270" t="s">
        <v>826</v>
      </c>
      <c r="G270" t="s">
        <v>856</v>
      </c>
      <c r="H270">
        <v>7131</v>
      </c>
      <c r="I270" t="s">
        <v>832</v>
      </c>
      <c r="J270" t="s">
        <v>841</v>
      </c>
      <c r="K270" s="2">
        <v>44317</v>
      </c>
      <c r="L270">
        <v>2021</v>
      </c>
      <c r="M270">
        <v>85572</v>
      </c>
      <c r="N270" t="s">
        <v>857</v>
      </c>
    </row>
    <row r="271" spans="1:14" x14ac:dyDescent="0.3">
      <c r="A271" t="s">
        <v>1013</v>
      </c>
      <c r="B271" t="s">
        <v>148</v>
      </c>
      <c r="C271" t="s">
        <v>805</v>
      </c>
      <c r="D271" t="s">
        <v>810</v>
      </c>
      <c r="E271">
        <v>12</v>
      </c>
      <c r="F271" t="s">
        <v>824</v>
      </c>
      <c r="G271" t="s">
        <v>910</v>
      </c>
      <c r="H271">
        <v>7131</v>
      </c>
      <c r="I271" t="s">
        <v>832</v>
      </c>
      <c r="J271" t="s">
        <v>841</v>
      </c>
      <c r="K271" s="2">
        <v>45170</v>
      </c>
      <c r="L271">
        <v>2023</v>
      </c>
      <c r="M271">
        <v>85572</v>
      </c>
      <c r="N271" t="s">
        <v>857</v>
      </c>
    </row>
    <row r="272" spans="1:14" x14ac:dyDescent="0.3">
      <c r="A272" t="s">
        <v>1012</v>
      </c>
      <c r="B272" t="s">
        <v>147</v>
      </c>
      <c r="C272" t="s">
        <v>806</v>
      </c>
      <c r="D272" t="s">
        <v>815</v>
      </c>
      <c r="E272">
        <v>10</v>
      </c>
      <c r="F272" t="s">
        <v>826</v>
      </c>
      <c r="G272" t="s">
        <v>856</v>
      </c>
      <c r="H272">
        <v>4200</v>
      </c>
      <c r="I272" t="s">
        <v>834</v>
      </c>
      <c r="J272" t="s">
        <v>844</v>
      </c>
      <c r="K272" s="2">
        <v>44317</v>
      </c>
      <c r="L272">
        <v>2021</v>
      </c>
      <c r="M272">
        <v>42000</v>
      </c>
      <c r="N272" t="s">
        <v>857</v>
      </c>
    </row>
    <row r="273" spans="1:14" x14ac:dyDescent="0.3">
      <c r="A273" t="s">
        <v>1013</v>
      </c>
      <c r="B273" t="s">
        <v>148</v>
      </c>
      <c r="C273" t="s">
        <v>806</v>
      </c>
      <c r="D273" t="s">
        <v>815</v>
      </c>
      <c r="E273">
        <v>10</v>
      </c>
      <c r="F273" t="s">
        <v>824</v>
      </c>
      <c r="G273" t="s">
        <v>910</v>
      </c>
      <c r="H273">
        <v>4200</v>
      </c>
      <c r="I273" t="s">
        <v>834</v>
      </c>
      <c r="J273" t="s">
        <v>844</v>
      </c>
      <c r="K273" s="2">
        <v>45170</v>
      </c>
      <c r="L273">
        <v>2023</v>
      </c>
      <c r="M273">
        <v>42000</v>
      </c>
      <c r="N273" t="s">
        <v>857</v>
      </c>
    </row>
    <row r="274" spans="1:14" x14ac:dyDescent="0.3">
      <c r="A274" t="s">
        <v>1014</v>
      </c>
      <c r="B274" t="s">
        <v>149</v>
      </c>
      <c r="C274" t="s">
        <v>806</v>
      </c>
      <c r="D274" t="s">
        <v>815</v>
      </c>
      <c r="E274">
        <v>2</v>
      </c>
      <c r="F274" t="s">
        <v>825</v>
      </c>
      <c r="G274" t="s">
        <v>921</v>
      </c>
      <c r="H274">
        <v>5934</v>
      </c>
      <c r="I274" t="s">
        <v>834</v>
      </c>
      <c r="J274" t="s">
        <v>844</v>
      </c>
      <c r="K274" s="2">
        <v>45536</v>
      </c>
      <c r="L274">
        <v>2024</v>
      </c>
      <c r="M274">
        <v>11868</v>
      </c>
      <c r="N274" t="s">
        <v>868</v>
      </c>
    </row>
    <row r="275" spans="1:14" x14ac:dyDescent="0.3">
      <c r="A275" t="s">
        <v>1015</v>
      </c>
      <c r="B275" t="s">
        <v>150</v>
      </c>
      <c r="C275" t="s">
        <v>805</v>
      </c>
      <c r="D275" t="s">
        <v>810</v>
      </c>
      <c r="E275">
        <v>11</v>
      </c>
      <c r="F275" t="s">
        <v>826</v>
      </c>
      <c r="G275" t="s">
        <v>865</v>
      </c>
      <c r="H275">
        <v>2701</v>
      </c>
      <c r="I275" t="s">
        <v>832</v>
      </c>
      <c r="J275" t="s">
        <v>842</v>
      </c>
      <c r="K275" s="2">
        <v>44713</v>
      </c>
      <c r="L275">
        <v>2022</v>
      </c>
      <c r="M275">
        <v>29711</v>
      </c>
      <c r="N275" t="s">
        <v>857</v>
      </c>
    </row>
    <row r="276" spans="1:14" x14ac:dyDescent="0.3">
      <c r="A276" t="s">
        <v>1015</v>
      </c>
      <c r="B276" t="s">
        <v>150</v>
      </c>
      <c r="C276" t="s">
        <v>806</v>
      </c>
      <c r="D276" t="s">
        <v>817</v>
      </c>
      <c r="E276">
        <v>18</v>
      </c>
      <c r="F276" t="s">
        <v>826</v>
      </c>
      <c r="G276" t="s">
        <v>865</v>
      </c>
      <c r="H276">
        <v>7273</v>
      </c>
      <c r="I276" t="s">
        <v>836</v>
      </c>
      <c r="J276" t="s">
        <v>841</v>
      </c>
      <c r="K276" s="2">
        <v>44713</v>
      </c>
      <c r="L276">
        <v>2022</v>
      </c>
      <c r="M276">
        <v>130914</v>
      </c>
      <c r="N276" t="s">
        <v>863</v>
      </c>
    </row>
    <row r="277" spans="1:14" x14ac:dyDescent="0.3">
      <c r="A277" t="s">
        <v>1016</v>
      </c>
      <c r="B277" t="s">
        <v>151</v>
      </c>
      <c r="C277" t="s">
        <v>806</v>
      </c>
      <c r="D277" t="s">
        <v>815</v>
      </c>
      <c r="E277">
        <v>18</v>
      </c>
      <c r="F277" t="s">
        <v>827</v>
      </c>
      <c r="G277" t="s">
        <v>883</v>
      </c>
      <c r="H277">
        <v>2465</v>
      </c>
      <c r="I277" t="s">
        <v>833</v>
      </c>
      <c r="J277" t="s">
        <v>842</v>
      </c>
      <c r="K277" s="2">
        <v>43952</v>
      </c>
      <c r="L277">
        <v>2020</v>
      </c>
      <c r="M277">
        <v>44370</v>
      </c>
      <c r="N277" t="s">
        <v>863</v>
      </c>
    </row>
    <row r="278" spans="1:14" x14ac:dyDescent="0.3">
      <c r="A278" t="s">
        <v>1017</v>
      </c>
      <c r="B278" t="s">
        <v>152</v>
      </c>
      <c r="C278" t="s">
        <v>806</v>
      </c>
      <c r="D278" t="s">
        <v>815</v>
      </c>
      <c r="E278">
        <v>2</v>
      </c>
      <c r="F278" t="s">
        <v>828</v>
      </c>
      <c r="G278" t="s">
        <v>874</v>
      </c>
      <c r="H278">
        <v>3479</v>
      </c>
      <c r="I278" t="s">
        <v>834</v>
      </c>
      <c r="J278" t="s">
        <v>842</v>
      </c>
      <c r="K278" s="2">
        <v>45566</v>
      </c>
      <c r="L278">
        <v>2024</v>
      </c>
      <c r="M278">
        <v>6958</v>
      </c>
      <c r="N278" t="s">
        <v>868</v>
      </c>
    </row>
    <row r="279" spans="1:14" x14ac:dyDescent="0.3">
      <c r="A279" t="s">
        <v>1017</v>
      </c>
      <c r="B279" t="s">
        <v>152</v>
      </c>
      <c r="C279" t="s">
        <v>805</v>
      </c>
      <c r="D279" t="s">
        <v>810</v>
      </c>
      <c r="E279">
        <v>7</v>
      </c>
      <c r="F279" t="s">
        <v>828</v>
      </c>
      <c r="G279" t="s">
        <v>874</v>
      </c>
      <c r="H279">
        <v>5457</v>
      </c>
      <c r="I279" t="s">
        <v>834</v>
      </c>
      <c r="J279" t="s">
        <v>844</v>
      </c>
      <c r="K279" s="2">
        <v>45566</v>
      </c>
      <c r="L279">
        <v>2024</v>
      </c>
      <c r="M279">
        <v>38199</v>
      </c>
      <c r="N279" t="s">
        <v>852</v>
      </c>
    </row>
    <row r="280" spans="1:14" x14ac:dyDescent="0.3">
      <c r="A280" t="s">
        <v>1018</v>
      </c>
      <c r="B280" t="s">
        <v>153</v>
      </c>
      <c r="C280" t="s">
        <v>806</v>
      </c>
      <c r="D280" t="s">
        <v>815</v>
      </c>
      <c r="E280">
        <v>8</v>
      </c>
      <c r="F280" t="s">
        <v>829</v>
      </c>
      <c r="G280" t="s">
        <v>894</v>
      </c>
      <c r="H280">
        <v>4957</v>
      </c>
      <c r="I280" t="s">
        <v>835</v>
      </c>
      <c r="J280" t="s">
        <v>844</v>
      </c>
      <c r="K280" s="2">
        <v>44621</v>
      </c>
      <c r="L280">
        <v>2022</v>
      </c>
      <c r="M280">
        <v>39656</v>
      </c>
      <c r="N280" t="s">
        <v>852</v>
      </c>
    </row>
    <row r="281" spans="1:14" x14ac:dyDescent="0.3">
      <c r="A281" t="s">
        <v>1019</v>
      </c>
      <c r="B281" t="s">
        <v>154</v>
      </c>
      <c r="C281" t="s">
        <v>806</v>
      </c>
      <c r="D281" t="s">
        <v>811</v>
      </c>
      <c r="E281">
        <v>17</v>
      </c>
      <c r="F281" t="s">
        <v>829</v>
      </c>
      <c r="G281" t="s">
        <v>886</v>
      </c>
      <c r="H281">
        <v>4404</v>
      </c>
      <c r="I281" t="s">
        <v>833</v>
      </c>
      <c r="J281" t="s">
        <v>844</v>
      </c>
      <c r="K281" s="2">
        <v>45352</v>
      </c>
      <c r="L281">
        <v>2024</v>
      </c>
      <c r="M281">
        <v>74868</v>
      </c>
      <c r="N281" t="s">
        <v>863</v>
      </c>
    </row>
    <row r="282" spans="1:14" x14ac:dyDescent="0.3">
      <c r="A282" t="s">
        <v>1019</v>
      </c>
      <c r="B282" t="s">
        <v>154</v>
      </c>
      <c r="C282" t="s">
        <v>807</v>
      </c>
      <c r="D282" t="s">
        <v>816</v>
      </c>
      <c r="E282">
        <v>15</v>
      </c>
      <c r="F282" t="s">
        <v>829</v>
      </c>
      <c r="G282" t="s">
        <v>886</v>
      </c>
      <c r="H282">
        <v>8776</v>
      </c>
      <c r="I282" t="s">
        <v>835</v>
      </c>
      <c r="J282" t="s">
        <v>843</v>
      </c>
      <c r="K282" s="2">
        <v>45352</v>
      </c>
      <c r="L282">
        <v>2024</v>
      </c>
      <c r="M282">
        <v>131640</v>
      </c>
      <c r="N282" t="s">
        <v>863</v>
      </c>
    </row>
    <row r="283" spans="1:14" x14ac:dyDescent="0.3">
      <c r="A283" t="s">
        <v>1020</v>
      </c>
      <c r="B283" t="s">
        <v>155</v>
      </c>
      <c r="C283" t="s">
        <v>805</v>
      </c>
      <c r="D283" t="s">
        <v>819</v>
      </c>
      <c r="E283">
        <v>9</v>
      </c>
      <c r="F283" t="s">
        <v>824</v>
      </c>
      <c r="G283" t="s">
        <v>859</v>
      </c>
      <c r="H283">
        <v>9536</v>
      </c>
      <c r="I283" t="s">
        <v>832</v>
      </c>
      <c r="J283" t="s">
        <v>843</v>
      </c>
      <c r="K283" s="2">
        <v>43922</v>
      </c>
      <c r="L283">
        <v>2020</v>
      </c>
      <c r="M283">
        <v>85824</v>
      </c>
      <c r="N283" t="s">
        <v>852</v>
      </c>
    </row>
    <row r="284" spans="1:14" x14ac:dyDescent="0.3">
      <c r="A284" t="s">
        <v>1020</v>
      </c>
      <c r="B284" t="s">
        <v>155</v>
      </c>
      <c r="C284" t="s">
        <v>807</v>
      </c>
      <c r="D284" t="s">
        <v>816</v>
      </c>
      <c r="E284">
        <v>7</v>
      </c>
      <c r="F284" t="s">
        <v>824</v>
      </c>
      <c r="G284" t="s">
        <v>859</v>
      </c>
      <c r="H284">
        <v>2225</v>
      </c>
      <c r="I284" t="s">
        <v>835</v>
      </c>
      <c r="J284" t="s">
        <v>842</v>
      </c>
      <c r="K284" s="2">
        <v>43922</v>
      </c>
      <c r="L284">
        <v>2020</v>
      </c>
      <c r="M284">
        <v>15575</v>
      </c>
      <c r="N284" t="s">
        <v>852</v>
      </c>
    </row>
    <row r="285" spans="1:14" x14ac:dyDescent="0.3">
      <c r="A285" t="s">
        <v>1021</v>
      </c>
      <c r="B285" t="s">
        <v>156</v>
      </c>
      <c r="C285" t="s">
        <v>807</v>
      </c>
      <c r="D285" t="s">
        <v>820</v>
      </c>
      <c r="E285">
        <v>19</v>
      </c>
      <c r="F285" t="s">
        <v>827</v>
      </c>
      <c r="G285" t="s">
        <v>883</v>
      </c>
      <c r="H285">
        <v>9574</v>
      </c>
      <c r="I285" t="s">
        <v>832</v>
      </c>
      <c r="J285" t="s">
        <v>843</v>
      </c>
      <c r="K285" s="2">
        <v>45352</v>
      </c>
      <c r="L285">
        <v>2024</v>
      </c>
      <c r="M285">
        <v>181906</v>
      </c>
      <c r="N285" t="s">
        <v>863</v>
      </c>
    </row>
    <row r="286" spans="1:14" x14ac:dyDescent="0.3">
      <c r="A286" t="s">
        <v>1021</v>
      </c>
      <c r="B286" t="s">
        <v>156</v>
      </c>
      <c r="C286" t="s">
        <v>805</v>
      </c>
      <c r="D286" t="s">
        <v>809</v>
      </c>
      <c r="E286">
        <v>17</v>
      </c>
      <c r="F286" t="s">
        <v>827</v>
      </c>
      <c r="G286" t="s">
        <v>883</v>
      </c>
      <c r="H286">
        <v>4382</v>
      </c>
      <c r="I286" t="s">
        <v>836</v>
      </c>
      <c r="J286" t="s">
        <v>844</v>
      </c>
      <c r="K286" s="2">
        <v>45352</v>
      </c>
      <c r="L286">
        <v>2024</v>
      </c>
      <c r="M286">
        <v>74494</v>
      </c>
      <c r="N286" t="s">
        <v>863</v>
      </c>
    </row>
    <row r="287" spans="1:14" x14ac:dyDescent="0.3">
      <c r="A287" t="s">
        <v>1022</v>
      </c>
      <c r="B287" t="s">
        <v>157</v>
      </c>
      <c r="C287" t="s">
        <v>805</v>
      </c>
      <c r="D287" t="s">
        <v>812</v>
      </c>
      <c r="E287">
        <v>19</v>
      </c>
      <c r="F287" t="s">
        <v>829</v>
      </c>
      <c r="G287" t="s">
        <v>890</v>
      </c>
      <c r="H287">
        <v>8200</v>
      </c>
      <c r="I287" t="s">
        <v>836</v>
      </c>
      <c r="J287" t="s">
        <v>843</v>
      </c>
      <c r="K287" s="2">
        <v>44986</v>
      </c>
      <c r="L287">
        <v>2023</v>
      </c>
      <c r="M287">
        <v>155800</v>
      </c>
      <c r="N287" t="s">
        <v>863</v>
      </c>
    </row>
    <row r="288" spans="1:14" x14ac:dyDescent="0.3">
      <c r="A288" t="s">
        <v>1022</v>
      </c>
      <c r="B288" t="s">
        <v>157</v>
      </c>
      <c r="C288" t="s">
        <v>807</v>
      </c>
      <c r="D288" t="s">
        <v>816</v>
      </c>
      <c r="E288">
        <v>13</v>
      </c>
      <c r="F288" t="s">
        <v>829</v>
      </c>
      <c r="G288" t="s">
        <v>890</v>
      </c>
      <c r="H288">
        <v>9316</v>
      </c>
      <c r="I288" t="s">
        <v>835</v>
      </c>
      <c r="J288" t="s">
        <v>843</v>
      </c>
      <c r="K288" s="2">
        <v>44986</v>
      </c>
      <c r="L288">
        <v>2023</v>
      </c>
      <c r="M288">
        <v>121108</v>
      </c>
      <c r="N288" t="s">
        <v>857</v>
      </c>
    </row>
    <row r="289" spans="1:14" x14ac:dyDescent="0.3">
      <c r="A289" t="s">
        <v>1022</v>
      </c>
      <c r="B289" t="s">
        <v>157</v>
      </c>
      <c r="C289" t="s">
        <v>805</v>
      </c>
      <c r="D289" t="s">
        <v>809</v>
      </c>
      <c r="E289">
        <v>15</v>
      </c>
      <c r="F289" t="s">
        <v>829</v>
      </c>
      <c r="G289" t="s">
        <v>890</v>
      </c>
      <c r="H289">
        <v>6379</v>
      </c>
      <c r="I289" t="s">
        <v>836</v>
      </c>
      <c r="J289" t="s">
        <v>841</v>
      </c>
      <c r="K289" s="2">
        <v>44986</v>
      </c>
      <c r="L289">
        <v>2023</v>
      </c>
      <c r="M289">
        <v>95685</v>
      </c>
      <c r="N289" t="s">
        <v>863</v>
      </c>
    </row>
    <row r="290" spans="1:14" x14ac:dyDescent="0.3">
      <c r="A290" t="s">
        <v>1023</v>
      </c>
      <c r="B290" t="s">
        <v>158</v>
      </c>
      <c r="C290" t="s">
        <v>806</v>
      </c>
      <c r="D290" t="s">
        <v>815</v>
      </c>
      <c r="E290">
        <v>5</v>
      </c>
      <c r="F290" t="s">
        <v>829</v>
      </c>
      <c r="G290" t="s">
        <v>894</v>
      </c>
      <c r="H290">
        <v>3348</v>
      </c>
      <c r="I290" t="s">
        <v>835</v>
      </c>
      <c r="J290" t="s">
        <v>842</v>
      </c>
      <c r="K290" s="2">
        <v>45352</v>
      </c>
      <c r="L290">
        <v>2024</v>
      </c>
      <c r="M290">
        <v>16740</v>
      </c>
      <c r="N290" t="s">
        <v>852</v>
      </c>
    </row>
    <row r="291" spans="1:14" x14ac:dyDescent="0.3">
      <c r="A291" t="s">
        <v>1024</v>
      </c>
      <c r="B291" t="s">
        <v>159</v>
      </c>
      <c r="C291" t="s">
        <v>806</v>
      </c>
      <c r="D291" t="s">
        <v>815</v>
      </c>
      <c r="E291">
        <v>5</v>
      </c>
      <c r="F291" t="s">
        <v>826</v>
      </c>
      <c r="G291" t="s">
        <v>872</v>
      </c>
      <c r="H291">
        <v>3348</v>
      </c>
      <c r="I291" t="s">
        <v>835</v>
      </c>
      <c r="J291" t="s">
        <v>842</v>
      </c>
      <c r="K291" s="2">
        <v>44287</v>
      </c>
      <c r="L291">
        <v>2021</v>
      </c>
      <c r="M291">
        <v>16740</v>
      </c>
      <c r="N291" t="s">
        <v>852</v>
      </c>
    </row>
    <row r="292" spans="1:14" x14ac:dyDescent="0.3">
      <c r="A292" t="s">
        <v>1023</v>
      </c>
      <c r="B292" t="s">
        <v>158</v>
      </c>
      <c r="C292" t="s">
        <v>806</v>
      </c>
      <c r="D292" t="s">
        <v>811</v>
      </c>
      <c r="E292">
        <v>9</v>
      </c>
      <c r="F292" t="s">
        <v>829</v>
      </c>
      <c r="G292" t="s">
        <v>894</v>
      </c>
      <c r="H292">
        <v>8856</v>
      </c>
      <c r="I292" t="s">
        <v>833</v>
      </c>
      <c r="J292" t="s">
        <v>843</v>
      </c>
      <c r="K292" s="2">
        <v>45352</v>
      </c>
      <c r="L292">
        <v>2024</v>
      </c>
      <c r="M292">
        <v>79704</v>
      </c>
      <c r="N292" t="s">
        <v>852</v>
      </c>
    </row>
    <row r="293" spans="1:14" x14ac:dyDescent="0.3">
      <c r="A293" t="s">
        <v>1024</v>
      </c>
      <c r="B293" t="s">
        <v>159</v>
      </c>
      <c r="C293" t="s">
        <v>806</v>
      </c>
      <c r="D293" t="s">
        <v>811</v>
      </c>
      <c r="E293">
        <v>9</v>
      </c>
      <c r="F293" t="s">
        <v>826</v>
      </c>
      <c r="G293" t="s">
        <v>872</v>
      </c>
      <c r="H293">
        <v>8856</v>
      </c>
      <c r="I293" t="s">
        <v>833</v>
      </c>
      <c r="J293" t="s">
        <v>843</v>
      </c>
      <c r="K293" s="2">
        <v>44287</v>
      </c>
      <c r="L293">
        <v>2021</v>
      </c>
      <c r="M293">
        <v>79704</v>
      </c>
      <c r="N293" t="s">
        <v>852</v>
      </c>
    </row>
    <row r="294" spans="1:14" x14ac:dyDescent="0.3">
      <c r="A294" t="s">
        <v>1025</v>
      </c>
      <c r="B294" t="s">
        <v>160</v>
      </c>
      <c r="C294" t="s">
        <v>807</v>
      </c>
      <c r="D294" t="s">
        <v>816</v>
      </c>
      <c r="E294">
        <v>16</v>
      </c>
      <c r="F294" t="s">
        <v>829</v>
      </c>
      <c r="G294" t="s">
        <v>886</v>
      </c>
      <c r="H294">
        <v>1760</v>
      </c>
      <c r="I294" t="s">
        <v>833</v>
      </c>
      <c r="J294" t="s">
        <v>840</v>
      </c>
      <c r="K294" s="2">
        <v>44440</v>
      </c>
      <c r="L294">
        <v>2021</v>
      </c>
      <c r="M294">
        <v>28160</v>
      </c>
      <c r="N294" t="s">
        <v>863</v>
      </c>
    </row>
    <row r="295" spans="1:14" x14ac:dyDescent="0.3">
      <c r="A295" t="s">
        <v>1026</v>
      </c>
      <c r="B295" t="s">
        <v>161</v>
      </c>
      <c r="C295" t="s">
        <v>807</v>
      </c>
      <c r="D295" t="s">
        <v>816</v>
      </c>
      <c r="E295">
        <v>16</v>
      </c>
      <c r="F295" t="s">
        <v>828</v>
      </c>
      <c r="G295" t="s">
        <v>904</v>
      </c>
      <c r="H295">
        <v>1760</v>
      </c>
      <c r="I295" t="s">
        <v>833</v>
      </c>
      <c r="J295" t="s">
        <v>840</v>
      </c>
      <c r="K295" s="2">
        <v>44927</v>
      </c>
      <c r="L295">
        <v>2023</v>
      </c>
      <c r="M295">
        <v>28160</v>
      </c>
      <c r="N295" t="s">
        <v>863</v>
      </c>
    </row>
    <row r="296" spans="1:14" x14ac:dyDescent="0.3">
      <c r="A296" t="s">
        <v>1025</v>
      </c>
      <c r="B296" t="s">
        <v>160</v>
      </c>
      <c r="C296" t="s">
        <v>805</v>
      </c>
      <c r="D296" t="s">
        <v>810</v>
      </c>
      <c r="E296">
        <v>15</v>
      </c>
      <c r="F296" t="s">
        <v>829</v>
      </c>
      <c r="G296" t="s">
        <v>886</v>
      </c>
      <c r="H296">
        <v>6351</v>
      </c>
      <c r="I296" t="s">
        <v>832</v>
      </c>
      <c r="J296" t="s">
        <v>841</v>
      </c>
      <c r="K296" s="2">
        <v>44440</v>
      </c>
      <c r="L296">
        <v>2021</v>
      </c>
      <c r="M296">
        <v>95265</v>
      </c>
      <c r="N296" t="s">
        <v>863</v>
      </c>
    </row>
    <row r="297" spans="1:14" x14ac:dyDescent="0.3">
      <c r="A297" t="s">
        <v>1026</v>
      </c>
      <c r="B297" t="s">
        <v>161</v>
      </c>
      <c r="C297" t="s">
        <v>805</v>
      </c>
      <c r="D297" t="s">
        <v>810</v>
      </c>
      <c r="E297">
        <v>15</v>
      </c>
      <c r="F297" t="s">
        <v>828</v>
      </c>
      <c r="G297" t="s">
        <v>904</v>
      </c>
      <c r="H297">
        <v>6351</v>
      </c>
      <c r="I297" t="s">
        <v>832</v>
      </c>
      <c r="J297" t="s">
        <v>841</v>
      </c>
      <c r="K297" s="2">
        <v>44927</v>
      </c>
      <c r="L297">
        <v>2023</v>
      </c>
      <c r="M297">
        <v>95265</v>
      </c>
      <c r="N297" t="s">
        <v>863</v>
      </c>
    </row>
    <row r="298" spans="1:14" x14ac:dyDescent="0.3">
      <c r="A298" t="s">
        <v>1027</v>
      </c>
      <c r="B298" t="s">
        <v>162</v>
      </c>
      <c r="C298" t="s">
        <v>806</v>
      </c>
      <c r="D298" t="s">
        <v>817</v>
      </c>
      <c r="E298">
        <v>14</v>
      </c>
      <c r="F298" t="s">
        <v>826</v>
      </c>
      <c r="G298" t="s">
        <v>865</v>
      </c>
      <c r="H298">
        <v>869</v>
      </c>
      <c r="I298" t="s">
        <v>835</v>
      </c>
      <c r="J298" t="s">
        <v>840</v>
      </c>
      <c r="K298" s="2">
        <v>44378</v>
      </c>
      <c r="L298">
        <v>2021</v>
      </c>
      <c r="M298">
        <v>12166</v>
      </c>
      <c r="N298" t="s">
        <v>857</v>
      </c>
    </row>
    <row r="299" spans="1:14" x14ac:dyDescent="0.3">
      <c r="A299" t="s">
        <v>1028</v>
      </c>
      <c r="B299" t="s">
        <v>163</v>
      </c>
      <c r="C299" t="s">
        <v>806</v>
      </c>
      <c r="D299" t="s">
        <v>817</v>
      </c>
      <c r="E299">
        <v>14</v>
      </c>
      <c r="F299" t="s">
        <v>829</v>
      </c>
      <c r="G299" t="s">
        <v>894</v>
      </c>
      <c r="H299">
        <v>869</v>
      </c>
      <c r="I299" t="s">
        <v>835</v>
      </c>
      <c r="J299" t="s">
        <v>840</v>
      </c>
      <c r="K299" s="2">
        <v>43922</v>
      </c>
      <c r="L299">
        <v>2020</v>
      </c>
      <c r="M299">
        <v>12166</v>
      </c>
      <c r="N299" t="s">
        <v>857</v>
      </c>
    </row>
    <row r="300" spans="1:14" x14ac:dyDescent="0.3">
      <c r="A300" t="s">
        <v>1027</v>
      </c>
      <c r="B300" t="s">
        <v>162</v>
      </c>
      <c r="C300" t="s">
        <v>807</v>
      </c>
      <c r="D300" t="s">
        <v>820</v>
      </c>
      <c r="E300">
        <v>7</v>
      </c>
      <c r="F300" t="s">
        <v>826</v>
      </c>
      <c r="G300" t="s">
        <v>865</v>
      </c>
      <c r="H300">
        <v>1486</v>
      </c>
      <c r="I300" t="s">
        <v>832</v>
      </c>
      <c r="J300" t="s">
        <v>840</v>
      </c>
      <c r="K300" s="2">
        <v>44378</v>
      </c>
      <c r="L300">
        <v>2021</v>
      </c>
      <c r="M300">
        <v>10402</v>
      </c>
      <c r="N300" t="s">
        <v>852</v>
      </c>
    </row>
    <row r="301" spans="1:14" x14ac:dyDescent="0.3">
      <c r="A301" t="s">
        <v>1028</v>
      </c>
      <c r="B301" t="s">
        <v>163</v>
      </c>
      <c r="C301" t="s">
        <v>807</v>
      </c>
      <c r="D301" t="s">
        <v>820</v>
      </c>
      <c r="E301">
        <v>7</v>
      </c>
      <c r="F301" t="s">
        <v>829</v>
      </c>
      <c r="G301" t="s">
        <v>894</v>
      </c>
      <c r="H301">
        <v>1486</v>
      </c>
      <c r="I301" t="s">
        <v>832</v>
      </c>
      <c r="J301" t="s">
        <v>840</v>
      </c>
      <c r="K301" s="2">
        <v>43922</v>
      </c>
      <c r="L301">
        <v>2020</v>
      </c>
      <c r="M301">
        <v>10402</v>
      </c>
      <c r="N301" t="s">
        <v>852</v>
      </c>
    </row>
    <row r="302" spans="1:14" x14ac:dyDescent="0.3">
      <c r="A302" t="s">
        <v>1029</v>
      </c>
      <c r="B302" t="s">
        <v>164</v>
      </c>
      <c r="C302" t="s">
        <v>806</v>
      </c>
      <c r="D302" t="s">
        <v>818</v>
      </c>
      <c r="E302">
        <v>13</v>
      </c>
      <c r="F302" t="s">
        <v>825</v>
      </c>
      <c r="G302" t="s">
        <v>854</v>
      </c>
      <c r="H302">
        <v>2999</v>
      </c>
      <c r="I302" t="s">
        <v>836</v>
      </c>
      <c r="J302" t="s">
        <v>842</v>
      </c>
      <c r="K302" s="2">
        <v>44774</v>
      </c>
      <c r="L302">
        <v>2022</v>
      </c>
      <c r="M302">
        <v>38987</v>
      </c>
      <c r="N302" t="s">
        <v>857</v>
      </c>
    </row>
    <row r="303" spans="1:14" x14ac:dyDescent="0.3">
      <c r="A303" t="s">
        <v>1029</v>
      </c>
      <c r="B303" t="s">
        <v>164</v>
      </c>
      <c r="C303" t="s">
        <v>806</v>
      </c>
      <c r="D303" t="s">
        <v>817</v>
      </c>
      <c r="E303">
        <v>20</v>
      </c>
      <c r="F303" t="s">
        <v>825</v>
      </c>
      <c r="G303" t="s">
        <v>854</v>
      </c>
      <c r="H303">
        <v>5142</v>
      </c>
      <c r="I303" t="s">
        <v>834</v>
      </c>
      <c r="J303" t="s">
        <v>844</v>
      </c>
      <c r="K303" s="2">
        <v>44774</v>
      </c>
      <c r="L303">
        <v>2022</v>
      </c>
      <c r="M303">
        <v>102840</v>
      </c>
      <c r="N303" t="s">
        <v>863</v>
      </c>
    </row>
    <row r="304" spans="1:14" x14ac:dyDescent="0.3">
      <c r="A304" t="s">
        <v>1030</v>
      </c>
      <c r="B304" t="s">
        <v>165</v>
      </c>
      <c r="C304" t="s">
        <v>805</v>
      </c>
      <c r="D304" t="s">
        <v>812</v>
      </c>
      <c r="E304">
        <v>17</v>
      </c>
      <c r="F304" t="s">
        <v>826</v>
      </c>
      <c r="G304" t="s">
        <v>872</v>
      </c>
      <c r="H304">
        <v>1239</v>
      </c>
      <c r="I304" t="s">
        <v>832</v>
      </c>
      <c r="J304" t="s">
        <v>840</v>
      </c>
      <c r="K304" s="2">
        <v>44896</v>
      </c>
      <c r="L304">
        <v>2022</v>
      </c>
      <c r="M304">
        <v>21063</v>
      </c>
      <c r="N304" t="s">
        <v>863</v>
      </c>
    </row>
    <row r="305" spans="1:14" x14ac:dyDescent="0.3">
      <c r="A305" t="s">
        <v>1031</v>
      </c>
      <c r="B305" t="s">
        <v>166</v>
      </c>
      <c r="C305" t="s">
        <v>805</v>
      </c>
      <c r="D305" t="s">
        <v>812</v>
      </c>
      <c r="E305">
        <v>17</v>
      </c>
      <c r="F305" t="s">
        <v>825</v>
      </c>
      <c r="G305" t="s">
        <v>870</v>
      </c>
      <c r="H305">
        <v>1239</v>
      </c>
      <c r="I305" t="s">
        <v>832</v>
      </c>
      <c r="J305" t="s">
        <v>840</v>
      </c>
      <c r="K305" s="2">
        <v>44713</v>
      </c>
      <c r="L305">
        <v>2022</v>
      </c>
      <c r="M305">
        <v>21063</v>
      </c>
      <c r="N305" t="s">
        <v>863</v>
      </c>
    </row>
    <row r="306" spans="1:14" x14ac:dyDescent="0.3">
      <c r="A306" t="s">
        <v>1030</v>
      </c>
      <c r="B306" t="s">
        <v>165</v>
      </c>
      <c r="C306" t="s">
        <v>805</v>
      </c>
      <c r="D306" t="s">
        <v>809</v>
      </c>
      <c r="E306">
        <v>16</v>
      </c>
      <c r="F306" t="s">
        <v>826</v>
      </c>
      <c r="G306" t="s">
        <v>872</v>
      </c>
      <c r="H306">
        <v>1262</v>
      </c>
      <c r="I306" t="s">
        <v>834</v>
      </c>
      <c r="J306" t="s">
        <v>840</v>
      </c>
      <c r="K306" s="2">
        <v>44896</v>
      </c>
      <c r="L306">
        <v>2022</v>
      </c>
      <c r="M306">
        <v>20192</v>
      </c>
      <c r="N306" t="s">
        <v>863</v>
      </c>
    </row>
    <row r="307" spans="1:14" x14ac:dyDescent="0.3">
      <c r="A307" t="s">
        <v>1031</v>
      </c>
      <c r="B307" t="s">
        <v>166</v>
      </c>
      <c r="C307" t="s">
        <v>805</v>
      </c>
      <c r="D307" t="s">
        <v>809</v>
      </c>
      <c r="E307">
        <v>16</v>
      </c>
      <c r="F307" t="s">
        <v>825</v>
      </c>
      <c r="G307" t="s">
        <v>870</v>
      </c>
      <c r="H307">
        <v>1262</v>
      </c>
      <c r="I307" t="s">
        <v>834</v>
      </c>
      <c r="J307" t="s">
        <v>840</v>
      </c>
      <c r="K307" s="2">
        <v>44713</v>
      </c>
      <c r="L307">
        <v>2022</v>
      </c>
      <c r="M307">
        <v>20192</v>
      </c>
      <c r="N307" t="s">
        <v>863</v>
      </c>
    </row>
    <row r="308" spans="1:14" x14ac:dyDescent="0.3">
      <c r="A308" t="s">
        <v>1032</v>
      </c>
      <c r="B308" t="s">
        <v>167</v>
      </c>
      <c r="C308" t="s">
        <v>807</v>
      </c>
      <c r="D308" t="s">
        <v>820</v>
      </c>
      <c r="E308">
        <v>5</v>
      </c>
      <c r="F308" t="s">
        <v>826</v>
      </c>
      <c r="G308" t="s">
        <v>872</v>
      </c>
      <c r="H308">
        <v>1033</v>
      </c>
      <c r="I308" t="s">
        <v>836</v>
      </c>
      <c r="J308" t="s">
        <v>840</v>
      </c>
      <c r="K308" s="2">
        <v>44044</v>
      </c>
      <c r="L308">
        <v>2020</v>
      </c>
      <c r="M308">
        <v>5165</v>
      </c>
      <c r="N308" t="s">
        <v>852</v>
      </c>
    </row>
    <row r="309" spans="1:14" x14ac:dyDescent="0.3">
      <c r="A309" t="s">
        <v>1033</v>
      </c>
      <c r="B309" t="s">
        <v>168</v>
      </c>
      <c r="C309" t="s">
        <v>805</v>
      </c>
      <c r="D309" t="s">
        <v>810</v>
      </c>
      <c r="E309">
        <v>19</v>
      </c>
      <c r="F309" t="s">
        <v>827</v>
      </c>
      <c r="G309" t="s">
        <v>876</v>
      </c>
      <c r="H309">
        <v>1518</v>
      </c>
      <c r="I309" t="s">
        <v>832</v>
      </c>
      <c r="J309" t="s">
        <v>840</v>
      </c>
      <c r="K309" s="2">
        <v>44075</v>
      </c>
      <c r="L309">
        <v>2020</v>
      </c>
      <c r="M309">
        <v>28842</v>
      </c>
      <c r="N309" t="s">
        <v>863</v>
      </c>
    </row>
    <row r="310" spans="1:14" x14ac:dyDescent="0.3">
      <c r="A310" t="s">
        <v>1034</v>
      </c>
      <c r="B310" t="s">
        <v>169</v>
      </c>
      <c r="C310" t="s">
        <v>806</v>
      </c>
      <c r="D310" t="s">
        <v>817</v>
      </c>
      <c r="E310">
        <v>2</v>
      </c>
      <c r="F310" t="s">
        <v>825</v>
      </c>
      <c r="G310" t="s">
        <v>921</v>
      </c>
      <c r="H310">
        <v>8581</v>
      </c>
      <c r="I310" t="s">
        <v>833</v>
      </c>
      <c r="J310" t="s">
        <v>843</v>
      </c>
      <c r="K310" s="2">
        <v>44166</v>
      </c>
      <c r="L310">
        <v>2020</v>
      </c>
      <c r="M310">
        <v>17162</v>
      </c>
      <c r="N310" t="s">
        <v>868</v>
      </c>
    </row>
    <row r="311" spans="1:14" x14ac:dyDescent="0.3">
      <c r="A311" t="s">
        <v>1035</v>
      </c>
      <c r="B311" t="s">
        <v>170</v>
      </c>
      <c r="C311" t="s">
        <v>806</v>
      </c>
      <c r="D311" t="s">
        <v>817</v>
      </c>
      <c r="E311">
        <v>2</v>
      </c>
      <c r="F311" t="s">
        <v>824</v>
      </c>
      <c r="G311" t="s">
        <v>859</v>
      </c>
      <c r="H311">
        <v>8581</v>
      </c>
      <c r="I311" t="s">
        <v>833</v>
      </c>
      <c r="J311" t="s">
        <v>843</v>
      </c>
      <c r="K311" s="2">
        <v>44136</v>
      </c>
      <c r="L311">
        <v>2020</v>
      </c>
      <c r="M311">
        <v>17162</v>
      </c>
      <c r="N311" t="s">
        <v>868</v>
      </c>
    </row>
    <row r="312" spans="1:14" x14ac:dyDescent="0.3">
      <c r="A312" t="s">
        <v>1036</v>
      </c>
      <c r="B312" t="s">
        <v>171</v>
      </c>
      <c r="C312" t="s">
        <v>806</v>
      </c>
      <c r="D312" t="s">
        <v>811</v>
      </c>
      <c r="E312">
        <v>5</v>
      </c>
      <c r="F312" t="s">
        <v>828</v>
      </c>
      <c r="G312" t="s">
        <v>880</v>
      </c>
      <c r="H312">
        <v>1167</v>
      </c>
      <c r="I312" t="s">
        <v>832</v>
      </c>
      <c r="J312" t="s">
        <v>840</v>
      </c>
      <c r="K312" s="2">
        <v>45170</v>
      </c>
      <c r="L312">
        <v>2023</v>
      </c>
      <c r="M312">
        <v>5835</v>
      </c>
      <c r="N312" t="s">
        <v>852</v>
      </c>
    </row>
    <row r="313" spans="1:14" x14ac:dyDescent="0.3">
      <c r="A313" t="s">
        <v>1036</v>
      </c>
      <c r="B313" t="s">
        <v>171</v>
      </c>
      <c r="C313" t="s">
        <v>805</v>
      </c>
      <c r="D313" t="s">
        <v>812</v>
      </c>
      <c r="E313">
        <v>20</v>
      </c>
      <c r="F313" t="s">
        <v>828</v>
      </c>
      <c r="G313" t="s">
        <v>880</v>
      </c>
      <c r="H313">
        <v>2841</v>
      </c>
      <c r="I313" t="s">
        <v>835</v>
      </c>
      <c r="J313" t="s">
        <v>842</v>
      </c>
      <c r="K313" s="2">
        <v>45170</v>
      </c>
      <c r="L313">
        <v>2023</v>
      </c>
      <c r="M313">
        <v>56820</v>
      </c>
      <c r="N313" t="s">
        <v>863</v>
      </c>
    </row>
    <row r="314" spans="1:14" x14ac:dyDescent="0.3">
      <c r="A314" t="s">
        <v>1036</v>
      </c>
      <c r="B314" t="s">
        <v>171</v>
      </c>
      <c r="C314" t="s">
        <v>807</v>
      </c>
      <c r="D314" t="s">
        <v>813</v>
      </c>
      <c r="E314">
        <v>19</v>
      </c>
      <c r="F314" t="s">
        <v>828</v>
      </c>
      <c r="G314" t="s">
        <v>880</v>
      </c>
      <c r="H314">
        <v>5680</v>
      </c>
      <c r="I314" t="s">
        <v>832</v>
      </c>
      <c r="J314" t="s">
        <v>844</v>
      </c>
      <c r="K314" s="2">
        <v>45170</v>
      </c>
      <c r="L314">
        <v>2023</v>
      </c>
      <c r="M314">
        <v>107920</v>
      </c>
      <c r="N314" t="s">
        <v>863</v>
      </c>
    </row>
    <row r="315" spans="1:14" x14ac:dyDescent="0.3">
      <c r="A315" t="s">
        <v>1037</v>
      </c>
      <c r="B315" t="s">
        <v>172</v>
      </c>
      <c r="C315" t="s">
        <v>806</v>
      </c>
      <c r="D315" t="s">
        <v>811</v>
      </c>
      <c r="E315">
        <v>6</v>
      </c>
      <c r="F315" t="s">
        <v>825</v>
      </c>
      <c r="G315" t="s">
        <v>854</v>
      </c>
      <c r="H315">
        <v>8204</v>
      </c>
      <c r="I315" t="s">
        <v>832</v>
      </c>
      <c r="J315" t="s">
        <v>843</v>
      </c>
      <c r="K315" s="2">
        <v>43891</v>
      </c>
      <c r="L315">
        <v>2020</v>
      </c>
      <c r="M315">
        <v>49224</v>
      </c>
      <c r="N315" t="s">
        <v>852</v>
      </c>
    </row>
    <row r="316" spans="1:14" x14ac:dyDescent="0.3">
      <c r="A316" t="s">
        <v>969</v>
      </c>
      <c r="B316" t="s">
        <v>173</v>
      </c>
      <c r="C316" t="s">
        <v>806</v>
      </c>
      <c r="D316" t="s">
        <v>811</v>
      </c>
      <c r="E316">
        <v>6</v>
      </c>
      <c r="F316" t="s">
        <v>826</v>
      </c>
      <c r="G316" t="s">
        <v>856</v>
      </c>
      <c r="H316">
        <v>8204</v>
      </c>
      <c r="I316" t="s">
        <v>832</v>
      </c>
      <c r="J316" t="s">
        <v>843</v>
      </c>
      <c r="K316" s="2">
        <v>44105</v>
      </c>
      <c r="L316">
        <v>2020</v>
      </c>
      <c r="M316">
        <v>49224</v>
      </c>
      <c r="N316" t="s">
        <v>852</v>
      </c>
    </row>
    <row r="317" spans="1:14" x14ac:dyDescent="0.3">
      <c r="A317" t="s">
        <v>1037</v>
      </c>
      <c r="B317" t="s">
        <v>172</v>
      </c>
      <c r="C317" t="s">
        <v>805</v>
      </c>
      <c r="D317" t="s">
        <v>819</v>
      </c>
      <c r="E317">
        <v>6</v>
      </c>
      <c r="F317" t="s">
        <v>825</v>
      </c>
      <c r="G317" t="s">
        <v>854</v>
      </c>
      <c r="H317">
        <v>2850</v>
      </c>
      <c r="I317" t="s">
        <v>834</v>
      </c>
      <c r="J317" t="s">
        <v>842</v>
      </c>
      <c r="K317" s="2">
        <v>43891</v>
      </c>
      <c r="L317">
        <v>2020</v>
      </c>
      <c r="M317">
        <v>17100</v>
      </c>
      <c r="N317" t="s">
        <v>852</v>
      </c>
    </row>
    <row r="318" spans="1:14" x14ac:dyDescent="0.3">
      <c r="A318" t="s">
        <v>969</v>
      </c>
      <c r="B318" t="s">
        <v>173</v>
      </c>
      <c r="C318" t="s">
        <v>805</v>
      </c>
      <c r="D318" t="s">
        <v>819</v>
      </c>
      <c r="E318">
        <v>6</v>
      </c>
      <c r="F318" t="s">
        <v>826</v>
      </c>
      <c r="G318" t="s">
        <v>856</v>
      </c>
      <c r="H318">
        <v>2850</v>
      </c>
      <c r="I318" t="s">
        <v>834</v>
      </c>
      <c r="J318" t="s">
        <v>842</v>
      </c>
      <c r="K318" s="2">
        <v>44105</v>
      </c>
      <c r="L318">
        <v>2020</v>
      </c>
      <c r="M318">
        <v>17100</v>
      </c>
      <c r="N318" t="s">
        <v>852</v>
      </c>
    </row>
    <row r="319" spans="1:14" x14ac:dyDescent="0.3">
      <c r="A319" t="s">
        <v>1038</v>
      </c>
      <c r="B319" t="s">
        <v>174</v>
      </c>
      <c r="C319" t="s">
        <v>806</v>
      </c>
      <c r="D319" t="s">
        <v>811</v>
      </c>
      <c r="E319">
        <v>9</v>
      </c>
      <c r="F319" t="s">
        <v>826</v>
      </c>
      <c r="G319" t="s">
        <v>865</v>
      </c>
      <c r="H319">
        <v>907</v>
      </c>
      <c r="I319" t="s">
        <v>835</v>
      </c>
      <c r="J319" t="s">
        <v>840</v>
      </c>
      <c r="K319" s="2">
        <v>45139</v>
      </c>
      <c r="L319">
        <v>2023</v>
      </c>
      <c r="M319">
        <v>8163</v>
      </c>
      <c r="N319" t="s">
        <v>852</v>
      </c>
    </row>
    <row r="320" spans="1:14" x14ac:dyDescent="0.3">
      <c r="A320" t="s">
        <v>1039</v>
      </c>
      <c r="B320" t="s">
        <v>175</v>
      </c>
      <c r="C320" t="s">
        <v>806</v>
      </c>
      <c r="D320" t="s">
        <v>811</v>
      </c>
      <c r="E320">
        <v>19</v>
      </c>
      <c r="F320" t="s">
        <v>829</v>
      </c>
      <c r="G320" t="s">
        <v>890</v>
      </c>
      <c r="H320">
        <v>2174</v>
      </c>
      <c r="I320" t="s">
        <v>835</v>
      </c>
      <c r="J320" t="s">
        <v>842</v>
      </c>
      <c r="K320" s="2">
        <v>44652</v>
      </c>
      <c r="L320">
        <v>2022</v>
      </c>
      <c r="M320">
        <v>41306</v>
      </c>
      <c r="N320" t="s">
        <v>863</v>
      </c>
    </row>
    <row r="321" spans="1:14" x14ac:dyDescent="0.3">
      <c r="A321" t="s">
        <v>1039</v>
      </c>
      <c r="B321" t="s">
        <v>175</v>
      </c>
      <c r="C321" t="s">
        <v>805</v>
      </c>
      <c r="D321" t="s">
        <v>809</v>
      </c>
      <c r="E321">
        <v>12</v>
      </c>
      <c r="F321" t="s">
        <v>829</v>
      </c>
      <c r="G321" t="s">
        <v>890</v>
      </c>
      <c r="H321">
        <v>8541</v>
      </c>
      <c r="I321" t="s">
        <v>835</v>
      </c>
      <c r="J321" t="s">
        <v>843</v>
      </c>
      <c r="K321" s="2">
        <v>44652</v>
      </c>
      <c r="L321">
        <v>2022</v>
      </c>
      <c r="M321">
        <v>102492</v>
      </c>
      <c r="N321" t="s">
        <v>857</v>
      </c>
    </row>
    <row r="322" spans="1:14" x14ac:dyDescent="0.3">
      <c r="A322" t="s">
        <v>1039</v>
      </c>
      <c r="B322" t="s">
        <v>175</v>
      </c>
      <c r="C322" t="s">
        <v>807</v>
      </c>
      <c r="D322" t="s">
        <v>820</v>
      </c>
      <c r="E322">
        <v>3</v>
      </c>
      <c r="F322" t="s">
        <v>829</v>
      </c>
      <c r="G322" t="s">
        <v>890</v>
      </c>
      <c r="H322">
        <v>1931</v>
      </c>
      <c r="I322" t="s">
        <v>834</v>
      </c>
      <c r="J322" t="s">
        <v>840</v>
      </c>
      <c r="K322" s="2">
        <v>44652</v>
      </c>
      <c r="L322">
        <v>2022</v>
      </c>
      <c r="M322">
        <v>5793</v>
      </c>
      <c r="N322" t="s">
        <v>868</v>
      </c>
    </row>
    <row r="323" spans="1:14" x14ac:dyDescent="0.3">
      <c r="A323" t="s">
        <v>1040</v>
      </c>
      <c r="B323" t="s">
        <v>176</v>
      </c>
      <c r="C323" t="s">
        <v>805</v>
      </c>
      <c r="D323" t="s">
        <v>809</v>
      </c>
      <c r="E323">
        <v>3</v>
      </c>
      <c r="F323" t="s">
        <v>828</v>
      </c>
      <c r="G323" t="s">
        <v>880</v>
      </c>
      <c r="H323">
        <v>1281</v>
      </c>
      <c r="I323" t="s">
        <v>833</v>
      </c>
      <c r="J323" t="s">
        <v>840</v>
      </c>
      <c r="K323" s="2">
        <v>44531</v>
      </c>
      <c r="L323">
        <v>2021</v>
      </c>
      <c r="M323">
        <v>3843</v>
      </c>
      <c r="N323" t="s">
        <v>868</v>
      </c>
    </row>
    <row r="324" spans="1:14" x14ac:dyDescent="0.3">
      <c r="A324" t="s">
        <v>1040</v>
      </c>
      <c r="B324" t="s">
        <v>176</v>
      </c>
      <c r="C324" t="s">
        <v>805</v>
      </c>
      <c r="D324" t="s">
        <v>812</v>
      </c>
      <c r="E324">
        <v>15</v>
      </c>
      <c r="F324" t="s">
        <v>828</v>
      </c>
      <c r="G324" t="s">
        <v>880</v>
      </c>
      <c r="H324">
        <v>2404</v>
      </c>
      <c r="I324" t="s">
        <v>836</v>
      </c>
      <c r="J324" t="s">
        <v>842</v>
      </c>
      <c r="K324" s="2">
        <v>44531</v>
      </c>
      <c r="L324">
        <v>2021</v>
      </c>
      <c r="M324">
        <v>36060</v>
      </c>
      <c r="N324" t="s">
        <v>863</v>
      </c>
    </row>
    <row r="325" spans="1:14" x14ac:dyDescent="0.3">
      <c r="A325" t="s">
        <v>1041</v>
      </c>
      <c r="B325" t="s">
        <v>177</v>
      </c>
      <c r="C325" t="s">
        <v>807</v>
      </c>
      <c r="D325" t="s">
        <v>816</v>
      </c>
      <c r="E325">
        <v>1</v>
      </c>
      <c r="F325" t="s">
        <v>827</v>
      </c>
      <c r="G325" t="s">
        <v>862</v>
      </c>
      <c r="H325">
        <v>2119</v>
      </c>
      <c r="I325" t="s">
        <v>836</v>
      </c>
      <c r="J325" t="s">
        <v>842</v>
      </c>
      <c r="K325" s="2">
        <v>44044</v>
      </c>
      <c r="L325">
        <v>2020</v>
      </c>
      <c r="M325">
        <v>2119</v>
      </c>
      <c r="N325" t="s">
        <v>868</v>
      </c>
    </row>
    <row r="326" spans="1:14" x14ac:dyDescent="0.3">
      <c r="A326" t="s">
        <v>1042</v>
      </c>
      <c r="B326" t="s">
        <v>178</v>
      </c>
      <c r="C326" t="s">
        <v>806</v>
      </c>
      <c r="D326" t="s">
        <v>811</v>
      </c>
      <c r="E326">
        <v>9</v>
      </c>
      <c r="F326" t="s">
        <v>825</v>
      </c>
      <c r="G326" t="s">
        <v>854</v>
      </c>
      <c r="H326">
        <v>3137</v>
      </c>
      <c r="I326" t="s">
        <v>833</v>
      </c>
      <c r="J326" t="s">
        <v>842</v>
      </c>
      <c r="K326" s="2">
        <v>45689</v>
      </c>
      <c r="L326">
        <v>2025</v>
      </c>
      <c r="M326">
        <v>28233</v>
      </c>
      <c r="N326" t="s">
        <v>852</v>
      </c>
    </row>
    <row r="327" spans="1:14" x14ac:dyDescent="0.3">
      <c r="A327" t="s">
        <v>1043</v>
      </c>
      <c r="B327" t="s">
        <v>179</v>
      </c>
      <c r="C327" t="s">
        <v>807</v>
      </c>
      <c r="D327" t="s">
        <v>813</v>
      </c>
      <c r="E327">
        <v>7</v>
      </c>
      <c r="F327" t="s">
        <v>828</v>
      </c>
      <c r="G327" t="s">
        <v>874</v>
      </c>
      <c r="H327">
        <v>2323</v>
      </c>
      <c r="I327" t="s">
        <v>836</v>
      </c>
      <c r="J327" t="s">
        <v>842</v>
      </c>
      <c r="K327" s="2">
        <v>44593</v>
      </c>
      <c r="L327">
        <v>2022</v>
      </c>
      <c r="M327">
        <v>16261</v>
      </c>
      <c r="N327" t="s">
        <v>852</v>
      </c>
    </row>
    <row r="328" spans="1:14" x14ac:dyDescent="0.3">
      <c r="A328" t="s">
        <v>1043</v>
      </c>
      <c r="B328" t="s">
        <v>179</v>
      </c>
      <c r="C328" t="s">
        <v>807</v>
      </c>
      <c r="D328" t="s">
        <v>820</v>
      </c>
      <c r="E328">
        <v>9</v>
      </c>
      <c r="F328" t="s">
        <v>828</v>
      </c>
      <c r="G328" t="s">
        <v>874</v>
      </c>
      <c r="H328">
        <v>1368</v>
      </c>
      <c r="I328" t="s">
        <v>832</v>
      </c>
      <c r="J328" t="s">
        <v>840</v>
      </c>
      <c r="K328" s="2">
        <v>44593</v>
      </c>
      <c r="L328">
        <v>2022</v>
      </c>
      <c r="M328">
        <v>12312</v>
      </c>
      <c r="N328" t="s">
        <v>852</v>
      </c>
    </row>
    <row r="329" spans="1:14" x14ac:dyDescent="0.3">
      <c r="A329" t="s">
        <v>1044</v>
      </c>
      <c r="B329" t="s">
        <v>180</v>
      </c>
      <c r="C329" t="s">
        <v>805</v>
      </c>
      <c r="D329" t="s">
        <v>812</v>
      </c>
      <c r="E329">
        <v>16</v>
      </c>
      <c r="F329" t="s">
        <v>824</v>
      </c>
      <c r="G329" t="s">
        <v>851</v>
      </c>
      <c r="H329">
        <v>9204</v>
      </c>
      <c r="I329" t="s">
        <v>835</v>
      </c>
      <c r="J329" t="s">
        <v>843</v>
      </c>
      <c r="K329" s="2">
        <v>45323</v>
      </c>
      <c r="L329">
        <v>2024</v>
      </c>
      <c r="M329">
        <v>147264</v>
      </c>
      <c r="N329" t="s">
        <v>863</v>
      </c>
    </row>
    <row r="330" spans="1:14" x14ac:dyDescent="0.3">
      <c r="A330" t="s">
        <v>1045</v>
      </c>
      <c r="B330" t="s">
        <v>181</v>
      </c>
      <c r="C330" t="s">
        <v>805</v>
      </c>
      <c r="D330" t="s">
        <v>812</v>
      </c>
      <c r="E330">
        <v>16</v>
      </c>
      <c r="F330" t="s">
        <v>824</v>
      </c>
      <c r="G330" t="s">
        <v>851</v>
      </c>
      <c r="H330">
        <v>9204</v>
      </c>
      <c r="I330" t="s">
        <v>835</v>
      </c>
      <c r="J330" t="s">
        <v>843</v>
      </c>
      <c r="K330" s="2">
        <v>44348</v>
      </c>
      <c r="L330">
        <v>2021</v>
      </c>
      <c r="M330">
        <v>147264</v>
      </c>
      <c r="N330" t="s">
        <v>863</v>
      </c>
    </row>
    <row r="331" spans="1:14" x14ac:dyDescent="0.3">
      <c r="A331" t="s">
        <v>1044</v>
      </c>
      <c r="B331" t="s">
        <v>180</v>
      </c>
      <c r="C331" t="s">
        <v>806</v>
      </c>
      <c r="D331" t="s">
        <v>817</v>
      </c>
      <c r="E331">
        <v>20</v>
      </c>
      <c r="F331" t="s">
        <v>824</v>
      </c>
      <c r="G331" t="s">
        <v>851</v>
      </c>
      <c r="H331">
        <v>9894</v>
      </c>
      <c r="I331" t="s">
        <v>834</v>
      </c>
      <c r="J331" t="s">
        <v>843</v>
      </c>
      <c r="K331" s="2">
        <v>45323</v>
      </c>
      <c r="L331">
        <v>2024</v>
      </c>
      <c r="M331">
        <v>197880</v>
      </c>
      <c r="N331" t="s">
        <v>863</v>
      </c>
    </row>
    <row r="332" spans="1:14" x14ac:dyDescent="0.3">
      <c r="A332" t="s">
        <v>1045</v>
      </c>
      <c r="B332" t="s">
        <v>181</v>
      </c>
      <c r="C332" t="s">
        <v>806</v>
      </c>
      <c r="D332" t="s">
        <v>817</v>
      </c>
      <c r="E332">
        <v>20</v>
      </c>
      <c r="F332" t="s">
        <v>824</v>
      </c>
      <c r="G332" t="s">
        <v>851</v>
      </c>
      <c r="H332">
        <v>9894</v>
      </c>
      <c r="I332" t="s">
        <v>834</v>
      </c>
      <c r="J332" t="s">
        <v>843</v>
      </c>
      <c r="K332" s="2">
        <v>44348</v>
      </c>
      <c r="L332">
        <v>2021</v>
      </c>
      <c r="M332">
        <v>197880</v>
      </c>
      <c r="N332" t="s">
        <v>863</v>
      </c>
    </row>
    <row r="333" spans="1:14" x14ac:dyDescent="0.3">
      <c r="A333" t="s">
        <v>1046</v>
      </c>
      <c r="B333" t="s">
        <v>182</v>
      </c>
      <c r="C333" t="s">
        <v>807</v>
      </c>
      <c r="D333" t="s">
        <v>816</v>
      </c>
      <c r="E333">
        <v>18</v>
      </c>
      <c r="F333" t="s">
        <v>828</v>
      </c>
      <c r="G333" t="s">
        <v>904</v>
      </c>
      <c r="H333">
        <v>5322</v>
      </c>
      <c r="I333" t="s">
        <v>836</v>
      </c>
      <c r="J333" t="s">
        <v>844</v>
      </c>
      <c r="K333" s="2">
        <v>44896</v>
      </c>
      <c r="L333">
        <v>2022</v>
      </c>
      <c r="M333">
        <v>95796</v>
      </c>
      <c r="N333" t="s">
        <v>863</v>
      </c>
    </row>
    <row r="334" spans="1:14" x14ac:dyDescent="0.3">
      <c r="A334" t="s">
        <v>1047</v>
      </c>
      <c r="B334" t="s">
        <v>183</v>
      </c>
      <c r="C334" t="s">
        <v>807</v>
      </c>
      <c r="D334" t="s">
        <v>816</v>
      </c>
      <c r="E334">
        <v>18</v>
      </c>
      <c r="F334" t="s">
        <v>828</v>
      </c>
      <c r="G334" t="s">
        <v>874</v>
      </c>
      <c r="H334">
        <v>5322</v>
      </c>
      <c r="I334" t="s">
        <v>836</v>
      </c>
      <c r="J334" t="s">
        <v>844</v>
      </c>
      <c r="K334" s="2">
        <v>45261</v>
      </c>
      <c r="L334">
        <v>2023</v>
      </c>
      <c r="M334">
        <v>95796</v>
      </c>
      <c r="N334" t="s">
        <v>863</v>
      </c>
    </row>
    <row r="335" spans="1:14" x14ac:dyDescent="0.3">
      <c r="A335" t="s">
        <v>1048</v>
      </c>
      <c r="B335" t="s">
        <v>184</v>
      </c>
      <c r="C335" t="s">
        <v>807</v>
      </c>
      <c r="D335" t="s">
        <v>814</v>
      </c>
      <c r="E335">
        <v>14</v>
      </c>
      <c r="F335" t="s">
        <v>829</v>
      </c>
      <c r="G335" t="s">
        <v>894</v>
      </c>
      <c r="H335">
        <v>2666</v>
      </c>
      <c r="I335" t="s">
        <v>836</v>
      </c>
      <c r="J335" t="s">
        <v>842</v>
      </c>
      <c r="K335" s="2">
        <v>44743</v>
      </c>
      <c r="L335">
        <v>2022</v>
      </c>
      <c r="M335">
        <v>37324</v>
      </c>
      <c r="N335" t="s">
        <v>857</v>
      </c>
    </row>
    <row r="336" spans="1:14" x14ac:dyDescent="0.3">
      <c r="A336" t="s">
        <v>1049</v>
      </c>
      <c r="B336" t="s">
        <v>185</v>
      </c>
      <c r="C336" t="s">
        <v>807</v>
      </c>
      <c r="D336" t="s">
        <v>816</v>
      </c>
      <c r="E336">
        <v>4</v>
      </c>
      <c r="F336" t="s">
        <v>824</v>
      </c>
      <c r="G336" t="s">
        <v>859</v>
      </c>
      <c r="H336">
        <v>8383</v>
      </c>
      <c r="I336" t="s">
        <v>832</v>
      </c>
      <c r="J336" t="s">
        <v>843</v>
      </c>
      <c r="K336" s="2">
        <v>45413</v>
      </c>
      <c r="L336">
        <v>2024</v>
      </c>
      <c r="M336">
        <v>33532</v>
      </c>
      <c r="N336" t="s">
        <v>868</v>
      </c>
    </row>
    <row r="337" spans="1:14" x14ac:dyDescent="0.3">
      <c r="A337" t="s">
        <v>1050</v>
      </c>
      <c r="B337" t="s">
        <v>186</v>
      </c>
      <c r="C337" t="s">
        <v>806</v>
      </c>
      <c r="D337" t="s">
        <v>817</v>
      </c>
      <c r="E337">
        <v>4</v>
      </c>
      <c r="F337" t="s">
        <v>825</v>
      </c>
      <c r="G337" t="s">
        <v>854</v>
      </c>
      <c r="H337">
        <v>7560</v>
      </c>
      <c r="I337" t="s">
        <v>834</v>
      </c>
      <c r="J337" t="s">
        <v>841</v>
      </c>
      <c r="K337" s="2">
        <v>44470</v>
      </c>
      <c r="L337">
        <v>2021</v>
      </c>
      <c r="M337">
        <v>30240</v>
      </c>
      <c r="N337" t="s">
        <v>868</v>
      </c>
    </row>
    <row r="338" spans="1:14" x14ac:dyDescent="0.3">
      <c r="A338" t="s">
        <v>1051</v>
      </c>
      <c r="B338" t="s">
        <v>187</v>
      </c>
      <c r="C338" t="s">
        <v>807</v>
      </c>
      <c r="D338" t="s">
        <v>816</v>
      </c>
      <c r="E338">
        <v>16</v>
      </c>
      <c r="F338" t="s">
        <v>826</v>
      </c>
      <c r="G338" t="s">
        <v>856</v>
      </c>
      <c r="H338">
        <v>1314</v>
      </c>
      <c r="I338" t="s">
        <v>832</v>
      </c>
      <c r="J338" t="s">
        <v>840</v>
      </c>
      <c r="K338" s="2">
        <v>44501</v>
      </c>
      <c r="L338">
        <v>2021</v>
      </c>
      <c r="M338">
        <v>21024</v>
      </c>
      <c r="N338" t="s">
        <v>863</v>
      </c>
    </row>
    <row r="339" spans="1:14" x14ac:dyDescent="0.3">
      <c r="A339" t="s">
        <v>1051</v>
      </c>
      <c r="B339" t="s">
        <v>187</v>
      </c>
      <c r="C339" t="s">
        <v>807</v>
      </c>
      <c r="D339" t="s">
        <v>813</v>
      </c>
      <c r="E339">
        <v>1</v>
      </c>
      <c r="F339" t="s">
        <v>826</v>
      </c>
      <c r="G339" t="s">
        <v>856</v>
      </c>
      <c r="H339">
        <v>4390</v>
      </c>
      <c r="I339" t="s">
        <v>833</v>
      </c>
      <c r="J339" t="s">
        <v>844</v>
      </c>
      <c r="K339" s="2">
        <v>44501</v>
      </c>
      <c r="L339">
        <v>2021</v>
      </c>
      <c r="M339">
        <v>4390</v>
      </c>
      <c r="N339" t="s">
        <v>868</v>
      </c>
    </row>
    <row r="340" spans="1:14" x14ac:dyDescent="0.3">
      <c r="A340" t="s">
        <v>1051</v>
      </c>
      <c r="B340" t="s">
        <v>187</v>
      </c>
      <c r="C340" t="s">
        <v>806</v>
      </c>
      <c r="D340" t="s">
        <v>818</v>
      </c>
      <c r="E340">
        <v>7</v>
      </c>
      <c r="F340" t="s">
        <v>826</v>
      </c>
      <c r="G340" t="s">
        <v>856</v>
      </c>
      <c r="H340">
        <v>1150</v>
      </c>
      <c r="I340" t="s">
        <v>833</v>
      </c>
      <c r="J340" t="s">
        <v>840</v>
      </c>
      <c r="K340" s="2">
        <v>44501</v>
      </c>
      <c r="L340">
        <v>2021</v>
      </c>
      <c r="M340">
        <v>8050</v>
      </c>
      <c r="N340" t="s">
        <v>852</v>
      </c>
    </row>
    <row r="341" spans="1:14" x14ac:dyDescent="0.3">
      <c r="A341" t="s">
        <v>1052</v>
      </c>
      <c r="B341" t="s">
        <v>188</v>
      </c>
      <c r="C341" t="s">
        <v>806</v>
      </c>
      <c r="D341" t="s">
        <v>811</v>
      </c>
      <c r="E341">
        <v>17</v>
      </c>
      <c r="F341" t="s">
        <v>827</v>
      </c>
      <c r="G341" t="s">
        <v>876</v>
      </c>
      <c r="H341">
        <v>1574</v>
      </c>
      <c r="I341" t="s">
        <v>834</v>
      </c>
      <c r="J341" t="s">
        <v>840</v>
      </c>
      <c r="K341" s="2">
        <v>44075</v>
      </c>
      <c r="L341">
        <v>2020</v>
      </c>
      <c r="M341">
        <v>26758</v>
      </c>
      <c r="N341" t="s">
        <v>863</v>
      </c>
    </row>
    <row r="342" spans="1:14" x14ac:dyDescent="0.3">
      <c r="A342" t="s">
        <v>1052</v>
      </c>
      <c r="B342" t="s">
        <v>188</v>
      </c>
      <c r="C342" t="s">
        <v>806</v>
      </c>
      <c r="D342" t="s">
        <v>818</v>
      </c>
      <c r="E342">
        <v>17</v>
      </c>
      <c r="F342" t="s">
        <v>827</v>
      </c>
      <c r="G342" t="s">
        <v>876</v>
      </c>
      <c r="H342">
        <v>5635</v>
      </c>
      <c r="I342" t="s">
        <v>832</v>
      </c>
      <c r="J342" t="s">
        <v>844</v>
      </c>
      <c r="K342" s="2">
        <v>44075</v>
      </c>
      <c r="L342">
        <v>2020</v>
      </c>
      <c r="M342">
        <v>95795</v>
      </c>
      <c r="N342" t="s">
        <v>863</v>
      </c>
    </row>
    <row r="343" spans="1:14" x14ac:dyDescent="0.3">
      <c r="A343" t="s">
        <v>1052</v>
      </c>
      <c r="B343" t="s">
        <v>188</v>
      </c>
      <c r="C343" t="s">
        <v>807</v>
      </c>
      <c r="D343" t="s">
        <v>816</v>
      </c>
      <c r="E343">
        <v>11</v>
      </c>
      <c r="F343" t="s">
        <v>827</v>
      </c>
      <c r="G343" t="s">
        <v>876</v>
      </c>
      <c r="H343">
        <v>6515</v>
      </c>
      <c r="I343" t="s">
        <v>833</v>
      </c>
      <c r="J343" t="s">
        <v>841</v>
      </c>
      <c r="K343" s="2">
        <v>44075</v>
      </c>
      <c r="L343">
        <v>2020</v>
      </c>
      <c r="M343">
        <v>71665</v>
      </c>
      <c r="N343" t="s">
        <v>857</v>
      </c>
    </row>
    <row r="344" spans="1:14" x14ac:dyDescent="0.3">
      <c r="A344" t="s">
        <v>1053</v>
      </c>
      <c r="B344" t="s">
        <v>189</v>
      </c>
      <c r="C344" t="s">
        <v>805</v>
      </c>
      <c r="D344" t="s">
        <v>812</v>
      </c>
      <c r="E344">
        <v>20</v>
      </c>
      <c r="F344" t="s">
        <v>829</v>
      </c>
      <c r="G344" t="s">
        <v>886</v>
      </c>
      <c r="H344">
        <v>1231</v>
      </c>
      <c r="I344" t="s">
        <v>833</v>
      </c>
      <c r="J344" t="s">
        <v>840</v>
      </c>
      <c r="K344" s="2">
        <v>44927</v>
      </c>
      <c r="L344">
        <v>2023</v>
      </c>
      <c r="M344">
        <v>24620</v>
      </c>
      <c r="N344" t="s">
        <v>863</v>
      </c>
    </row>
    <row r="345" spans="1:14" x14ac:dyDescent="0.3">
      <c r="A345" t="s">
        <v>1054</v>
      </c>
      <c r="B345" t="s">
        <v>190</v>
      </c>
      <c r="C345" t="s">
        <v>805</v>
      </c>
      <c r="D345" t="s">
        <v>812</v>
      </c>
      <c r="E345">
        <v>20</v>
      </c>
      <c r="F345" t="s">
        <v>826</v>
      </c>
      <c r="G345" t="s">
        <v>872</v>
      </c>
      <c r="H345">
        <v>1231</v>
      </c>
      <c r="I345" t="s">
        <v>833</v>
      </c>
      <c r="J345" t="s">
        <v>840</v>
      </c>
      <c r="K345" s="2">
        <v>43983</v>
      </c>
      <c r="L345">
        <v>2020</v>
      </c>
      <c r="M345">
        <v>24620</v>
      </c>
      <c r="N345" t="s">
        <v>863</v>
      </c>
    </row>
    <row r="346" spans="1:14" x14ac:dyDescent="0.3">
      <c r="A346" t="s">
        <v>1055</v>
      </c>
      <c r="B346" t="s">
        <v>191</v>
      </c>
      <c r="C346" t="s">
        <v>806</v>
      </c>
      <c r="D346" t="s">
        <v>818</v>
      </c>
      <c r="E346">
        <v>3</v>
      </c>
      <c r="F346" t="s">
        <v>829</v>
      </c>
      <c r="G346" t="s">
        <v>894</v>
      </c>
      <c r="H346">
        <v>6891</v>
      </c>
      <c r="I346" t="s">
        <v>833</v>
      </c>
      <c r="J346" t="s">
        <v>841</v>
      </c>
      <c r="K346" s="2">
        <v>45413</v>
      </c>
      <c r="L346">
        <v>2024</v>
      </c>
      <c r="M346">
        <v>20673</v>
      </c>
      <c r="N346" t="s">
        <v>868</v>
      </c>
    </row>
    <row r="347" spans="1:14" x14ac:dyDescent="0.3">
      <c r="A347" t="s">
        <v>1056</v>
      </c>
      <c r="B347" t="s">
        <v>192</v>
      </c>
      <c r="C347" t="s">
        <v>805</v>
      </c>
      <c r="D347" t="s">
        <v>812</v>
      </c>
      <c r="E347">
        <v>15</v>
      </c>
      <c r="F347" t="s">
        <v>828</v>
      </c>
      <c r="G347" t="s">
        <v>880</v>
      </c>
      <c r="H347">
        <v>7524</v>
      </c>
      <c r="I347" t="s">
        <v>834</v>
      </c>
      <c r="J347" t="s">
        <v>841</v>
      </c>
      <c r="K347" s="2">
        <v>45261</v>
      </c>
      <c r="L347">
        <v>2023</v>
      </c>
      <c r="M347">
        <v>112860</v>
      </c>
      <c r="N347" t="s">
        <v>863</v>
      </c>
    </row>
    <row r="348" spans="1:14" x14ac:dyDescent="0.3">
      <c r="A348" t="s">
        <v>1056</v>
      </c>
      <c r="B348" t="s">
        <v>192</v>
      </c>
      <c r="C348" t="s">
        <v>805</v>
      </c>
      <c r="D348" t="s">
        <v>810</v>
      </c>
      <c r="E348">
        <v>14</v>
      </c>
      <c r="F348" t="s">
        <v>828</v>
      </c>
      <c r="G348" t="s">
        <v>880</v>
      </c>
      <c r="H348">
        <v>6864</v>
      </c>
      <c r="I348" t="s">
        <v>835</v>
      </c>
      <c r="J348" t="s">
        <v>841</v>
      </c>
      <c r="K348" s="2">
        <v>45261</v>
      </c>
      <c r="L348">
        <v>2023</v>
      </c>
      <c r="M348">
        <v>96096</v>
      </c>
      <c r="N348" t="s">
        <v>857</v>
      </c>
    </row>
    <row r="349" spans="1:14" x14ac:dyDescent="0.3">
      <c r="A349" t="s">
        <v>1057</v>
      </c>
      <c r="B349" t="s">
        <v>193</v>
      </c>
      <c r="C349" t="s">
        <v>807</v>
      </c>
      <c r="D349" t="s">
        <v>814</v>
      </c>
      <c r="E349">
        <v>14</v>
      </c>
      <c r="F349" t="s">
        <v>829</v>
      </c>
      <c r="G349" t="s">
        <v>886</v>
      </c>
      <c r="H349">
        <v>4215</v>
      </c>
      <c r="I349" t="s">
        <v>833</v>
      </c>
      <c r="J349" t="s">
        <v>844</v>
      </c>
      <c r="K349" s="2">
        <v>45323</v>
      </c>
      <c r="L349">
        <v>2024</v>
      </c>
      <c r="M349">
        <v>59010</v>
      </c>
      <c r="N349" t="s">
        <v>857</v>
      </c>
    </row>
    <row r="350" spans="1:14" x14ac:dyDescent="0.3">
      <c r="A350" t="s">
        <v>1058</v>
      </c>
      <c r="B350" t="s">
        <v>194</v>
      </c>
      <c r="C350" t="s">
        <v>807</v>
      </c>
      <c r="D350" t="s">
        <v>820</v>
      </c>
      <c r="E350">
        <v>19</v>
      </c>
      <c r="F350" t="s">
        <v>827</v>
      </c>
      <c r="G350" t="s">
        <v>876</v>
      </c>
      <c r="H350">
        <v>622</v>
      </c>
      <c r="I350" t="s">
        <v>835</v>
      </c>
      <c r="J350" t="s">
        <v>840</v>
      </c>
      <c r="K350" s="2">
        <v>45444</v>
      </c>
      <c r="L350">
        <v>2024</v>
      </c>
      <c r="M350">
        <v>11818</v>
      </c>
      <c r="N350" t="s">
        <v>863</v>
      </c>
    </row>
    <row r="351" spans="1:14" x14ac:dyDescent="0.3">
      <c r="A351" t="s">
        <v>1058</v>
      </c>
      <c r="B351" t="s">
        <v>194</v>
      </c>
      <c r="C351" t="s">
        <v>806</v>
      </c>
      <c r="D351" t="s">
        <v>811</v>
      </c>
      <c r="E351">
        <v>18</v>
      </c>
      <c r="F351" t="s">
        <v>827</v>
      </c>
      <c r="G351" t="s">
        <v>876</v>
      </c>
      <c r="H351">
        <v>1755</v>
      </c>
      <c r="I351" t="s">
        <v>832</v>
      </c>
      <c r="J351" t="s">
        <v>840</v>
      </c>
      <c r="K351" s="2">
        <v>45444</v>
      </c>
      <c r="L351">
        <v>2024</v>
      </c>
      <c r="M351">
        <v>31590</v>
      </c>
      <c r="N351" t="s">
        <v>863</v>
      </c>
    </row>
    <row r="352" spans="1:14" x14ac:dyDescent="0.3">
      <c r="A352" t="s">
        <v>1058</v>
      </c>
      <c r="B352" t="s">
        <v>194</v>
      </c>
      <c r="C352" t="s">
        <v>805</v>
      </c>
      <c r="D352" t="s">
        <v>809</v>
      </c>
      <c r="E352">
        <v>20</v>
      </c>
      <c r="F352" t="s">
        <v>827</v>
      </c>
      <c r="G352" t="s">
        <v>876</v>
      </c>
      <c r="H352">
        <v>8020</v>
      </c>
      <c r="I352" t="s">
        <v>834</v>
      </c>
      <c r="J352" t="s">
        <v>843</v>
      </c>
      <c r="K352" s="2">
        <v>45444</v>
      </c>
      <c r="L352">
        <v>2024</v>
      </c>
      <c r="M352">
        <v>160400</v>
      </c>
      <c r="N352" t="s">
        <v>863</v>
      </c>
    </row>
    <row r="353" spans="1:14" x14ac:dyDescent="0.3">
      <c r="A353" t="s">
        <v>1059</v>
      </c>
      <c r="B353" t="s">
        <v>195</v>
      </c>
      <c r="C353" t="s">
        <v>805</v>
      </c>
      <c r="D353" t="s">
        <v>812</v>
      </c>
      <c r="E353">
        <v>4</v>
      </c>
      <c r="F353" t="s">
        <v>826</v>
      </c>
      <c r="G353" t="s">
        <v>856</v>
      </c>
      <c r="H353">
        <v>7333</v>
      </c>
      <c r="I353" t="s">
        <v>835</v>
      </c>
      <c r="J353" t="s">
        <v>841</v>
      </c>
      <c r="K353" s="2">
        <v>45444</v>
      </c>
      <c r="L353">
        <v>2024</v>
      </c>
      <c r="M353">
        <v>29332</v>
      </c>
      <c r="N353" t="s">
        <v>868</v>
      </c>
    </row>
    <row r="354" spans="1:14" x14ac:dyDescent="0.3">
      <c r="A354" t="s">
        <v>1060</v>
      </c>
      <c r="B354" t="s">
        <v>196</v>
      </c>
      <c r="C354" t="s">
        <v>805</v>
      </c>
      <c r="D354" t="s">
        <v>809</v>
      </c>
      <c r="E354">
        <v>4</v>
      </c>
      <c r="F354" t="s">
        <v>826</v>
      </c>
      <c r="G354" t="s">
        <v>872</v>
      </c>
      <c r="H354">
        <v>7690</v>
      </c>
      <c r="I354" t="s">
        <v>836</v>
      </c>
      <c r="J354" t="s">
        <v>841</v>
      </c>
      <c r="K354" s="2">
        <v>45200</v>
      </c>
      <c r="L354">
        <v>2023</v>
      </c>
      <c r="M354">
        <v>30760</v>
      </c>
      <c r="N354" t="s">
        <v>868</v>
      </c>
    </row>
    <row r="355" spans="1:14" x14ac:dyDescent="0.3">
      <c r="A355" t="s">
        <v>1060</v>
      </c>
      <c r="B355" t="s">
        <v>196</v>
      </c>
      <c r="C355" t="s">
        <v>807</v>
      </c>
      <c r="D355" t="s">
        <v>816</v>
      </c>
      <c r="E355">
        <v>2</v>
      </c>
      <c r="F355" t="s">
        <v>826</v>
      </c>
      <c r="G355" t="s">
        <v>872</v>
      </c>
      <c r="H355">
        <v>912</v>
      </c>
      <c r="I355" t="s">
        <v>834</v>
      </c>
      <c r="J355" t="s">
        <v>840</v>
      </c>
      <c r="K355" s="2">
        <v>45200</v>
      </c>
      <c r="L355">
        <v>2023</v>
      </c>
      <c r="M355">
        <v>1824</v>
      </c>
      <c r="N355" t="s">
        <v>868</v>
      </c>
    </row>
    <row r="356" spans="1:14" x14ac:dyDescent="0.3">
      <c r="A356" t="s">
        <v>1061</v>
      </c>
      <c r="B356" t="s">
        <v>197</v>
      </c>
      <c r="C356" t="s">
        <v>805</v>
      </c>
      <c r="D356" t="s">
        <v>812</v>
      </c>
      <c r="E356">
        <v>14</v>
      </c>
      <c r="F356" t="s">
        <v>828</v>
      </c>
      <c r="G356" t="s">
        <v>880</v>
      </c>
      <c r="H356">
        <v>2791</v>
      </c>
      <c r="I356" t="s">
        <v>836</v>
      </c>
      <c r="J356" t="s">
        <v>842</v>
      </c>
      <c r="K356" s="2">
        <v>44835</v>
      </c>
      <c r="L356">
        <v>2022</v>
      </c>
      <c r="M356">
        <v>39074</v>
      </c>
      <c r="N356" t="s">
        <v>857</v>
      </c>
    </row>
    <row r="357" spans="1:14" x14ac:dyDescent="0.3">
      <c r="A357" t="s">
        <v>1062</v>
      </c>
      <c r="B357" t="s">
        <v>198</v>
      </c>
      <c r="C357" t="s">
        <v>805</v>
      </c>
      <c r="D357" t="s">
        <v>812</v>
      </c>
      <c r="E357">
        <v>14</v>
      </c>
      <c r="F357" t="s">
        <v>829</v>
      </c>
      <c r="G357" t="s">
        <v>890</v>
      </c>
      <c r="H357">
        <v>2791</v>
      </c>
      <c r="I357" t="s">
        <v>836</v>
      </c>
      <c r="J357" t="s">
        <v>842</v>
      </c>
      <c r="K357" s="2">
        <v>45200</v>
      </c>
      <c r="L357">
        <v>2023</v>
      </c>
      <c r="M357">
        <v>39074</v>
      </c>
      <c r="N357" t="s">
        <v>857</v>
      </c>
    </row>
    <row r="358" spans="1:14" x14ac:dyDescent="0.3">
      <c r="A358" t="s">
        <v>1063</v>
      </c>
      <c r="B358" t="s">
        <v>199</v>
      </c>
      <c r="C358" t="s">
        <v>805</v>
      </c>
      <c r="D358" t="s">
        <v>812</v>
      </c>
      <c r="E358">
        <v>14</v>
      </c>
      <c r="F358" t="s">
        <v>828</v>
      </c>
      <c r="G358" t="s">
        <v>874</v>
      </c>
      <c r="H358">
        <v>2791</v>
      </c>
      <c r="I358" t="s">
        <v>836</v>
      </c>
      <c r="J358" t="s">
        <v>842</v>
      </c>
      <c r="K358" s="2">
        <v>44228</v>
      </c>
      <c r="L358">
        <v>2021</v>
      </c>
      <c r="M358">
        <v>39074</v>
      </c>
      <c r="N358" t="s">
        <v>857</v>
      </c>
    </row>
    <row r="359" spans="1:14" x14ac:dyDescent="0.3">
      <c r="A359" t="s">
        <v>1061</v>
      </c>
      <c r="B359" t="s">
        <v>197</v>
      </c>
      <c r="C359" t="s">
        <v>807</v>
      </c>
      <c r="D359" t="s">
        <v>816</v>
      </c>
      <c r="E359">
        <v>3</v>
      </c>
      <c r="F359" t="s">
        <v>828</v>
      </c>
      <c r="G359" t="s">
        <v>880</v>
      </c>
      <c r="H359">
        <v>6223</v>
      </c>
      <c r="I359" t="s">
        <v>833</v>
      </c>
      <c r="J359" t="s">
        <v>841</v>
      </c>
      <c r="K359" s="2">
        <v>44835</v>
      </c>
      <c r="L359">
        <v>2022</v>
      </c>
      <c r="M359">
        <v>18669</v>
      </c>
      <c r="N359" t="s">
        <v>868</v>
      </c>
    </row>
    <row r="360" spans="1:14" x14ac:dyDescent="0.3">
      <c r="A360" t="s">
        <v>1062</v>
      </c>
      <c r="B360" t="s">
        <v>198</v>
      </c>
      <c r="C360" t="s">
        <v>807</v>
      </c>
      <c r="D360" t="s">
        <v>816</v>
      </c>
      <c r="E360">
        <v>3</v>
      </c>
      <c r="F360" t="s">
        <v>829</v>
      </c>
      <c r="G360" t="s">
        <v>890</v>
      </c>
      <c r="H360">
        <v>6223</v>
      </c>
      <c r="I360" t="s">
        <v>833</v>
      </c>
      <c r="J360" t="s">
        <v>841</v>
      </c>
      <c r="K360" s="2">
        <v>45200</v>
      </c>
      <c r="L360">
        <v>2023</v>
      </c>
      <c r="M360">
        <v>18669</v>
      </c>
      <c r="N360" t="s">
        <v>868</v>
      </c>
    </row>
    <row r="361" spans="1:14" x14ac:dyDescent="0.3">
      <c r="A361" t="s">
        <v>1063</v>
      </c>
      <c r="B361" t="s">
        <v>199</v>
      </c>
      <c r="C361" t="s">
        <v>807</v>
      </c>
      <c r="D361" t="s">
        <v>816</v>
      </c>
      <c r="E361">
        <v>3</v>
      </c>
      <c r="F361" t="s">
        <v>828</v>
      </c>
      <c r="G361" t="s">
        <v>874</v>
      </c>
      <c r="H361">
        <v>6223</v>
      </c>
      <c r="I361" t="s">
        <v>833</v>
      </c>
      <c r="J361" t="s">
        <v>841</v>
      </c>
      <c r="K361" s="2">
        <v>44228</v>
      </c>
      <c r="L361">
        <v>2021</v>
      </c>
      <c r="M361">
        <v>18669</v>
      </c>
      <c r="N361" t="s">
        <v>868</v>
      </c>
    </row>
    <row r="362" spans="1:14" x14ac:dyDescent="0.3">
      <c r="A362" t="s">
        <v>1061</v>
      </c>
      <c r="B362" t="s">
        <v>197</v>
      </c>
      <c r="C362" t="s">
        <v>807</v>
      </c>
      <c r="D362" t="s">
        <v>814</v>
      </c>
      <c r="E362">
        <v>17</v>
      </c>
      <c r="F362" t="s">
        <v>828</v>
      </c>
      <c r="G362" t="s">
        <v>880</v>
      </c>
      <c r="H362">
        <v>8943</v>
      </c>
      <c r="I362" t="s">
        <v>833</v>
      </c>
      <c r="J362" t="s">
        <v>843</v>
      </c>
      <c r="K362" s="2">
        <v>44835</v>
      </c>
      <c r="L362">
        <v>2022</v>
      </c>
      <c r="M362">
        <v>152031</v>
      </c>
      <c r="N362" t="s">
        <v>863</v>
      </c>
    </row>
    <row r="363" spans="1:14" x14ac:dyDescent="0.3">
      <c r="A363" t="s">
        <v>1062</v>
      </c>
      <c r="B363" t="s">
        <v>198</v>
      </c>
      <c r="C363" t="s">
        <v>807</v>
      </c>
      <c r="D363" t="s">
        <v>814</v>
      </c>
      <c r="E363">
        <v>17</v>
      </c>
      <c r="F363" t="s">
        <v>829</v>
      </c>
      <c r="G363" t="s">
        <v>890</v>
      </c>
      <c r="H363">
        <v>8943</v>
      </c>
      <c r="I363" t="s">
        <v>833</v>
      </c>
      <c r="J363" t="s">
        <v>843</v>
      </c>
      <c r="K363" s="2">
        <v>45200</v>
      </c>
      <c r="L363">
        <v>2023</v>
      </c>
      <c r="M363">
        <v>152031</v>
      </c>
      <c r="N363" t="s">
        <v>863</v>
      </c>
    </row>
    <row r="364" spans="1:14" x14ac:dyDescent="0.3">
      <c r="A364" t="s">
        <v>1063</v>
      </c>
      <c r="B364" t="s">
        <v>199</v>
      </c>
      <c r="C364" t="s">
        <v>807</v>
      </c>
      <c r="D364" t="s">
        <v>814</v>
      </c>
      <c r="E364">
        <v>17</v>
      </c>
      <c r="F364" t="s">
        <v>828</v>
      </c>
      <c r="G364" t="s">
        <v>874</v>
      </c>
      <c r="H364">
        <v>8943</v>
      </c>
      <c r="I364" t="s">
        <v>833</v>
      </c>
      <c r="J364" t="s">
        <v>843</v>
      </c>
      <c r="K364" s="2">
        <v>44228</v>
      </c>
      <c r="L364">
        <v>2021</v>
      </c>
      <c r="M364">
        <v>152031</v>
      </c>
      <c r="N364" t="s">
        <v>863</v>
      </c>
    </row>
    <row r="365" spans="1:14" x14ac:dyDescent="0.3">
      <c r="A365" t="s">
        <v>1061</v>
      </c>
      <c r="B365" t="s">
        <v>197</v>
      </c>
      <c r="C365" t="s">
        <v>805</v>
      </c>
      <c r="D365" t="s">
        <v>819</v>
      </c>
      <c r="E365">
        <v>12</v>
      </c>
      <c r="F365" t="s">
        <v>828</v>
      </c>
      <c r="G365" t="s">
        <v>880</v>
      </c>
      <c r="H365">
        <v>3297</v>
      </c>
      <c r="I365" t="s">
        <v>835</v>
      </c>
      <c r="J365" t="s">
        <v>842</v>
      </c>
      <c r="K365" s="2">
        <v>44835</v>
      </c>
      <c r="L365">
        <v>2022</v>
      </c>
      <c r="M365">
        <v>39564</v>
      </c>
      <c r="N365" t="s">
        <v>857</v>
      </c>
    </row>
    <row r="366" spans="1:14" x14ac:dyDescent="0.3">
      <c r="A366" t="s">
        <v>1062</v>
      </c>
      <c r="B366" t="s">
        <v>198</v>
      </c>
      <c r="C366" t="s">
        <v>805</v>
      </c>
      <c r="D366" t="s">
        <v>819</v>
      </c>
      <c r="E366">
        <v>12</v>
      </c>
      <c r="F366" t="s">
        <v>829</v>
      </c>
      <c r="G366" t="s">
        <v>890</v>
      </c>
      <c r="H366">
        <v>3297</v>
      </c>
      <c r="I366" t="s">
        <v>835</v>
      </c>
      <c r="J366" t="s">
        <v>842</v>
      </c>
      <c r="K366" s="2">
        <v>45200</v>
      </c>
      <c r="L366">
        <v>2023</v>
      </c>
      <c r="M366">
        <v>39564</v>
      </c>
      <c r="N366" t="s">
        <v>857</v>
      </c>
    </row>
    <row r="367" spans="1:14" x14ac:dyDescent="0.3">
      <c r="A367" t="s">
        <v>1063</v>
      </c>
      <c r="B367" t="s">
        <v>199</v>
      </c>
      <c r="C367" t="s">
        <v>805</v>
      </c>
      <c r="D367" t="s">
        <v>819</v>
      </c>
      <c r="E367">
        <v>12</v>
      </c>
      <c r="F367" t="s">
        <v>828</v>
      </c>
      <c r="G367" t="s">
        <v>874</v>
      </c>
      <c r="H367">
        <v>3297</v>
      </c>
      <c r="I367" t="s">
        <v>835</v>
      </c>
      <c r="J367" t="s">
        <v>842</v>
      </c>
      <c r="K367" s="2">
        <v>44228</v>
      </c>
      <c r="L367">
        <v>2021</v>
      </c>
      <c r="M367">
        <v>39564</v>
      </c>
      <c r="N367" t="s">
        <v>857</v>
      </c>
    </row>
    <row r="368" spans="1:14" x14ac:dyDescent="0.3">
      <c r="A368" t="s">
        <v>1064</v>
      </c>
      <c r="B368" t="s">
        <v>200</v>
      </c>
      <c r="C368" t="s">
        <v>806</v>
      </c>
      <c r="D368" t="s">
        <v>817</v>
      </c>
      <c r="E368">
        <v>20</v>
      </c>
      <c r="F368" t="s">
        <v>825</v>
      </c>
      <c r="G368" t="s">
        <v>854</v>
      </c>
      <c r="H368">
        <v>8769</v>
      </c>
      <c r="I368" t="s">
        <v>832</v>
      </c>
      <c r="J368" t="s">
        <v>843</v>
      </c>
      <c r="K368" s="2">
        <v>44136</v>
      </c>
      <c r="L368">
        <v>2020</v>
      </c>
      <c r="M368">
        <v>175380</v>
      </c>
      <c r="N368" t="s">
        <v>863</v>
      </c>
    </row>
    <row r="369" spans="1:14" x14ac:dyDescent="0.3">
      <c r="A369" t="s">
        <v>1065</v>
      </c>
      <c r="B369" t="s">
        <v>201</v>
      </c>
      <c r="C369" t="s">
        <v>805</v>
      </c>
      <c r="D369" t="s">
        <v>810</v>
      </c>
      <c r="E369">
        <v>19</v>
      </c>
      <c r="F369" t="s">
        <v>824</v>
      </c>
      <c r="G369" t="s">
        <v>859</v>
      </c>
      <c r="H369">
        <v>9057</v>
      </c>
      <c r="I369" t="s">
        <v>836</v>
      </c>
      <c r="J369" t="s">
        <v>843</v>
      </c>
      <c r="K369" s="2">
        <v>44682</v>
      </c>
      <c r="L369">
        <v>2022</v>
      </c>
      <c r="M369">
        <v>172083</v>
      </c>
      <c r="N369" t="s">
        <v>863</v>
      </c>
    </row>
    <row r="370" spans="1:14" x14ac:dyDescent="0.3">
      <c r="A370" t="s">
        <v>1065</v>
      </c>
      <c r="B370" t="s">
        <v>201</v>
      </c>
      <c r="C370" t="s">
        <v>807</v>
      </c>
      <c r="D370" t="s">
        <v>813</v>
      </c>
      <c r="E370">
        <v>11</v>
      </c>
      <c r="F370" t="s">
        <v>824</v>
      </c>
      <c r="G370" t="s">
        <v>859</v>
      </c>
      <c r="H370">
        <v>6864</v>
      </c>
      <c r="I370" t="s">
        <v>835</v>
      </c>
      <c r="J370" t="s">
        <v>841</v>
      </c>
      <c r="K370" s="2">
        <v>44682</v>
      </c>
      <c r="L370">
        <v>2022</v>
      </c>
      <c r="M370">
        <v>75504</v>
      </c>
      <c r="N370" t="s">
        <v>857</v>
      </c>
    </row>
    <row r="371" spans="1:14" x14ac:dyDescent="0.3">
      <c r="A371" t="s">
        <v>1065</v>
      </c>
      <c r="B371" t="s">
        <v>201</v>
      </c>
      <c r="C371" t="s">
        <v>805</v>
      </c>
      <c r="D371" t="s">
        <v>812</v>
      </c>
      <c r="E371">
        <v>13</v>
      </c>
      <c r="F371" t="s">
        <v>824</v>
      </c>
      <c r="G371" t="s">
        <v>859</v>
      </c>
      <c r="H371">
        <v>9200</v>
      </c>
      <c r="I371" t="s">
        <v>836</v>
      </c>
      <c r="J371" t="s">
        <v>843</v>
      </c>
      <c r="K371" s="2">
        <v>44682</v>
      </c>
      <c r="L371">
        <v>2022</v>
      </c>
      <c r="M371">
        <v>119600</v>
      </c>
      <c r="N371" t="s">
        <v>857</v>
      </c>
    </row>
    <row r="372" spans="1:14" x14ac:dyDescent="0.3">
      <c r="A372" t="s">
        <v>1066</v>
      </c>
      <c r="B372" t="s">
        <v>202</v>
      </c>
      <c r="C372" t="s">
        <v>805</v>
      </c>
      <c r="D372" t="s">
        <v>812</v>
      </c>
      <c r="E372">
        <v>6</v>
      </c>
      <c r="F372" t="s">
        <v>824</v>
      </c>
      <c r="G372" t="s">
        <v>859</v>
      </c>
      <c r="H372">
        <v>6113</v>
      </c>
      <c r="I372" t="s">
        <v>832</v>
      </c>
      <c r="J372" t="s">
        <v>841</v>
      </c>
      <c r="K372" s="2">
        <v>45444</v>
      </c>
      <c r="L372">
        <v>2024</v>
      </c>
      <c r="M372">
        <v>36678</v>
      </c>
      <c r="N372" t="s">
        <v>852</v>
      </c>
    </row>
    <row r="373" spans="1:14" x14ac:dyDescent="0.3">
      <c r="A373" t="s">
        <v>1066</v>
      </c>
      <c r="B373" t="s">
        <v>202</v>
      </c>
      <c r="C373" t="s">
        <v>807</v>
      </c>
      <c r="D373" t="s">
        <v>813</v>
      </c>
      <c r="E373">
        <v>15</v>
      </c>
      <c r="F373" t="s">
        <v>824</v>
      </c>
      <c r="G373" t="s">
        <v>859</v>
      </c>
      <c r="H373">
        <v>7733</v>
      </c>
      <c r="I373" t="s">
        <v>834</v>
      </c>
      <c r="J373" t="s">
        <v>841</v>
      </c>
      <c r="K373" s="2">
        <v>45444</v>
      </c>
      <c r="L373">
        <v>2024</v>
      </c>
      <c r="M373">
        <v>115995</v>
      </c>
      <c r="N373" t="s">
        <v>863</v>
      </c>
    </row>
    <row r="374" spans="1:14" x14ac:dyDescent="0.3">
      <c r="A374" t="s">
        <v>1066</v>
      </c>
      <c r="B374" t="s">
        <v>202</v>
      </c>
      <c r="C374" t="s">
        <v>807</v>
      </c>
      <c r="D374" t="s">
        <v>813</v>
      </c>
      <c r="E374">
        <v>14</v>
      </c>
      <c r="F374" t="s">
        <v>824</v>
      </c>
      <c r="G374" t="s">
        <v>859</v>
      </c>
      <c r="H374">
        <v>8524</v>
      </c>
      <c r="I374" t="s">
        <v>836</v>
      </c>
      <c r="J374" t="s">
        <v>843</v>
      </c>
      <c r="K374" s="2">
        <v>45444</v>
      </c>
      <c r="L374">
        <v>2024</v>
      </c>
      <c r="M374">
        <v>119336</v>
      </c>
      <c r="N374" t="s">
        <v>857</v>
      </c>
    </row>
    <row r="375" spans="1:14" x14ac:dyDescent="0.3">
      <c r="A375" t="s">
        <v>1066</v>
      </c>
      <c r="B375" t="s">
        <v>202</v>
      </c>
      <c r="C375" t="s">
        <v>807</v>
      </c>
      <c r="D375" t="s">
        <v>820</v>
      </c>
      <c r="E375">
        <v>15</v>
      </c>
      <c r="F375" t="s">
        <v>824</v>
      </c>
      <c r="G375" t="s">
        <v>859</v>
      </c>
      <c r="H375">
        <v>6187</v>
      </c>
      <c r="I375" t="s">
        <v>834</v>
      </c>
      <c r="J375" t="s">
        <v>841</v>
      </c>
      <c r="K375" s="2">
        <v>45444</v>
      </c>
      <c r="L375">
        <v>2024</v>
      </c>
      <c r="M375">
        <v>92805</v>
      </c>
      <c r="N375" t="s">
        <v>863</v>
      </c>
    </row>
    <row r="376" spans="1:14" x14ac:dyDescent="0.3">
      <c r="A376" t="s">
        <v>1067</v>
      </c>
      <c r="B376" t="s">
        <v>203</v>
      </c>
      <c r="C376" t="s">
        <v>807</v>
      </c>
      <c r="D376" t="s">
        <v>813</v>
      </c>
      <c r="E376">
        <v>18</v>
      </c>
      <c r="F376" t="s">
        <v>829</v>
      </c>
      <c r="G376" t="s">
        <v>890</v>
      </c>
      <c r="H376">
        <v>4364</v>
      </c>
      <c r="I376" t="s">
        <v>834</v>
      </c>
      <c r="J376" t="s">
        <v>844</v>
      </c>
      <c r="K376" s="2">
        <v>44743</v>
      </c>
      <c r="L376">
        <v>2022</v>
      </c>
      <c r="M376">
        <v>78552</v>
      </c>
      <c r="N376" t="s">
        <v>863</v>
      </c>
    </row>
    <row r="377" spans="1:14" x14ac:dyDescent="0.3">
      <c r="A377" t="s">
        <v>1067</v>
      </c>
      <c r="B377" t="s">
        <v>203</v>
      </c>
      <c r="C377" t="s">
        <v>806</v>
      </c>
      <c r="D377" t="s">
        <v>811</v>
      </c>
      <c r="E377">
        <v>12</v>
      </c>
      <c r="F377" t="s">
        <v>829</v>
      </c>
      <c r="G377" t="s">
        <v>890</v>
      </c>
      <c r="H377">
        <v>736</v>
      </c>
      <c r="I377" t="s">
        <v>834</v>
      </c>
      <c r="J377" t="s">
        <v>840</v>
      </c>
      <c r="K377" s="2">
        <v>44743</v>
      </c>
      <c r="L377">
        <v>2022</v>
      </c>
      <c r="M377">
        <v>8832</v>
      </c>
      <c r="N377" t="s">
        <v>857</v>
      </c>
    </row>
    <row r="378" spans="1:14" x14ac:dyDescent="0.3">
      <c r="A378" t="s">
        <v>1068</v>
      </c>
      <c r="B378" t="s">
        <v>204</v>
      </c>
      <c r="C378" t="s">
        <v>806</v>
      </c>
      <c r="D378" t="s">
        <v>811</v>
      </c>
      <c r="E378">
        <v>17</v>
      </c>
      <c r="F378" t="s">
        <v>828</v>
      </c>
      <c r="G378" t="s">
        <v>874</v>
      </c>
      <c r="H378">
        <v>9905</v>
      </c>
      <c r="I378" t="s">
        <v>834</v>
      </c>
      <c r="J378" t="s">
        <v>843</v>
      </c>
      <c r="K378" s="2">
        <v>44378</v>
      </c>
      <c r="L378">
        <v>2021</v>
      </c>
      <c r="M378">
        <v>168385</v>
      </c>
      <c r="N378" t="s">
        <v>863</v>
      </c>
    </row>
    <row r="379" spans="1:14" x14ac:dyDescent="0.3">
      <c r="A379" t="s">
        <v>1069</v>
      </c>
      <c r="B379" t="s">
        <v>205</v>
      </c>
      <c r="C379" t="s">
        <v>806</v>
      </c>
      <c r="D379" t="s">
        <v>811</v>
      </c>
      <c r="E379">
        <v>17</v>
      </c>
      <c r="F379" t="s">
        <v>824</v>
      </c>
      <c r="G379" t="s">
        <v>910</v>
      </c>
      <c r="H379">
        <v>9905</v>
      </c>
      <c r="I379" t="s">
        <v>834</v>
      </c>
      <c r="J379" t="s">
        <v>843</v>
      </c>
      <c r="K379" s="2">
        <v>44470</v>
      </c>
      <c r="L379">
        <v>2021</v>
      </c>
      <c r="M379">
        <v>168385</v>
      </c>
      <c r="N379" t="s">
        <v>863</v>
      </c>
    </row>
    <row r="380" spans="1:14" x14ac:dyDescent="0.3">
      <c r="A380" t="s">
        <v>1070</v>
      </c>
      <c r="B380" t="s">
        <v>206</v>
      </c>
      <c r="C380" t="s">
        <v>806</v>
      </c>
      <c r="D380" t="s">
        <v>817</v>
      </c>
      <c r="E380">
        <v>9</v>
      </c>
      <c r="F380" t="s">
        <v>825</v>
      </c>
      <c r="G380" t="s">
        <v>870</v>
      </c>
      <c r="H380">
        <v>2493</v>
      </c>
      <c r="I380" t="s">
        <v>835</v>
      </c>
      <c r="J380" t="s">
        <v>842</v>
      </c>
      <c r="K380" s="2">
        <v>45383</v>
      </c>
      <c r="L380">
        <v>2024</v>
      </c>
      <c r="M380">
        <v>22437</v>
      </c>
      <c r="N380" t="s">
        <v>852</v>
      </c>
    </row>
    <row r="381" spans="1:14" x14ac:dyDescent="0.3">
      <c r="A381" t="s">
        <v>1070</v>
      </c>
      <c r="B381" t="s">
        <v>206</v>
      </c>
      <c r="C381" t="s">
        <v>806</v>
      </c>
      <c r="D381" t="s">
        <v>811</v>
      </c>
      <c r="E381">
        <v>1</v>
      </c>
      <c r="F381" t="s">
        <v>825</v>
      </c>
      <c r="G381" t="s">
        <v>870</v>
      </c>
      <c r="H381">
        <v>9849</v>
      </c>
      <c r="I381" t="s">
        <v>835</v>
      </c>
      <c r="J381" t="s">
        <v>843</v>
      </c>
      <c r="K381" s="2">
        <v>45383</v>
      </c>
      <c r="L381">
        <v>2024</v>
      </c>
      <c r="M381">
        <v>9849</v>
      </c>
      <c r="N381" t="s">
        <v>868</v>
      </c>
    </row>
    <row r="382" spans="1:14" x14ac:dyDescent="0.3">
      <c r="A382" t="s">
        <v>1071</v>
      </c>
      <c r="B382" t="s">
        <v>207</v>
      </c>
      <c r="C382" t="s">
        <v>805</v>
      </c>
      <c r="D382" t="s">
        <v>810</v>
      </c>
      <c r="E382">
        <v>4</v>
      </c>
      <c r="F382" t="s">
        <v>825</v>
      </c>
      <c r="G382" t="s">
        <v>921</v>
      </c>
      <c r="H382">
        <v>3423</v>
      </c>
      <c r="I382" t="s">
        <v>835</v>
      </c>
      <c r="J382" t="s">
        <v>842</v>
      </c>
      <c r="K382" s="2">
        <v>44013</v>
      </c>
      <c r="L382">
        <v>2020</v>
      </c>
      <c r="M382">
        <v>13692</v>
      </c>
      <c r="N382" t="s">
        <v>868</v>
      </c>
    </row>
    <row r="383" spans="1:14" x14ac:dyDescent="0.3">
      <c r="A383" t="s">
        <v>1072</v>
      </c>
      <c r="B383" t="s">
        <v>208</v>
      </c>
      <c r="C383" t="s">
        <v>805</v>
      </c>
      <c r="D383" t="s">
        <v>810</v>
      </c>
      <c r="E383">
        <v>4</v>
      </c>
      <c r="F383" t="s">
        <v>828</v>
      </c>
      <c r="G383" t="s">
        <v>874</v>
      </c>
      <c r="H383">
        <v>3423</v>
      </c>
      <c r="I383" t="s">
        <v>835</v>
      </c>
      <c r="J383" t="s">
        <v>842</v>
      </c>
      <c r="K383" s="2">
        <v>44013</v>
      </c>
      <c r="L383">
        <v>2020</v>
      </c>
      <c r="M383">
        <v>13692</v>
      </c>
      <c r="N383" t="s">
        <v>868</v>
      </c>
    </row>
    <row r="384" spans="1:14" x14ac:dyDescent="0.3">
      <c r="A384" t="s">
        <v>1073</v>
      </c>
      <c r="B384" t="s">
        <v>209</v>
      </c>
      <c r="C384" t="s">
        <v>805</v>
      </c>
      <c r="D384" t="s">
        <v>810</v>
      </c>
      <c r="E384">
        <v>4</v>
      </c>
      <c r="F384" t="s">
        <v>828</v>
      </c>
      <c r="G384" t="s">
        <v>880</v>
      </c>
      <c r="H384">
        <v>3423</v>
      </c>
      <c r="I384" t="s">
        <v>835</v>
      </c>
      <c r="J384" t="s">
        <v>842</v>
      </c>
      <c r="K384" s="2">
        <v>45292</v>
      </c>
      <c r="L384">
        <v>2024</v>
      </c>
      <c r="M384">
        <v>13692</v>
      </c>
      <c r="N384" t="s">
        <v>868</v>
      </c>
    </row>
    <row r="385" spans="1:14" x14ac:dyDescent="0.3">
      <c r="A385" t="s">
        <v>867</v>
      </c>
      <c r="B385" t="s">
        <v>210</v>
      </c>
      <c r="C385" t="s">
        <v>805</v>
      </c>
      <c r="D385" t="s">
        <v>810</v>
      </c>
      <c r="E385">
        <v>4</v>
      </c>
      <c r="F385" t="s">
        <v>828</v>
      </c>
      <c r="G385" t="s">
        <v>874</v>
      </c>
      <c r="H385">
        <v>3423</v>
      </c>
      <c r="I385" t="s">
        <v>835</v>
      </c>
      <c r="J385" t="s">
        <v>842</v>
      </c>
      <c r="K385" s="2">
        <v>43952</v>
      </c>
      <c r="L385">
        <v>2020</v>
      </c>
      <c r="M385">
        <v>13692</v>
      </c>
      <c r="N385" t="s">
        <v>868</v>
      </c>
    </row>
    <row r="386" spans="1:14" x14ac:dyDescent="0.3">
      <c r="A386" t="s">
        <v>1074</v>
      </c>
      <c r="B386" t="s">
        <v>211</v>
      </c>
      <c r="C386" t="s">
        <v>805</v>
      </c>
      <c r="D386" t="s">
        <v>810</v>
      </c>
      <c r="E386">
        <v>4</v>
      </c>
      <c r="F386" t="s">
        <v>829</v>
      </c>
      <c r="G386" t="s">
        <v>890</v>
      </c>
      <c r="H386">
        <v>3423</v>
      </c>
      <c r="I386" t="s">
        <v>835</v>
      </c>
      <c r="J386" t="s">
        <v>842</v>
      </c>
      <c r="K386" s="2">
        <v>44501</v>
      </c>
      <c r="L386">
        <v>2021</v>
      </c>
      <c r="M386">
        <v>13692</v>
      </c>
      <c r="N386" t="s">
        <v>868</v>
      </c>
    </row>
    <row r="387" spans="1:14" x14ac:dyDescent="0.3">
      <c r="A387" t="s">
        <v>1075</v>
      </c>
      <c r="B387" t="s">
        <v>212</v>
      </c>
      <c r="C387" t="s">
        <v>807</v>
      </c>
      <c r="D387" t="s">
        <v>814</v>
      </c>
      <c r="E387">
        <v>9</v>
      </c>
      <c r="F387" t="s">
        <v>825</v>
      </c>
      <c r="G387" t="s">
        <v>870</v>
      </c>
      <c r="H387">
        <v>3900</v>
      </c>
      <c r="I387" t="s">
        <v>836</v>
      </c>
      <c r="J387" t="s">
        <v>842</v>
      </c>
      <c r="K387" s="2">
        <v>45200</v>
      </c>
      <c r="L387">
        <v>2023</v>
      </c>
      <c r="M387">
        <v>35100</v>
      </c>
      <c r="N387" t="s">
        <v>852</v>
      </c>
    </row>
    <row r="388" spans="1:14" x14ac:dyDescent="0.3">
      <c r="A388" t="s">
        <v>1076</v>
      </c>
      <c r="B388" t="s">
        <v>213</v>
      </c>
      <c r="C388" t="s">
        <v>805</v>
      </c>
      <c r="D388" t="s">
        <v>809</v>
      </c>
      <c r="E388">
        <v>11</v>
      </c>
      <c r="F388" t="s">
        <v>826</v>
      </c>
      <c r="G388" t="s">
        <v>872</v>
      </c>
      <c r="H388">
        <v>8568</v>
      </c>
      <c r="I388" t="s">
        <v>832</v>
      </c>
      <c r="J388" t="s">
        <v>843</v>
      </c>
      <c r="K388" s="2">
        <v>44470</v>
      </c>
      <c r="L388">
        <v>2021</v>
      </c>
      <c r="M388">
        <v>94248</v>
      </c>
      <c r="N388" t="s">
        <v>857</v>
      </c>
    </row>
    <row r="389" spans="1:14" x14ac:dyDescent="0.3">
      <c r="A389" t="s">
        <v>1076</v>
      </c>
      <c r="B389" t="s">
        <v>213</v>
      </c>
      <c r="C389" t="s">
        <v>806</v>
      </c>
      <c r="D389" t="s">
        <v>811</v>
      </c>
      <c r="E389">
        <v>6</v>
      </c>
      <c r="F389" t="s">
        <v>826</v>
      </c>
      <c r="G389" t="s">
        <v>872</v>
      </c>
      <c r="H389">
        <v>3283</v>
      </c>
      <c r="I389" t="s">
        <v>834</v>
      </c>
      <c r="J389" t="s">
        <v>842</v>
      </c>
      <c r="K389" s="2">
        <v>44470</v>
      </c>
      <c r="L389">
        <v>2021</v>
      </c>
      <c r="M389">
        <v>19698</v>
      </c>
      <c r="N389" t="s">
        <v>852</v>
      </c>
    </row>
    <row r="390" spans="1:14" x14ac:dyDescent="0.3">
      <c r="A390" t="s">
        <v>1077</v>
      </c>
      <c r="B390" t="s">
        <v>214</v>
      </c>
      <c r="C390" t="s">
        <v>805</v>
      </c>
      <c r="D390" t="s">
        <v>809</v>
      </c>
      <c r="E390">
        <v>19</v>
      </c>
      <c r="F390" t="s">
        <v>828</v>
      </c>
      <c r="G390" t="s">
        <v>874</v>
      </c>
      <c r="H390">
        <v>7643</v>
      </c>
      <c r="I390" t="s">
        <v>834</v>
      </c>
      <c r="J390" t="s">
        <v>841</v>
      </c>
      <c r="K390" s="2">
        <v>44743</v>
      </c>
      <c r="L390">
        <v>2022</v>
      </c>
      <c r="M390">
        <v>145217</v>
      </c>
      <c r="N390" t="s">
        <v>863</v>
      </c>
    </row>
    <row r="391" spans="1:14" x14ac:dyDescent="0.3">
      <c r="A391" t="s">
        <v>1078</v>
      </c>
      <c r="B391" t="s">
        <v>215</v>
      </c>
      <c r="C391" t="s">
        <v>807</v>
      </c>
      <c r="D391" t="s">
        <v>816</v>
      </c>
      <c r="E391">
        <v>15</v>
      </c>
      <c r="F391" t="s">
        <v>825</v>
      </c>
      <c r="G391" t="s">
        <v>854</v>
      </c>
      <c r="H391">
        <v>3461</v>
      </c>
      <c r="I391" t="s">
        <v>834</v>
      </c>
      <c r="J391" t="s">
        <v>842</v>
      </c>
      <c r="K391" s="2">
        <v>45505</v>
      </c>
      <c r="L391">
        <v>2024</v>
      </c>
      <c r="M391">
        <v>51915</v>
      </c>
      <c r="N391" t="s">
        <v>863</v>
      </c>
    </row>
    <row r="392" spans="1:14" x14ac:dyDescent="0.3">
      <c r="A392" t="s">
        <v>1078</v>
      </c>
      <c r="B392" t="s">
        <v>215</v>
      </c>
      <c r="C392" t="s">
        <v>805</v>
      </c>
      <c r="D392" t="s">
        <v>809</v>
      </c>
      <c r="E392">
        <v>6</v>
      </c>
      <c r="F392" t="s">
        <v>825</v>
      </c>
      <c r="G392" t="s">
        <v>854</v>
      </c>
      <c r="H392">
        <v>5714</v>
      </c>
      <c r="I392" t="s">
        <v>835</v>
      </c>
      <c r="J392" t="s">
        <v>844</v>
      </c>
      <c r="K392" s="2">
        <v>45505</v>
      </c>
      <c r="L392">
        <v>2024</v>
      </c>
      <c r="M392">
        <v>34284</v>
      </c>
      <c r="N392" t="s">
        <v>852</v>
      </c>
    </row>
    <row r="393" spans="1:14" x14ac:dyDescent="0.3">
      <c r="A393" t="s">
        <v>1078</v>
      </c>
      <c r="B393" t="s">
        <v>215</v>
      </c>
      <c r="C393" t="s">
        <v>806</v>
      </c>
      <c r="D393" t="s">
        <v>818</v>
      </c>
      <c r="E393">
        <v>10</v>
      </c>
      <c r="F393" t="s">
        <v>825</v>
      </c>
      <c r="G393" t="s">
        <v>854</v>
      </c>
      <c r="H393">
        <v>3853</v>
      </c>
      <c r="I393" t="s">
        <v>836</v>
      </c>
      <c r="J393" t="s">
        <v>842</v>
      </c>
      <c r="K393" s="2">
        <v>45505</v>
      </c>
      <c r="L393">
        <v>2024</v>
      </c>
      <c r="M393">
        <v>38530</v>
      </c>
      <c r="N393" t="s">
        <v>857</v>
      </c>
    </row>
    <row r="394" spans="1:14" x14ac:dyDescent="0.3">
      <c r="A394" t="s">
        <v>1079</v>
      </c>
      <c r="B394" t="s">
        <v>216</v>
      </c>
      <c r="C394" t="s">
        <v>806</v>
      </c>
      <c r="D394" t="s">
        <v>811</v>
      </c>
      <c r="E394">
        <v>20</v>
      </c>
      <c r="F394" t="s">
        <v>825</v>
      </c>
      <c r="G394" t="s">
        <v>854</v>
      </c>
      <c r="H394">
        <v>6016</v>
      </c>
      <c r="I394" t="s">
        <v>832</v>
      </c>
      <c r="J394" t="s">
        <v>841</v>
      </c>
      <c r="K394" s="2">
        <v>44105</v>
      </c>
      <c r="L394">
        <v>2020</v>
      </c>
      <c r="M394">
        <v>120320</v>
      </c>
      <c r="N394" t="s">
        <v>863</v>
      </c>
    </row>
    <row r="395" spans="1:14" x14ac:dyDescent="0.3">
      <c r="A395" t="s">
        <v>1080</v>
      </c>
      <c r="B395" t="s">
        <v>217</v>
      </c>
      <c r="C395" t="s">
        <v>806</v>
      </c>
      <c r="D395" t="s">
        <v>815</v>
      </c>
      <c r="E395">
        <v>12</v>
      </c>
      <c r="F395" t="s">
        <v>826</v>
      </c>
      <c r="G395" t="s">
        <v>856</v>
      </c>
      <c r="H395">
        <v>1290</v>
      </c>
      <c r="I395" t="s">
        <v>832</v>
      </c>
      <c r="J395" t="s">
        <v>840</v>
      </c>
      <c r="K395" s="2">
        <v>45444</v>
      </c>
      <c r="L395">
        <v>2024</v>
      </c>
      <c r="M395">
        <v>15480</v>
      </c>
      <c r="N395" t="s">
        <v>857</v>
      </c>
    </row>
    <row r="396" spans="1:14" x14ac:dyDescent="0.3">
      <c r="A396" t="s">
        <v>1081</v>
      </c>
      <c r="B396" t="s">
        <v>218</v>
      </c>
      <c r="C396" t="s">
        <v>806</v>
      </c>
      <c r="D396" t="s">
        <v>815</v>
      </c>
      <c r="E396">
        <v>12</v>
      </c>
      <c r="F396" t="s">
        <v>827</v>
      </c>
      <c r="G396" t="s">
        <v>883</v>
      </c>
      <c r="H396">
        <v>1290</v>
      </c>
      <c r="I396" t="s">
        <v>832</v>
      </c>
      <c r="J396" t="s">
        <v>840</v>
      </c>
      <c r="K396" s="2">
        <v>45627</v>
      </c>
      <c r="L396">
        <v>2024</v>
      </c>
      <c r="M396">
        <v>15480</v>
      </c>
      <c r="N396" t="s">
        <v>857</v>
      </c>
    </row>
    <row r="397" spans="1:14" x14ac:dyDescent="0.3">
      <c r="A397" t="s">
        <v>1082</v>
      </c>
      <c r="B397" t="s">
        <v>219</v>
      </c>
      <c r="C397" t="s">
        <v>805</v>
      </c>
      <c r="D397" t="s">
        <v>810</v>
      </c>
      <c r="E397">
        <v>10</v>
      </c>
      <c r="F397" t="s">
        <v>825</v>
      </c>
      <c r="G397" t="s">
        <v>870</v>
      </c>
      <c r="H397">
        <v>4569</v>
      </c>
      <c r="I397" t="s">
        <v>832</v>
      </c>
      <c r="J397" t="s">
        <v>844</v>
      </c>
      <c r="K397" s="2">
        <v>44075</v>
      </c>
      <c r="L397">
        <v>2020</v>
      </c>
      <c r="M397">
        <v>45690</v>
      </c>
      <c r="N397" t="s">
        <v>857</v>
      </c>
    </row>
    <row r="398" spans="1:14" x14ac:dyDescent="0.3">
      <c r="A398" t="s">
        <v>1083</v>
      </c>
      <c r="B398" t="s">
        <v>220</v>
      </c>
      <c r="C398" t="s">
        <v>807</v>
      </c>
      <c r="D398" t="s">
        <v>820</v>
      </c>
      <c r="E398">
        <v>16</v>
      </c>
      <c r="F398" t="s">
        <v>824</v>
      </c>
      <c r="G398" t="s">
        <v>859</v>
      </c>
      <c r="H398">
        <v>3083</v>
      </c>
      <c r="I398" t="s">
        <v>833</v>
      </c>
      <c r="J398" t="s">
        <v>842</v>
      </c>
      <c r="K398" s="2">
        <v>44652</v>
      </c>
      <c r="L398">
        <v>2022</v>
      </c>
      <c r="M398">
        <v>49328</v>
      </c>
      <c r="N398" t="s">
        <v>863</v>
      </c>
    </row>
    <row r="399" spans="1:14" x14ac:dyDescent="0.3">
      <c r="A399" t="s">
        <v>1084</v>
      </c>
      <c r="B399" t="s">
        <v>221</v>
      </c>
      <c r="C399" t="s">
        <v>806</v>
      </c>
      <c r="D399" t="s">
        <v>811</v>
      </c>
      <c r="E399">
        <v>15</v>
      </c>
      <c r="F399" t="s">
        <v>829</v>
      </c>
      <c r="G399" t="s">
        <v>894</v>
      </c>
      <c r="H399">
        <v>3522</v>
      </c>
      <c r="I399" t="s">
        <v>835</v>
      </c>
      <c r="J399" t="s">
        <v>842</v>
      </c>
      <c r="K399" s="2">
        <v>45505</v>
      </c>
      <c r="L399">
        <v>2024</v>
      </c>
      <c r="M399">
        <v>52830</v>
      </c>
      <c r="N399" t="s">
        <v>863</v>
      </c>
    </row>
    <row r="400" spans="1:14" x14ac:dyDescent="0.3">
      <c r="A400" t="s">
        <v>1085</v>
      </c>
      <c r="B400" t="s">
        <v>222</v>
      </c>
      <c r="C400" t="s">
        <v>806</v>
      </c>
      <c r="D400" t="s">
        <v>811</v>
      </c>
      <c r="E400">
        <v>15</v>
      </c>
      <c r="F400" t="s">
        <v>827</v>
      </c>
      <c r="G400" t="s">
        <v>862</v>
      </c>
      <c r="H400">
        <v>3522</v>
      </c>
      <c r="I400" t="s">
        <v>835</v>
      </c>
      <c r="J400" t="s">
        <v>842</v>
      </c>
      <c r="K400" s="2">
        <v>44562</v>
      </c>
      <c r="L400">
        <v>2022</v>
      </c>
      <c r="M400">
        <v>52830</v>
      </c>
      <c r="N400" t="s">
        <v>863</v>
      </c>
    </row>
    <row r="401" spans="1:14" x14ac:dyDescent="0.3">
      <c r="A401" t="s">
        <v>1086</v>
      </c>
      <c r="B401" t="s">
        <v>223</v>
      </c>
      <c r="C401" t="s">
        <v>806</v>
      </c>
      <c r="D401" t="s">
        <v>818</v>
      </c>
      <c r="E401">
        <v>3</v>
      </c>
      <c r="F401" t="s">
        <v>828</v>
      </c>
      <c r="G401" t="s">
        <v>904</v>
      </c>
      <c r="H401">
        <v>7301</v>
      </c>
      <c r="I401" t="s">
        <v>833</v>
      </c>
      <c r="J401" t="s">
        <v>841</v>
      </c>
      <c r="K401" s="2">
        <v>45383</v>
      </c>
      <c r="L401">
        <v>2024</v>
      </c>
      <c r="M401">
        <v>21903</v>
      </c>
      <c r="N401" t="s">
        <v>868</v>
      </c>
    </row>
    <row r="402" spans="1:14" x14ac:dyDescent="0.3">
      <c r="A402" t="s">
        <v>1087</v>
      </c>
      <c r="B402" t="s">
        <v>224</v>
      </c>
      <c r="C402" t="s">
        <v>805</v>
      </c>
      <c r="D402" t="s">
        <v>812</v>
      </c>
      <c r="E402">
        <v>8</v>
      </c>
      <c r="F402" t="s">
        <v>825</v>
      </c>
      <c r="G402" t="s">
        <v>870</v>
      </c>
      <c r="H402">
        <v>4462</v>
      </c>
      <c r="I402" t="s">
        <v>836</v>
      </c>
      <c r="J402" t="s">
        <v>844</v>
      </c>
      <c r="K402" s="2">
        <v>44652</v>
      </c>
      <c r="L402">
        <v>2022</v>
      </c>
      <c r="M402">
        <v>35696</v>
      </c>
      <c r="N402" t="s">
        <v>852</v>
      </c>
    </row>
    <row r="403" spans="1:14" x14ac:dyDescent="0.3">
      <c r="A403" t="s">
        <v>1087</v>
      </c>
      <c r="B403" t="s">
        <v>224</v>
      </c>
      <c r="C403" t="s">
        <v>805</v>
      </c>
      <c r="D403" t="s">
        <v>819</v>
      </c>
      <c r="E403">
        <v>17</v>
      </c>
      <c r="F403" t="s">
        <v>825</v>
      </c>
      <c r="G403" t="s">
        <v>870</v>
      </c>
      <c r="H403">
        <v>6212</v>
      </c>
      <c r="I403" t="s">
        <v>836</v>
      </c>
      <c r="J403" t="s">
        <v>841</v>
      </c>
      <c r="K403" s="2">
        <v>44652</v>
      </c>
      <c r="L403">
        <v>2022</v>
      </c>
      <c r="M403">
        <v>105604</v>
      </c>
      <c r="N403" t="s">
        <v>863</v>
      </c>
    </row>
    <row r="404" spans="1:14" x14ac:dyDescent="0.3">
      <c r="A404" t="s">
        <v>1088</v>
      </c>
      <c r="B404" t="s">
        <v>225</v>
      </c>
      <c r="C404" t="s">
        <v>807</v>
      </c>
      <c r="D404" t="s">
        <v>820</v>
      </c>
      <c r="E404">
        <v>3</v>
      </c>
      <c r="F404" t="s">
        <v>824</v>
      </c>
      <c r="G404" t="s">
        <v>910</v>
      </c>
      <c r="H404">
        <v>4027</v>
      </c>
      <c r="I404" t="s">
        <v>834</v>
      </c>
      <c r="J404" t="s">
        <v>844</v>
      </c>
      <c r="K404" s="2">
        <v>44044</v>
      </c>
      <c r="L404">
        <v>2020</v>
      </c>
      <c r="M404">
        <v>12081</v>
      </c>
      <c r="N404" t="s">
        <v>868</v>
      </c>
    </row>
    <row r="405" spans="1:14" x14ac:dyDescent="0.3">
      <c r="A405" t="s">
        <v>1089</v>
      </c>
      <c r="B405" t="s">
        <v>226</v>
      </c>
      <c r="C405" t="s">
        <v>805</v>
      </c>
      <c r="D405" t="s">
        <v>812</v>
      </c>
      <c r="E405">
        <v>14</v>
      </c>
      <c r="F405" t="s">
        <v>829</v>
      </c>
      <c r="G405" t="s">
        <v>894</v>
      </c>
      <c r="H405">
        <v>1676</v>
      </c>
      <c r="I405" t="s">
        <v>834</v>
      </c>
      <c r="J405" t="s">
        <v>840</v>
      </c>
      <c r="K405" s="2">
        <v>44986</v>
      </c>
      <c r="L405">
        <v>2023</v>
      </c>
      <c r="M405">
        <v>23464</v>
      </c>
      <c r="N405" t="s">
        <v>857</v>
      </c>
    </row>
    <row r="406" spans="1:14" x14ac:dyDescent="0.3">
      <c r="A406" t="s">
        <v>1089</v>
      </c>
      <c r="B406" t="s">
        <v>226</v>
      </c>
      <c r="C406" t="s">
        <v>807</v>
      </c>
      <c r="D406" t="s">
        <v>820</v>
      </c>
      <c r="E406">
        <v>12</v>
      </c>
      <c r="F406" t="s">
        <v>829</v>
      </c>
      <c r="G406" t="s">
        <v>894</v>
      </c>
      <c r="H406">
        <v>3927</v>
      </c>
      <c r="I406" t="s">
        <v>836</v>
      </c>
      <c r="J406" t="s">
        <v>842</v>
      </c>
      <c r="K406" s="2">
        <v>44986</v>
      </c>
      <c r="L406">
        <v>2023</v>
      </c>
      <c r="M406">
        <v>47124</v>
      </c>
      <c r="N406" t="s">
        <v>857</v>
      </c>
    </row>
    <row r="407" spans="1:14" x14ac:dyDescent="0.3">
      <c r="A407" t="s">
        <v>1089</v>
      </c>
      <c r="B407" t="s">
        <v>226</v>
      </c>
      <c r="C407" t="s">
        <v>805</v>
      </c>
      <c r="D407" t="s">
        <v>819</v>
      </c>
      <c r="E407">
        <v>9</v>
      </c>
      <c r="F407" t="s">
        <v>829</v>
      </c>
      <c r="G407" t="s">
        <v>894</v>
      </c>
      <c r="H407">
        <v>2776</v>
      </c>
      <c r="I407" t="s">
        <v>833</v>
      </c>
      <c r="J407" t="s">
        <v>842</v>
      </c>
      <c r="K407" s="2">
        <v>44986</v>
      </c>
      <c r="L407">
        <v>2023</v>
      </c>
      <c r="M407">
        <v>24984</v>
      </c>
      <c r="N407" t="s">
        <v>852</v>
      </c>
    </row>
    <row r="408" spans="1:14" x14ac:dyDescent="0.3">
      <c r="A408" t="s">
        <v>1090</v>
      </c>
      <c r="B408" t="s">
        <v>227</v>
      </c>
      <c r="C408" t="s">
        <v>807</v>
      </c>
      <c r="D408" t="s">
        <v>816</v>
      </c>
      <c r="E408">
        <v>12</v>
      </c>
      <c r="F408" t="s">
        <v>825</v>
      </c>
      <c r="G408" t="s">
        <v>854</v>
      </c>
      <c r="H408">
        <v>7684</v>
      </c>
      <c r="I408" t="s">
        <v>836</v>
      </c>
      <c r="J408" t="s">
        <v>841</v>
      </c>
      <c r="K408" s="2">
        <v>44105</v>
      </c>
      <c r="L408">
        <v>2020</v>
      </c>
      <c r="M408">
        <v>92208</v>
      </c>
      <c r="N408" t="s">
        <v>857</v>
      </c>
    </row>
    <row r="409" spans="1:14" x14ac:dyDescent="0.3">
      <c r="A409" t="s">
        <v>1091</v>
      </c>
      <c r="B409" t="s">
        <v>228</v>
      </c>
      <c r="C409" t="s">
        <v>807</v>
      </c>
      <c r="D409" t="s">
        <v>816</v>
      </c>
      <c r="E409">
        <v>12</v>
      </c>
      <c r="F409" t="s">
        <v>826</v>
      </c>
      <c r="G409" t="s">
        <v>856</v>
      </c>
      <c r="H409">
        <v>7684</v>
      </c>
      <c r="I409" t="s">
        <v>836</v>
      </c>
      <c r="J409" t="s">
        <v>841</v>
      </c>
      <c r="K409" s="2">
        <v>43983</v>
      </c>
      <c r="L409">
        <v>2020</v>
      </c>
      <c r="M409">
        <v>92208</v>
      </c>
      <c r="N409" t="s">
        <v>857</v>
      </c>
    </row>
    <row r="410" spans="1:14" x14ac:dyDescent="0.3">
      <c r="A410" t="s">
        <v>896</v>
      </c>
      <c r="B410" t="s">
        <v>229</v>
      </c>
      <c r="C410" t="s">
        <v>807</v>
      </c>
      <c r="D410" t="s">
        <v>816</v>
      </c>
      <c r="E410">
        <v>12</v>
      </c>
      <c r="F410" t="s">
        <v>829</v>
      </c>
      <c r="G410" t="s">
        <v>886</v>
      </c>
      <c r="H410">
        <v>7684</v>
      </c>
      <c r="I410" t="s">
        <v>836</v>
      </c>
      <c r="J410" t="s">
        <v>841</v>
      </c>
      <c r="K410" s="2">
        <v>45139</v>
      </c>
      <c r="L410">
        <v>2023</v>
      </c>
      <c r="M410">
        <v>92208</v>
      </c>
      <c r="N410" t="s">
        <v>857</v>
      </c>
    </row>
    <row r="411" spans="1:14" x14ac:dyDescent="0.3">
      <c r="A411" t="s">
        <v>1048</v>
      </c>
      <c r="B411" t="s">
        <v>230</v>
      </c>
      <c r="C411" t="s">
        <v>805</v>
      </c>
      <c r="D411" t="s">
        <v>819</v>
      </c>
      <c r="E411">
        <v>17</v>
      </c>
      <c r="F411" t="s">
        <v>824</v>
      </c>
      <c r="G411" t="s">
        <v>851</v>
      </c>
      <c r="H411">
        <v>6008</v>
      </c>
      <c r="I411" t="s">
        <v>835</v>
      </c>
      <c r="J411" t="s">
        <v>841</v>
      </c>
      <c r="K411" s="2">
        <v>44743</v>
      </c>
      <c r="L411">
        <v>2022</v>
      </c>
      <c r="M411">
        <v>102136</v>
      </c>
      <c r="N411" t="s">
        <v>863</v>
      </c>
    </row>
    <row r="412" spans="1:14" x14ac:dyDescent="0.3">
      <c r="A412" t="s">
        <v>1092</v>
      </c>
      <c r="B412" t="s">
        <v>231</v>
      </c>
      <c r="C412" t="s">
        <v>807</v>
      </c>
      <c r="D412" t="s">
        <v>820</v>
      </c>
      <c r="E412">
        <v>20</v>
      </c>
      <c r="F412" t="s">
        <v>828</v>
      </c>
      <c r="G412" t="s">
        <v>874</v>
      </c>
      <c r="H412">
        <v>7344</v>
      </c>
      <c r="I412" t="s">
        <v>836</v>
      </c>
      <c r="J412" t="s">
        <v>841</v>
      </c>
      <c r="K412" s="2">
        <v>44774</v>
      </c>
      <c r="L412">
        <v>2022</v>
      </c>
      <c r="M412">
        <v>146880</v>
      </c>
      <c r="N412" t="s">
        <v>863</v>
      </c>
    </row>
    <row r="413" spans="1:14" x14ac:dyDescent="0.3">
      <c r="A413" t="s">
        <v>1093</v>
      </c>
      <c r="B413" t="s">
        <v>232</v>
      </c>
      <c r="C413" t="s">
        <v>806</v>
      </c>
      <c r="D413" t="s">
        <v>811</v>
      </c>
      <c r="E413">
        <v>20</v>
      </c>
      <c r="F413" t="s">
        <v>824</v>
      </c>
      <c r="G413" t="s">
        <v>859</v>
      </c>
      <c r="H413">
        <v>6932</v>
      </c>
      <c r="I413" t="s">
        <v>836</v>
      </c>
      <c r="J413" t="s">
        <v>841</v>
      </c>
      <c r="K413" s="2">
        <v>44013</v>
      </c>
      <c r="L413">
        <v>2020</v>
      </c>
      <c r="M413">
        <v>138640</v>
      </c>
      <c r="N413" t="s">
        <v>863</v>
      </c>
    </row>
    <row r="414" spans="1:14" x14ac:dyDescent="0.3">
      <c r="A414" t="s">
        <v>1094</v>
      </c>
      <c r="B414" t="s">
        <v>233</v>
      </c>
      <c r="C414" t="s">
        <v>805</v>
      </c>
      <c r="D414" t="s">
        <v>809</v>
      </c>
      <c r="E414">
        <v>16</v>
      </c>
      <c r="F414" t="s">
        <v>829</v>
      </c>
      <c r="G414" t="s">
        <v>890</v>
      </c>
      <c r="H414">
        <v>7748</v>
      </c>
      <c r="I414" t="s">
        <v>834</v>
      </c>
      <c r="J414" t="s">
        <v>841</v>
      </c>
      <c r="K414" s="2">
        <v>43952</v>
      </c>
      <c r="L414">
        <v>2020</v>
      </c>
      <c r="M414">
        <v>123968</v>
      </c>
      <c r="N414" t="s">
        <v>863</v>
      </c>
    </row>
    <row r="415" spans="1:14" x14ac:dyDescent="0.3">
      <c r="A415" t="s">
        <v>1094</v>
      </c>
      <c r="B415" t="s">
        <v>233</v>
      </c>
      <c r="C415" t="s">
        <v>806</v>
      </c>
      <c r="D415" t="s">
        <v>815</v>
      </c>
      <c r="E415">
        <v>20</v>
      </c>
      <c r="F415" t="s">
        <v>829</v>
      </c>
      <c r="G415" t="s">
        <v>890</v>
      </c>
      <c r="H415">
        <v>6381</v>
      </c>
      <c r="I415" t="s">
        <v>832</v>
      </c>
      <c r="J415" t="s">
        <v>841</v>
      </c>
      <c r="K415" s="2">
        <v>43952</v>
      </c>
      <c r="L415">
        <v>2020</v>
      </c>
      <c r="M415">
        <v>127620</v>
      </c>
      <c r="N415" t="s">
        <v>863</v>
      </c>
    </row>
    <row r="416" spans="1:14" x14ac:dyDescent="0.3">
      <c r="A416" t="s">
        <v>1094</v>
      </c>
      <c r="B416" t="s">
        <v>233</v>
      </c>
      <c r="C416" t="s">
        <v>805</v>
      </c>
      <c r="D416" t="s">
        <v>819</v>
      </c>
      <c r="E416">
        <v>6</v>
      </c>
      <c r="F416" t="s">
        <v>829</v>
      </c>
      <c r="G416" t="s">
        <v>890</v>
      </c>
      <c r="H416">
        <v>992</v>
      </c>
      <c r="I416" t="s">
        <v>835</v>
      </c>
      <c r="J416" t="s">
        <v>840</v>
      </c>
      <c r="K416" s="2">
        <v>43952</v>
      </c>
      <c r="L416">
        <v>2020</v>
      </c>
      <c r="M416">
        <v>5952</v>
      </c>
      <c r="N416" t="s">
        <v>852</v>
      </c>
    </row>
    <row r="417" spans="1:14" x14ac:dyDescent="0.3">
      <c r="A417" t="s">
        <v>1095</v>
      </c>
      <c r="B417" t="s">
        <v>234</v>
      </c>
      <c r="C417" t="s">
        <v>805</v>
      </c>
      <c r="D417" t="s">
        <v>812</v>
      </c>
      <c r="E417">
        <v>13</v>
      </c>
      <c r="F417" t="s">
        <v>827</v>
      </c>
      <c r="G417" t="s">
        <v>883</v>
      </c>
      <c r="H417">
        <v>8649</v>
      </c>
      <c r="I417" t="s">
        <v>834</v>
      </c>
      <c r="J417" t="s">
        <v>843</v>
      </c>
      <c r="K417" s="2">
        <v>45292</v>
      </c>
      <c r="L417">
        <v>2024</v>
      </c>
      <c r="M417">
        <v>112437</v>
      </c>
      <c r="N417" t="s">
        <v>857</v>
      </c>
    </row>
    <row r="418" spans="1:14" x14ac:dyDescent="0.3">
      <c r="A418" t="s">
        <v>1096</v>
      </c>
      <c r="B418" t="s">
        <v>235</v>
      </c>
      <c r="C418" t="s">
        <v>805</v>
      </c>
      <c r="D418" t="s">
        <v>812</v>
      </c>
      <c r="E418">
        <v>13</v>
      </c>
      <c r="F418" t="s">
        <v>826</v>
      </c>
      <c r="G418" t="s">
        <v>872</v>
      </c>
      <c r="H418">
        <v>8649</v>
      </c>
      <c r="I418" t="s">
        <v>834</v>
      </c>
      <c r="J418" t="s">
        <v>843</v>
      </c>
      <c r="K418" s="2">
        <v>44075</v>
      </c>
      <c r="L418">
        <v>2020</v>
      </c>
      <c r="M418">
        <v>112437</v>
      </c>
      <c r="N418" t="s">
        <v>857</v>
      </c>
    </row>
    <row r="419" spans="1:14" x14ac:dyDescent="0.3">
      <c r="A419" t="s">
        <v>999</v>
      </c>
      <c r="B419" t="s">
        <v>236</v>
      </c>
      <c r="C419" t="s">
        <v>805</v>
      </c>
      <c r="D419" t="s">
        <v>812</v>
      </c>
      <c r="E419">
        <v>18</v>
      </c>
      <c r="F419" t="s">
        <v>826</v>
      </c>
      <c r="G419" t="s">
        <v>865</v>
      </c>
      <c r="H419">
        <v>4099</v>
      </c>
      <c r="I419" t="s">
        <v>832</v>
      </c>
      <c r="J419" t="s">
        <v>844</v>
      </c>
      <c r="K419" s="2">
        <v>44621</v>
      </c>
      <c r="L419">
        <v>2022</v>
      </c>
      <c r="M419">
        <v>73782</v>
      </c>
      <c r="N419" t="s">
        <v>863</v>
      </c>
    </row>
    <row r="420" spans="1:14" x14ac:dyDescent="0.3">
      <c r="A420" t="s">
        <v>1097</v>
      </c>
      <c r="B420" t="s">
        <v>237</v>
      </c>
      <c r="C420" t="s">
        <v>805</v>
      </c>
      <c r="D420" t="s">
        <v>809</v>
      </c>
      <c r="E420">
        <v>5</v>
      </c>
      <c r="F420" t="s">
        <v>827</v>
      </c>
      <c r="G420" t="s">
        <v>883</v>
      </c>
      <c r="H420">
        <v>2539</v>
      </c>
      <c r="I420" t="s">
        <v>832</v>
      </c>
      <c r="J420" t="s">
        <v>842</v>
      </c>
      <c r="K420" s="2">
        <v>44197</v>
      </c>
      <c r="L420">
        <v>2021</v>
      </c>
      <c r="M420">
        <v>12695</v>
      </c>
      <c r="N420" t="s">
        <v>852</v>
      </c>
    </row>
    <row r="421" spans="1:14" x14ac:dyDescent="0.3">
      <c r="A421" t="s">
        <v>1098</v>
      </c>
      <c r="B421" t="s">
        <v>238</v>
      </c>
      <c r="C421" t="s">
        <v>806</v>
      </c>
      <c r="D421" t="s">
        <v>817</v>
      </c>
      <c r="E421">
        <v>9</v>
      </c>
      <c r="F421" t="s">
        <v>824</v>
      </c>
      <c r="G421" t="s">
        <v>859</v>
      </c>
      <c r="H421">
        <v>9845</v>
      </c>
      <c r="I421" t="s">
        <v>836</v>
      </c>
      <c r="J421" t="s">
        <v>843</v>
      </c>
      <c r="K421" s="2">
        <v>45717</v>
      </c>
      <c r="L421">
        <v>2025</v>
      </c>
      <c r="M421">
        <v>88605</v>
      </c>
      <c r="N421" t="s">
        <v>852</v>
      </c>
    </row>
    <row r="422" spans="1:14" x14ac:dyDescent="0.3">
      <c r="A422" t="s">
        <v>1099</v>
      </c>
      <c r="B422" t="s">
        <v>239</v>
      </c>
      <c r="C422" t="s">
        <v>806</v>
      </c>
      <c r="D422" t="s">
        <v>817</v>
      </c>
      <c r="E422">
        <v>2</v>
      </c>
      <c r="F422" t="s">
        <v>828</v>
      </c>
      <c r="G422" t="s">
        <v>880</v>
      </c>
      <c r="H422">
        <v>2901</v>
      </c>
      <c r="I422" t="s">
        <v>833</v>
      </c>
      <c r="J422" t="s">
        <v>842</v>
      </c>
      <c r="K422" s="2">
        <v>44470</v>
      </c>
      <c r="L422">
        <v>2021</v>
      </c>
      <c r="M422">
        <v>5802</v>
      </c>
      <c r="N422" t="s">
        <v>868</v>
      </c>
    </row>
    <row r="423" spans="1:14" x14ac:dyDescent="0.3">
      <c r="A423" t="s">
        <v>1100</v>
      </c>
      <c r="B423" t="s">
        <v>240</v>
      </c>
      <c r="C423" t="s">
        <v>806</v>
      </c>
      <c r="D423" t="s">
        <v>817</v>
      </c>
      <c r="E423">
        <v>2</v>
      </c>
      <c r="F423" t="s">
        <v>827</v>
      </c>
      <c r="G423" t="s">
        <v>862</v>
      </c>
      <c r="H423">
        <v>2901</v>
      </c>
      <c r="I423" t="s">
        <v>833</v>
      </c>
      <c r="J423" t="s">
        <v>842</v>
      </c>
      <c r="K423" s="2">
        <v>44927</v>
      </c>
      <c r="L423">
        <v>2023</v>
      </c>
      <c r="M423">
        <v>5802</v>
      </c>
      <c r="N423" t="s">
        <v>868</v>
      </c>
    </row>
    <row r="424" spans="1:14" x14ac:dyDescent="0.3">
      <c r="A424" t="s">
        <v>1099</v>
      </c>
      <c r="B424" t="s">
        <v>239</v>
      </c>
      <c r="C424" t="s">
        <v>806</v>
      </c>
      <c r="D424" t="s">
        <v>811</v>
      </c>
      <c r="E424">
        <v>6</v>
      </c>
      <c r="F424" t="s">
        <v>828</v>
      </c>
      <c r="G424" t="s">
        <v>880</v>
      </c>
      <c r="H424">
        <v>6934</v>
      </c>
      <c r="I424" t="s">
        <v>835</v>
      </c>
      <c r="J424" t="s">
        <v>841</v>
      </c>
      <c r="K424" s="2">
        <v>44470</v>
      </c>
      <c r="L424">
        <v>2021</v>
      </c>
      <c r="M424">
        <v>41604</v>
      </c>
      <c r="N424" t="s">
        <v>852</v>
      </c>
    </row>
    <row r="425" spans="1:14" x14ac:dyDescent="0.3">
      <c r="A425" t="s">
        <v>1100</v>
      </c>
      <c r="B425" t="s">
        <v>240</v>
      </c>
      <c r="C425" t="s">
        <v>806</v>
      </c>
      <c r="D425" t="s">
        <v>811</v>
      </c>
      <c r="E425">
        <v>6</v>
      </c>
      <c r="F425" t="s">
        <v>827</v>
      </c>
      <c r="G425" t="s">
        <v>862</v>
      </c>
      <c r="H425">
        <v>6934</v>
      </c>
      <c r="I425" t="s">
        <v>835</v>
      </c>
      <c r="J425" t="s">
        <v>841</v>
      </c>
      <c r="K425" s="2">
        <v>44927</v>
      </c>
      <c r="L425">
        <v>2023</v>
      </c>
      <c r="M425">
        <v>41604</v>
      </c>
      <c r="N425" t="s">
        <v>852</v>
      </c>
    </row>
    <row r="426" spans="1:14" x14ac:dyDescent="0.3">
      <c r="A426" t="s">
        <v>1101</v>
      </c>
      <c r="B426" t="s">
        <v>241</v>
      </c>
      <c r="C426" t="s">
        <v>807</v>
      </c>
      <c r="D426" t="s">
        <v>820</v>
      </c>
      <c r="E426">
        <v>2</v>
      </c>
      <c r="F426" t="s">
        <v>825</v>
      </c>
      <c r="G426" t="s">
        <v>921</v>
      </c>
      <c r="H426">
        <v>9640</v>
      </c>
      <c r="I426" t="s">
        <v>835</v>
      </c>
      <c r="J426" t="s">
        <v>843</v>
      </c>
      <c r="K426" s="2">
        <v>44470</v>
      </c>
      <c r="L426">
        <v>2021</v>
      </c>
      <c r="M426">
        <v>19280</v>
      </c>
      <c r="N426" t="s">
        <v>868</v>
      </c>
    </row>
    <row r="427" spans="1:14" x14ac:dyDescent="0.3">
      <c r="A427" t="s">
        <v>1102</v>
      </c>
      <c r="B427" t="s">
        <v>242</v>
      </c>
      <c r="C427" t="s">
        <v>807</v>
      </c>
      <c r="D427" t="s">
        <v>814</v>
      </c>
      <c r="E427">
        <v>13</v>
      </c>
      <c r="F427" t="s">
        <v>829</v>
      </c>
      <c r="G427" t="s">
        <v>894</v>
      </c>
      <c r="H427">
        <v>7930</v>
      </c>
      <c r="I427" t="s">
        <v>835</v>
      </c>
      <c r="J427" t="s">
        <v>841</v>
      </c>
      <c r="K427" s="2">
        <v>45047</v>
      </c>
      <c r="L427">
        <v>2023</v>
      </c>
      <c r="M427">
        <v>103090</v>
      </c>
      <c r="N427" t="s">
        <v>857</v>
      </c>
    </row>
    <row r="428" spans="1:14" x14ac:dyDescent="0.3">
      <c r="A428" t="s">
        <v>1103</v>
      </c>
      <c r="B428" t="s">
        <v>243</v>
      </c>
      <c r="C428" t="s">
        <v>807</v>
      </c>
      <c r="D428" t="s">
        <v>814</v>
      </c>
      <c r="E428">
        <v>13</v>
      </c>
      <c r="F428" t="s">
        <v>825</v>
      </c>
      <c r="G428" t="s">
        <v>870</v>
      </c>
      <c r="H428">
        <v>7930</v>
      </c>
      <c r="I428" t="s">
        <v>835</v>
      </c>
      <c r="J428" t="s">
        <v>841</v>
      </c>
      <c r="K428" s="2">
        <v>45505</v>
      </c>
      <c r="L428">
        <v>2024</v>
      </c>
      <c r="M428">
        <v>103090</v>
      </c>
      <c r="N428" t="s">
        <v>857</v>
      </c>
    </row>
    <row r="429" spans="1:14" x14ac:dyDescent="0.3">
      <c r="A429" t="s">
        <v>1104</v>
      </c>
      <c r="B429" t="s">
        <v>244</v>
      </c>
      <c r="C429" t="s">
        <v>806</v>
      </c>
      <c r="D429" t="s">
        <v>818</v>
      </c>
      <c r="E429">
        <v>1</v>
      </c>
      <c r="F429" t="s">
        <v>827</v>
      </c>
      <c r="G429" t="s">
        <v>876</v>
      </c>
      <c r="H429">
        <v>9894</v>
      </c>
      <c r="I429" t="s">
        <v>836</v>
      </c>
      <c r="J429" t="s">
        <v>843</v>
      </c>
      <c r="K429" s="2">
        <v>44774</v>
      </c>
      <c r="L429">
        <v>2022</v>
      </c>
      <c r="M429">
        <v>9894</v>
      </c>
      <c r="N429" t="s">
        <v>868</v>
      </c>
    </row>
    <row r="430" spans="1:14" x14ac:dyDescent="0.3">
      <c r="A430" t="s">
        <v>1104</v>
      </c>
      <c r="B430" t="s">
        <v>244</v>
      </c>
      <c r="C430" t="s">
        <v>807</v>
      </c>
      <c r="D430" t="s">
        <v>813</v>
      </c>
      <c r="E430">
        <v>4</v>
      </c>
      <c r="F430" t="s">
        <v>827</v>
      </c>
      <c r="G430" t="s">
        <v>876</v>
      </c>
      <c r="H430">
        <v>4534</v>
      </c>
      <c r="I430" t="s">
        <v>836</v>
      </c>
      <c r="J430" t="s">
        <v>844</v>
      </c>
      <c r="K430" s="2">
        <v>44774</v>
      </c>
      <c r="L430">
        <v>2022</v>
      </c>
      <c r="M430">
        <v>18136</v>
      </c>
      <c r="N430" t="s">
        <v>868</v>
      </c>
    </row>
    <row r="431" spans="1:14" x14ac:dyDescent="0.3">
      <c r="A431" t="s">
        <v>1105</v>
      </c>
      <c r="B431" t="s">
        <v>245</v>
      </c>
      <c r="C431" t="s">
        <v>805</v>
      </c>
      <c r="D431" t="s">
        <v>819</v>
      </c>
      <c r="E431">
        <v>20</v>
      </c>
      <c r="F431" t="s">
        <v>826</v>
      </c>
      <c r="G431" t="s">
        <v>856</v>
      </c>
      <c r="H431">
        <v>4911</v>
      </c>
      <c r="I431" t="s">
        <v>833</v>
      </c>
      <c r="J431" t="s">
        <v>844</v>
      </c>
      <c r="K431" s="2">
        <v>44713</v>
      </c>
      <c r="L431">
        <v>2022</v>
      </c>
      <c r="M431">
        <v>98220</v>
      </c>
      <c r="N431" t="s">
        <v>863</v>
      </c>
    </row>
    <row r="432" spans="1:14" x14ac:dyDescent="0.3">
      <c r="A432" t="s">
        <v>1105</v>
      </c>
      <c r="B432" t="s">
        <v>245</v>
      </c>
      <c r="C432" t="s">
        <v>807</v>
      </c>
      <c r="D432" t="s">
        <v>820</v>
      </c>
      <c r="E432">
        <v>20</v>
      </c>
      <c r="F432" t="s">
        <v>826</v>
      </c>
      <c r="G432" t="s">
        <v>856</v>
      </c>
      <c r="H432">
        <v>531</v>
      </c>
      <c r="I432" t="s">
        <v>833</v>
      </c>
      <c r="J432" t="s">
        <v>840</v>
      </c>
      <c r="K432" s="2">
        <v>44713</v>
      </c>
      <c r="L432">
        <v>2022</v>
      </c>
      <c r="M432">
        <v>10620</v>
      </c>
      <c r="N432" t="s">
        <v>863</v>
      </c>
    </row>
    <row r="433" spans="1:14" x14ac:dyDescent="0.3">
      <c r="A433" t="s">
        <v>1106</v>
      </c>
      <c r="B433" t="s">
        <v>246</v>
      </c>
      <c r="C433" t="s">
        <v>805</v>
      </c>
      <c r="D433" t="s">
        <v>809</v>
      </c>
      <c r="E433">
        <v>10</v>
      </c>
      <c r="F433" t="s">
        <v>825</v>
      </c>
      <c r="G433" t="s">
        <v>921</v>
      </c>
      <c r="H433">
        <v>9707</v>
      </c>
      <c r="I433" t="s">
        <v>834</v>
      </c>
      <c r="J433" t="s">
        <v>843</v>
      </c>
      <c r="K433" s="2">
        <v>45658</v>
      </c>
      <c r="L433">
        <v>2025</v>
      </c>
      <c r="M433">
        <v>97070</v>
      </c>
      <c r="N433" t="s">
        <v>857</v>
      </c>
    </row>
    <row r="434" spans="1:14" x14ac:dyDescent="0.3">
      <c r="A434" t="s">
        <v>1106</v>
      </c>
      <c r="B434" t="s">
        <v>246</v>
      </c>
      <c r="C434" t="s">
        <v>806</v>
      </c>
      <c r="D434" t="s">
        <v>817</v>
      </c>
      <c r="E434">
        <v>7</v>
      </c>
      <c r="F434" t="s">
        <v>825</v>
      </c>
      <c r="G434" t="s">
        <v>921</v>
      </c>
      <c r="H434">
        <v>8521</v>
      </c>
      <c r="I434" t="s">
        <v>836</v>
      </c>
      <c r="J434" t="s">
        <v>843</v>
      </c>
      <c r="K434" s="2">
        <v>45658</v>
      </c>
      <c r="L434">
        <v>2025</v>
      </c>
      <c r="M434">
        <v>59647</v>
      </c>
      <c r="N434" t="s">
        <v>852</v>
      </c>
    </row>
    <row r="435" spans="1:14" x14ac:dyDescent="0.3">
      <c r="A435" t="s">
        <v>1085</v>
      </c>
      <c r="B435" t="s">
        <v>247</v>
      </c>
      <c r="C435" t="s">
        <v>806</v>
      </c>
      <c r="D435" t="s">
        <v>818</v>
      </c>
      <c r="E435">
        <v>12</v>
      </c>
      <c r="F435" t="s">
        <v>826</v>
      </c>
      <c r="G435" t="s">
        <v>856</v>
      </c>
      <c r="H435">
        <v>8438</v>
      </c>
      <c r="I435" t="s">
        <v>835</v>
      </c>
      <c r="J435" t="s">
        <v>843</v>
      </c>
      <c r="K435" s="2">
        <v>44562</v>
      </c>
      <c r="L435">
        <v>2022</v>
      </c>
      <c r="M435">
        <v>101256</v>
      </c>
      <c r="N435" t="s">
        <v>857</v>
      </c>
    </row>
    <row r="436" spans="1:14" x14ac:dyDescent="0.3">
      <c r="A436" t="s">
        <v>1085</v>
      </c>
      <c r="B436" t="s">
        <v>247</v>
      </c>
      <c r="C436" t="s">
        <v>805</v>
      </c>
      <c r="D436" t="s">
        <v>809</v>
      </c>
      <c r="E436">
        <v>9</v>
      </c>
      <c r="F436" t="s">
        <v>826</v>
      </c>
      <c r="G436" t="s">
        <v>856</v>
      </c>
      <c r="H436">
        <v>1689</v>
      </c>
      <c r="I436" t="s">
        <v>832</v>
      </c>
      <c r="J436" t="s">
        <v>840</v>
      </c>
      <c r="K436" s="2">
        <v>44562</v>
      </c>
      <c r="L436">
        <v>2022</v>
      </c>
      <c r="M436">
        <v>15201</v>
      </c>
      <c r="N436" t="s">
        <v>852</v>
      </c>
    </row>
    <row r="437" spans="1:14" x14ac:dyDescent="0.3">
      <c r="A437" t="s">
        <v>1085</v>
      </c>
      <c r="B437" t="s">
        <v>247</v>
      </c>
      <c r="C437" t="s">
        <v>806</v>
      </c>
      <c r="D437" t="s">
        <v>817</v>
      </c>
      <c r="E437">
        <v>14</v>
      </c>
      <c r="F437" t="s">
        <v>826</v>
      </c>
      <c r="G437" t="s">
        <v>856</v>
      </c>
      <c r="H437">
        <v>3936</v>
      </c>
      <c r="I437" t="s">
        <v>836</v>
      </c>
      <c r="J437" t="s">
        <v>842</v>
      </c>
      <c r="K437" s="2">
        <v>44562</v>
      </c>
      <c r="L437">
        <v>2022</v>
      </c>
      <c r="M437">
        <v>55104</v>
      </c>
      <c r="N437" t="s">
        <v>857</v>
      </c>
    </row>
    <row r="438" spans="1:14" x14ac:dyDescent="0.3">
      <c r="A438" t="s">
        <v>1107</v>
      </c>
      <c r="B438" t="s">
        <v>248</v>
      </c>
      <c r="C438" t="s">
        <v>805</v>
      </c>
      <c r="D438" t="s">
        <v>819</v>
      </c>
      <c r="E438">
        <v>19</v>
      </c>
      <c r="F438" t="s">
        <v>829</v>
      </c>
      <c r="G438" t="s">
        <v>890</v>
      </c>
      <c r="H438">
        <v>7664</v>
      </c>
      <c r="I438" t="s">
        <v>833</v>
      </c>
      <c r="J438" t="s">
        <v>841</v>
      </c>
      <c r="K438" s="2">
        <v>45078</v>
      </c>
      <c r="L438">
        <v>2023</v>
      </c>
      <c r="M438">
        <v>145616</v>
      </c>
      <c r="N438" t="s">
        <v>863</v>
      </c>
    </row>
    <row r="439" spans="1:14" x14ac:dyDescent="0.3">
      <c r="A439" t="s">
        <v>1108</v>
      </c>
      <c r="B439" t="s">
        <v>249</v>
      </c>
      <c r="C439" t="s">
        <v>805</v>
      </c>
      <c r="D439" t="s">
        <v>812</v>
      </c>
      <c r="E439">
        <v>13</v>
      </c>
      <c r="F439" t="s">
        <v>825</v>
      </c>
      <c r="G439" t="s">
        <v>921</v>
      </c>
      <c r="H439">
        <v>721</v>
      </c>
      <c r="I439" t="s">
        <v>833</v>
      </c>
      <c r="J439" t="s">
        <v>840</v>
      </c>
      <c r="K439" s="2">
        <v>45200</v>
      </c>
      <c r="L439">
        <v>2023</v>
      </c>
      <c r="M439">
        <v>9373</v>
      </c>
      <c r="N439" t="s">
        <v>857</v>
      </c>
    </row>
    <row r="440" spans="1:14" x14ac:dyDescent="0.3">
      <c r="A440" t="s">
        <v>1109</v>
      </c>
      <c r="B440" t="s">
        <v>250</v>
      </c>
      <c r="C440" t="s">
        <v>805</v>
      </c>
      <c r="D440" t="s">
        <v>812</v>
      </c>
      <c r="E440">
        <v>13</v>
      </c>
      <c r="F440" t="s">
        <v>826</v>
      </c>
      <c r="G440" t="s">
        <v>856</v>
      </c>
      <c r="H440">
        <v>721</v>
      </c>
      <c r="I440" t="s">
        <v>833</v>
      </c>
      <c r="J440" t="s">
        <v>840</v>
      </c>
      <c r="K440" s="2">
        <v>44713</v>
      </c>
      <c r="L440">
        <v>2022</v>
      </c>
      <c r="M440">
        <v>9373</v>
      </c>
      <c r="N440" t="s">
        <v>857</v>
      </c>
    </row>
    <row r="441" spans="1:14" x14ac:dyDescent="0.3">
      <c r="A441" t="s">
        <v>1108</v>
      </c>
      <c r="B441" t="s">
        <v>249</v>
      </c>
      <c r="C441" t="s">
        <v>805</v>
      </c>
      <c r="D441" t="s">
        <v>812</v>
      </c>
      <c r="E441">
        <v>17</v>
      </c>
      <c r="F441" t="s">
        <v>825</v>
      </c>
      <c r="G441" t="s">
        <v>921</v>
      </c>
      <c r="H441">
        <v>8364</v>
      </c>
      <c r="I441" t="s">
        <v>835</v>
      </c>
      <c r="J441" t="s">
        <v>843</v>
      </c>
      <c r="K441" s="2">
        <v>45200</v>
      </c>
      <c r="L441">
        <v>2023</v>
      </c>
      <c r="M441">
        <v>142188</v>
      </c>
      <c r="N441" t="s">
        <v>863</v>
      </c>
    </row>
    <row r="442" spans="1:14" x14ac:dyDescent="0.3">
      <c r="A442" t="s">
        <v>1109</v>
      </c>
      <c r="B442" t="s">
        <v>250</v>
      </c>
      <c r="C442" t="s">
        <v>805</v>
      </c>
      <c r="D442" t="s">
        <v>812</v>
      </c>
      <c r="E442">
        <v>17</v>
      </c>
      <c r="F442" t="s">
        <v>826</v>
      </c>
      <c r="G442" t="s">
        <v>856</v>
      </c>
      <c r="H442">
        <v>8364</v>
      </c>
      <c r="I442" t="s">
        <v>835</v>
      </c>
      <c r="J442" t="s">
        <v>843</v>
      </c>
      <c r="K442" s="2">
        <v>44713</v>
      </c>
      <c r="L442">
        <v>2022</v>
      </c>
      <c r="M442">
        <v>142188</v>
      </c>
      <c r="N442" t="s">
        <v>863</v>
      </c>
    </row>
    <row r="443" spans="1:14" x14ac:dyDescent="0.3">
      <c r="A443" t="s">
        <v>1108</v>
      </c>
      <c r="B443" t="s">
        <v>249</v>
      </c>
      <c r="C443" t="s">
        <v>807</v>
      </c>
      <c r="D443" t="s">
        <v>820</v>
      </c>
      <c r="E443">
        <v>15</v>
      </c>
      <c r="F443" t="s">
        <v>825</v>
      </c>
      <c r="G443" t="s">
        <v>921</v>
      </c>
      <c r="H443">
        <v>5234</v>
      </c>
      <c r="I443" t="s">
        <v>834</v>
      </c>
      <c r="J443" t="s">
        <v>844</v>
      </c>
      <c r="K443" s="2">
        <v>45200</v>
      </c>
      <c r="L443">
        <v>2023</v>
      </c>
      <c r="M443">
        <v>78510</v>
      </c>
      <c r="N443" t="s">
        <v>863</v>
      </c>
    </row>
    <row r="444" spans="1:14" x14ac:dyDescent="0.3">
      <c r="A444" t="s">
        <v>1109</v>
      </c>
      <c r="B444" t="s">
        <v>250</v>
      </c>
      <c r="C444" t="s">
        <v>807</v>
      </c>
      <c r="D444" t="s">
        <v>820</v>
      </c>
      <c r="E444">
        <v>15</v>
      </c>
      <c r="F444" t="s">
        <v>826</v>
      </c>
      <c r="G444" t="s">
        <v>856</v>
      </c>
      <c r="H444">
        <v>5234</v>
      </c>
      <c r="I444" t="s">
        <v>834</v>
      </c>
      <c r="J444" t="s">
        <v>844</v>
      </c>
      <c r="K444" s="2">
        <v>44713</v>
      </c>
      <c r="L444">
        <v>2022</v>
      </c>
      <c r="M444">
        <v>78510</v>
      </c>
      <c r="N444" t="s">
        <v>863</v>
      </c>
    </row>
    <row r="445" spans="1:14" x14ac:dyDescent="0.3">
      <c r="A445" t="s">
        <v>1110</v>
      </c>
      <c r="B445" t="s">
        <v>251</v>
      </c>
      <c r="C445" t="s">
        <v>805</v>
      </c>
      <c r="D445" t="s">
        <v>819</v>
      </c>
      <c r="E445">
        <v>18</v>
      </c>
      <c r="F445" t="s">
        <v>827</v>
      </c>
      <c r="G445" t="s">
        <v>883</v>
      </c>
      <c r="H445">
        <v>3944</v>
      </c>
      <c r="I445" t="s">
        <v>835</v>
      </c>
      <c r="J445" t="s">
        <v>842</v>
      </c>
      <c r="K445" s="2">
        <v>45444</v>
      </c>
      <c r="L445">
        <v>2024</v>
      </c>
      <c r="M445">
        <v>70992</v>
      </c>
      <c r="N445" t="s">
        <v>863</v>
      </c>
    </row>
    <row r="446" spans="1:14" x14ac:dyDescent="0.3">
      <c r="A446" t="s">
        <v>1110</v>
      </c>
      <c r="B446" t="s">
        <v>251</v>
      </c>
      <c r="C446" t="s">
        <v>806</v>
      </c>
      <c r="D446" t="s">
        <v>811</v>
      </c>
      <c r="E446">
        <v>12</v>
      </c>
      <c r="F446" t="s">
        <v>827</v>
      </c>
      <c r="G446" t="s">
        <v>883</v>
      </c>
      <c r="H446">
        <v>6711</v>
      </c>
      <c r="I446" t="s">
        <v>835</v>
      </c>
      <c r="J446" t="s">
        <v>841</v>
      </c>
      <c r="K446" s="2">
        <v>45444</v>
      </c>
      <c r="L446">
        <v>2024</v>
      </c>
      <c r="M446">
        <v>80532</v>
      </c>
      <c r="N446" t="s">
        <v>857</v>
      </c>
    </row>
    <row r="447" spans="1:14" x14ac:dyDescent="0.3">
      <c r="A447" t="s">
        <v>1110</v>
      </c>
      <c r="B447" t="s">
        <v>251</v>
      </c>
      <c r="C447" t="s">
        <v>807</v>
      </c>
      <c r="D447" t="s">
        <v>813</v>
      </c>
      <c r="E447">
        <v>4</v>
      </c>
      <c r="F447" t="s">
        <v>827</v>
      </c>
      <c r="G447" t="s">
        <v>883</v>
      </c>
      <c r="H447">
        <v>5031</v>
      </c>
      <c r="I447" t="s">
        <v>835</v>
      </c>
      <c r="J447" t="s">
        <v>844</v>
      </c>
      <c r="K447" s="2">
        <v>45444</v>
      </c>
      <c r="L447">
        <v>2024</v>
      </c>
      <c r="M447">
        <v>20124</v>
      </c>
      <c r="N447" t="s">
        <v>868</v>
      </c>
    </row>
    <row r="448" spans="1:14" x14ac:dyDescent="0.3">
      <c r="A448" t="s">
        <v>1110</v>
      </c>
      <c r="B448" t="s">
        <v>251</v>
      </c>
      <c r="C448" t="s">
        <v>806</v>
      </c>
      <c r="D448" t="s">
        <v>818</v>
      </c>
      <c r="E448">
        <v>14</v>
      </c>
      <c r="F448" t="s">
        <v>827</v>
      </c>
      <c r="G448" t="s">
        <v>883</v>
      </c>
      <c r="H448">
        <v>6295</v>
      </c>
      <c r="I448" t="s">
        <v>834</v>
      </c>
      <c r="J448" t="s">
        <v>841</v>
      </c>
      <c r="K448" s="2">
        <v>45444</v>
      </c>
      <c r="L448">
        <v>2024</v>
      </c>
      <c r="M448">
        <v>88130</v>
      </c>
      <c r="N448" t="s">
        <v>857</v>
      </c>
    </row>
    <row r="449" spans="1:14" x14ac:dyDescent="0.3">
      <c r="A449" t="s">
        <v>916</v>
      </c>
      <c r="B449" t="s">
        <v>252</v>
      </c>
      <c r="C449" t="s">
        <v>806</v>
      </c>
      <c r="D449" t="s">
        <v>817</v>
      </c>
      <c r="E449">
        <v>1</v>
      </c>
      <c r="F449" t="s">
        <v>827</v>
      </c>
      <c r="G449" t="s">
        <v>883</v>
      </c>
      <c r="H449">
        <v>9654</v>
      </c>
      <c r="I449" t="s">
        <v>832</v>
      </c>
      <c r="J449" t="s">
        <v>843</v>
      </c>
      <c r="K449" s="2">
        <v>44713</v>
      </c>
      <c r="L449">
        <v>2022</v>
      </c>
      <c r="M449">
        <v>9654</v>
      </c>
      <c r="N449" t="s">
        <v>868</v>
      </c>
    </row>
    <row r="450" spans="1:14" x14ac:dyDescent="0.3">
      <c r="A450" t="s">
        <v>916</v>
      </c>
      <c r="B450" t="s">
        <v>252</v>
      </c>
      <c r="C450" t="s">
        <v>806</v>
      </c>
      <c r="D450" t="s">
        <v>818</v>
      </c>
      <c r="E450">
        <v>20</v>
      </c>
      <c r="F450" t="s">
        <v>827</v>
      </c>
      <c r="G450" t="s">
        <v>883</v>
      </c>
      <c r="H450">
        <v>3112</v>
      </c>
      <c r="I450" t="s">
        <v>836</v>
      </c>
      <c r="J450" t="s">
        <v>842</v>
      </c>
      <c r="K450" s="2">
        <v>44713</v>
      </c>
      <c r="L450">
        <v>2022</v>
      </c>
      <c r="M450">
        <v>62240</v>
      </c>
      <c r="N450" t="s">
        <v>863</v>
      </c>
    </row>
    <row r="451" spans="1:14" x14ac:dyDescent="0.3">
      <c r="A451" t="s">
        <v>1111</v>
      </c>
      <c r="B451" t="s">
        <v>253</v>
      </c>
      <c r="C451" t="s">
        <v>805</v>
      </c>
      <c r="D451" t="s">
        <v>819</v>
      </c>
      <c r="E451">
        <v>13</v>
      </c>
      <c r="F451" t="s">
        <v>827</v>
      </c>
      <c r="G451" t="s">
        <v>883</v>
      </c>
      <c r="H451">
        <v>7838</v>
      </c>
      <c r="I451" t="s">
        <v>832</v>
      </c>
      <c r="J451" t="s">
        <v>841</v>
      </c>
      <c r="K451" s="2">
        <v>44228</v>
      </c>
      <c r="L451">
        <v>2021</v>
      </c>
      <c r="M451">
        <v>101894</v>
      </c>
      <c r="N451" t="s">
        <v>857</v>
      </c>
    </row>
    <row r="452" spans="1:14" x14ac:dyDescent="0.3">
      <c r="A452" t="s">
        <v>1111</v>
      </c>
      <c r="B452" t="s">
        <v>253</v>
      </c>
      <c r="C452" t="s">
        <v>805</v>
      </c>
      <c r="D452" t="s">
        <v>819</v>
      </c>
      <c r="E452">
        <v>6</v>
      </c>
      <c r="F452" t="s">
        <v>827</v>
      </c>
      <c r="G452" t="s">
        <v>883</v>
      </c>
      <c r="H452">
        <v>9300</v>
      </c>
      <c r="I452" t="s">
        <v>835</v>
      </c>
      <c r="J452" t="s">
        <v>843</v>
      </c>
      <c r="K452" s="2">
        <v>44228</v>
      </c>
      <c r="L452">
        <v>2021</v>
      </c>
      <c r="M452">
        <v>55800</v>
      </c>
      <c r="N452" t="s">
        <v>852</v>
      </c>
    </row>
    <row r="453" spans="1:14" x14ac:dyDescent="0.3">
      <c r="A453" t="s">
        <v>1111</v>
      </c>
      <c r="B453" t="s">
        <v>253</v>
      </c>
      <c r="C453" t="s">
        <v>806</v>
      </c>
      <c r="D453" t="s">
        <v>817</v>
      </c>
      <c r="E453">
        <v>17</v>
      </c>
      <c r="F453" t="s">
        <v>827</v>
      </c>
      <c r="G453" t="s">
        <v>883</v>
      </c>
      <c r="H453">
        <v>1733</v>
      </c>
      <c r="I453" t="s">
        <v>833</v>
      </c>
      <c r="J453" t="s">
        <v>840</v>
      </c>
      <c r="K453" s="2">
        <v>44228</v>
      </c>
      <c r="L453">
        <v>2021</v>
      </c>
      <c r="M453">
        <v>29461</v>
      </c>
      <c r="N453" t="s">
        <v>863</v>
      </c>
    </row>
    <row r="454" spans="1:14" x14ac:dyDescent="0.3">
      <c r="A454" t="s">
        <v>1112</v>
      </c>
      <c r="B454" t="s">
        <v>254</v>
      </c>
      <c r="C454" t="s">
        <v>806</v>
      </c>
      <c r="D454" t="s">
        <v>818</v>
      </c>
      <c r="E454">
        <v>15</v>
      </c>
      <c r="F454" t="s">
        <v>826</v>
      </c>
      <c r="G454" t="s">
        <v>872</v>
      </c>
      <c r="H454">
        <v>874</v>
      </c>
      <c r="I454" t="s">
        <v>833</v>
      </c>
      <c r="J454" t="s">
        <v>840</v>
      </c>
      <c r="K454" s="2">
        <v>45047</v>
      </c>
      <c r="L454">
        <v>2023</v>
      </c>
      <c r="M454">
        <v>13110</v>
      </c>
      <c r="N454" t="s">
        <v>863</v>
      </c>
    </row>
    <row r="455" spans="1:14" x14ac:dyDescent="0.3">
      <c r="A455" t="s">
        <v>1113</v>
      </c>
      <c r="B455" t="s">
        <v>255</v>
      </c>
      <c r="C455" t="s">
        <v>806</v>
      </c>
      <c r="D455" t="s">
        <v>818</v>
      </c>
      <c r="E455">
        <v>15</v>
      </c>
      <c r="F455" t="s">
        <v>824</v>
      </c>
      <c r="G455" t="s">
        <v>851</v>
      </c>
      <c r="H455">
        <v>874</v>
      </c>
      <c r="I455" t="s">
        <v>833</v>
      </c>
      <c r="J455" t="s">
        <v>840</v>
      </c>
      <c r="K455" s="2">
        <v>44348</v>
      </c>
      <c r="L455">
        <v>2021</v>
      </c>
      <c r="M455">
        <v>13110</v>
      </c>
      <c r="N455" t="s">
        <v>863</v>
      </c>
    </row>
    <row r="456" spans="1:14" x14ac:dyDescent="0.3">
      <c r="A456" t="s">
        <v>1114</v>
      </c>
      <c r="B456" t="s">
        <v>256</v>
      </c>
      <c r="C456" t="s">
        <v>806</v>
      </c>
      <c r="D456" t="s">
        <v>811</v>
      </c>
      <c r="E456">
        <v>13</v>
      </c>
      <c r="F456" t="s">
        <v>829</v>
      </c>
      <c r="G456" t="s">
        <v>886</v>
      </c>
      <c r="H456">
        <v>1248</v>
      </c>
      <c r="I456" t="s">
        <v>834</v>
      </c>
      <c r="J456" t="s">
        <v>840</v>
      </c>
      <c r="K456" s="2">
        <v>45292</v>
      </c>
      <c r="L456">
        <v>2024</v>
      </c>
      <c r="M456">
        <v>16224</v>
      </c>
      <c r="N456" t="s">
        <v>857</v>
      </c>
    </row>
    <row r="457" spans="1:14" x14ac:dyDescent="0.3">
      <c r="A457" t="s">
        <v>1115</v>
      </c>
      <c r="B457" t="s">
        <v>257</v>
      </c>
      <c r="C457" t="s">
        <v>806</v>
      </c>
      <c r="D457" t="s">
        <v>811</v>
      </c>
      <c r="E457">
        <v>13</v>
      </c>
      <c r="F457" t="s">
        <v>827</v>
      </c>
      <c r="G457" t="s">
        <v>883</v>
      </c>
      <c r="H457">
        <v>1248</v>
      </c>
      <c r="I457" t="s">
        <v>834</v>
      </c>
      <c r="J457" t="s">
        <v>840</v>
      </c>
      <c r="K457" s="2">
        <v>44896</v>
      </c>
      <c r="L457">
        <v>2022</v>
      </c>
      <c r="M457">
        <v>16224</v>
      </c>
      <c r="N457" t="s">
        <v>857</v>
      </c>
    </row>
    <row r="458" spans="1:14" x14ac:dyDescent="0.3">
      <c r="A458" t="s">
        <v>1114</v>
      </c>
      <c r="B458" t="s">
        <v>256</v>
      </c>
      <c r="C458" t="s">
        <v>806</v>
      </c>
      <c r="D458" t="s">
        <v>815</v>
      </c>
      <c r="E458">
        <v>14</v>
      </c>
      <c r="F458" t="s">
        <v>829</v>
      </c>
      <c r="G458" t="s">
        <v>886</v>
      </c>
      <c r="H458">
        <v>3669</v>
      </c>
      <c r="I458" t="s">
        <v>834</v>
      </c>
      <c r="J458" t="s">
        <v>842</v>
      </c>
      <c r="K458" s="2">
        <v>45292</v>
      </c>
      <c r="L458">
        <v>2024</v>
      </c>
      <c r="M458">
        <v>51366</v>
      </c>
      <c r="N458" t="s">
        <v>857</v>
      </c>
    </row>
    <row r="459" spans="1:14" x14ac:dyDescent="0.3">
      <c r="A459" t="s">
        <v>1115</v>
      </c>
      <c r="B459" t="s">
        <v>257</v>
      </c>
      <c r="C459" t="s">
        <v>806</v>
      </c>
      <c r="D459" t="s">
        <v>815</v>
      </c>
      <c r="E459">
        <v>14</v>
      </c>
      <c r="F459" t="s">
        <v>827</v>
      </c>
      <c r="G459" t="s">
        <v>883</v>
      </c>
      <c r="H459">
        <v>3669</v>
      </c>
      <c r="I459" t="s">
        <v>834</v>
      </c>
      <c r="J459" t="s">
        <v>842</v>
      </c>
      <c r="K459" s="2">
        <v>44896</v>
      </c>
      <c r="L459">
        <v>2022</v>
      </c>
      <c r="M459">
        <v>51366</v>
      </c>
      <c r="N459" t="s">
        <v>857</v>
      </c>
    </row>
    <row r="460" spans="1:14" x14ac:dyDescent="0.3">
      <c r="A460" t="s">
        <v>1114</v>
      </c>
      <c r="B460" t="s">
        <v>256</v>
      </c>
      <c r="C460" t="s">
        <v>806</v>
      </c>
      <c r="D460" t="s">
        <v>817</v>
      </c>
      <c r="E460">
        <v>15</v>
      </c>
      <c r="F460" t="s">
        <v>829</v>
      </c>
      <c r="G460" t="s">
        <v>886</v>
      </c>
      <c r="H460">
        <v>514</v>
      </c>
      <c r="I460" t="s">
        <v>833</v>
      </c>
      <c r="J460" t="s">
        <v>840</v>
      </c>
      <c r="K460" s="2">
        <v>45292</v>
      </c>
      <c r="L460">
        <v>2024</v>
      </c>
      <c r="M460">
        <v>7710</v>
      </c>
      <c r="N460" t="s">
        <v>863</v>
      </c>
    </row>
    <row r="461" spans="1:14" x14ac:dyDescent="0.3">
      <c r="A461" t="s">
        <v>1115</v>
      </c>
      <c r="B461" t="s">
        <v>257</v>
      </c>
      <c r="C461" t="s">
        <v>806</v>
      </c>
      <c r="D461" t="s">
        <v>817</v>
      </c>
      <c r="E461">
        <v>15</v>
      </c>
      <c r="F461" t="s">
        <v>827</v>
      </c>
      <c r="G461" t="s">
        <v>883</v>
      </c>
      <c r="H461">
        <v>514</v>
      </c>
      <c r="I461" t="s">
        <v>833</v>
      </c>
      <c r="J461" t="s">
        <v>840</v>
      </c>
      <c r="K461" s="2">
        <v>44896</v>
      </c>
      <c r="L461">
        <v>2022</v>
      </c>
      <c r="M461">
        <v>7710</v>
      </c>
      <c r="N461" t="s">
        <v>863</v>
      </c>
    </row>
    <row r="462" spans="1:14" x14ac:dyDescent="0.3">
      <c r="A462" t="s">
        <v>1116</v>
      </c>
      <c r="B462" t="s">
        <v>258</v>
      </c>
      <c r="C462" t="s">
        <v>805</v>
      </c>
      <c r="D462" t="s">
        <v>819</v>
      </c>
      <c r="E462">
        <v>16</v>
      </c>
      <c r="F462" t="s">
        <v>829</v>
      </c>
      <c r="G462" t="s">
        <v>890</v>
      </c>
      <c r="H462">
        <v>3273</v>
      </c>
      <c r="I462" t="s">
        <v>832</v>
      </c>
      <c r="J462" t="s">
        <v>842</v>
      </c>
      <c r="K462" s="2">
        <v>45352</v>
      </c>
      <c r="L462">
        <v>2024</v>
      </c>
      <c r="M462">
        <v>52368</v>
      </c>
      <c r="N462" t="s">
        <v>863</v>
      </c>
    </row>
    <row r="463" spans="1:14" x14ac:dyDescent="0.3">
      <c r="A463" t="s">
        <v>1117</v>
      </c>
      <c r="B463" t="s">
        <v>259</v>
      </c>
      <c r="C463" t="s">
        <v>807</v>
      </c>
      <c r="D463" t="s">
        <v>814</v>
      </c>
      <c r="E463">
        <v>2</v>
      </c>
      <c r="F463" t="s">
        <v>824</v>
      </c>
      <c r="G463" t="s">
        <v>851</v>
      </c>
      <c r="H463">
        <v>5035</v>
      </c>
      <c r="I463" t="s">
        <v>836</v>
      </c>
      <c r="J463" t="s">
        <v>844</v>
      </c>
      <c r="K463" s="2">
        <v>43922</v>
      </c>
      <c r="L463">
        <v>2020</v>
      </c>
      <c r="M463">
        <v>10070</v>
      </c>
      <c r="N463" t="s">
        <v>868</v>
      </c>
    </row>
    <row r="464" spans="1:14" x14ac:dyDescent="0.3">
      <c r="A464" t="s">
        <v>1117</v>
      </c>
      <c r="B464" t="s">
        <v>259</v>
      </c>
      <c r="C464" t="s">
        <v>805</v>
      </c>
      <c r="D464" t="s">
        <v>810</v>
      </c>
      <c r="E464">
        <v>19</v>
      </c>
      <c r="F464" t="s">
        <v>824</v>
      </c>
      <c r="G464" t="s">
        <v>851</v>
      </c>
      <c r="H464">
        <v>7702</v>
      </c>
      <c r="I464" t="s">
        <v>832</v>
      </c>
      <c r="J464" t="s">
        <v>841</v>
      </c>
      <c r="K464" s="2">
        <v>43922</v>
      </c>
      <c r="L464">
        <v>2020</v>
      </c>
      <c r="M464">
        <v>146338</v>
      </c>
      <c r="N464" t="s">
        <v>863</v>
      </c>
    </row>
    <row r="465" spans="1:14" x14ac:dyDescent="0.3">
      <c r="A465" t="s">
        <v>1117</v>
      </c>
      <c r="B465" t="s">
        <v>259</v>
      </c>
      <c r="C465" t="s">
        <v>805</v>
      </c>
      <c r="D465" t="s">
        <v>810</v>
      </c>
      <c r="E465">
        <v>7</v>
      </c>
      <c r="F465" t="s">
        <v>824</v>
      </c>
      <c r="G465" t="s">
        <v>851</v>
      </c>
      <c r="H465">
        <v>9884</v>
      </c>
      <c r="I465" t="s">
        <v>834</v>
      </c>
      <c r="J465" t="s">
        <v>843</v>
      </c>
      <c r="K465" s="2">
        <v>43922</v>
      </c>
      <c r="L465">
        <v>2020</v>
      </c>
      <c r="M465">
        <v>69188</v>
      </c>
      <c r="N465" t="s">
        <v>852</v>
      </c>
    </row>
    <row r="466" spans="1:14" x14ac:dyDescent="0.3">
      <c r="A466" t="s">
        <v>1118</v>
      </c>
      <c r="B466" t="s">
        <v>260</v>
      </c>
      <c r="C466" t="s">
        <v>805</v>
      </c>
      <c r="D466" t="s">
        <v>812</v>
      </c>
      <c r="E466">
        <v>11</v>
      </c>
      <c r="F466" t="s">
        <v>825</v>
      </c>
      <c r="G466" t="s">
        <v>854</v>
      </c>
      <c r="H466">
        <v>5564</v>
      </c>
      <c r="I466" t="s">
        <v>836</v>
      </c>
      <c r="J466" t="s">
        <v>844</v>
      </c>
      <c r="K466" s="2">
        <v>44927</v>
      </c>
      <c r="L466">
        <v>2023</v>
      </c>
      <c r="M466">
        <v>61204</v>
      </c>
      <c r="N466" t="s">
        <v>857</v>
      </c>
    </row>
    <row r="467" spans="1:14" x14ac:dyDescent="0.3">
      <c r="A467" t="s">
        <v>1119</v>
      </c>
      <c r="B467" t="s">
        <v>261</v>
      </c>
      <c r="C467" t="s">
        <v>805</v>
      </c>
      <c r="D467" t="s">
        <v>812</v>
      </c>
      <c r="E467">
        <v>11</v>
      </c>
      <c r="F467" t="s">
        <v>828</v>
      </c>
      <c r="G467" t="s">
        <v>904</v>
      </c>
      <c r="H467">
        <v>5564</v>
      </c>
      <c r="I467" t="s">
        <v>836</v>
      </c>
      <c r="J467" t="s">
        <v>844</v>
      </c>
      <c r="K467" s="2">
        <v>44652</v>
      </c>
      <c r="L467">
        <v>2022</v>
      </c>
      <c r="M467">
        <v>61204</v>
      </c>
      <c r="N467" t="s">
        <v>857</v>
      </c>
    </row>
    <row r="468" spans="1:14" x14ac:dyDescent="0.3">
      <c r="A468" t="s">
        <v>1120</v>
      </c>
      <c r="B468" t="s">
        <v>262</v>
      </c>
      <c r="C468" t="s">
        <v>805</v>
      </c>
      <c r="D468" t="s">
        <v>812</v>
      </c>
      <c r="E468">
        <v>11</v>
      </c>
      <c r="F468" t="s">
        <v>824</v>
      </c>
      <c r="G468" t="s">
        <v>851</v>
      </c>
      <c r="H468">
        <v>5564</v>
      </c>
      <c r="I468" t="s">
        <v>836</v>
      </c>
      <c r="J468" t="s">
        <v>844</v>
      </c>
      <c r="K468" s="2">
        <v>45261</v>
      </c>
      <c r="L468">
        <v>2023</v>
      </c>
      <c r="M468">
        <v>61204</v>
      </c>
      <c r="N468" t="s">
        <v>857</v>
      </c>
    </row>
    <row r="469" spans="1:14" x14ac:dyDescent="0.3">
      <c r="A469" t="s">
        <v>1118</v>
      </c>
      <c r="B469" t="s">
        <v>260</v>
      </c>
      <c r="C469" t="s">
        <v>805</v>
      </c>
      <c r="D469" t="s">
        <v>809</v>
      </c>
      <c r="E469">
        <v>15</v>
      </c>
      <c r="F469" t="s">
        <v>825</v>
      </c>
      <c r="G469" t="s">
        <v>854</v>
      </c>
      <c r="H469">
        <v>3953</v>
      </c>
      <c r="I469" t="s">
        <v>832</v>
      </c>
      <c r="J469" t="s">
        <v>842</v>
      </c>
      <c r="K469" s="2">
        <v>44927</v>
      </c>
      <c r="L469">
        <v>2023</v>
      </c>
      <c r="M469">
        <v>59295</v>
      </c>
      <c r="N469" t="s">
        <v>863</v>
      </c>
    </row>
    <row r="470" spans="1:14" x14ac:dyDescent="0.3">
      <c r="A470" t="s">
        <v>1119</v>
      </c>
      <c r="B470" t="s">
        <v>261</v>
      </c>
      <c r="C470" t="s">
        <v>805</v>
      </c>
      <c r="D470" t="s">
        <v>809</v>
      </c>
      <c r="E470">
        <v>15</v>
      </c>
      <c r="F470" t="s">
        <v>828</v>
      </c>
      <c r="G470" t="s">
        <v>904</v>
      </c>
      <c r="H470">
        <v>3953</v>
      </c>
      <c r="I470" t="s">
        <v>832</v>
      </c>
      <c r="J470" t="s">
        <v>842</v>
      </c>
      <c r="K470" s="2">
        <v>44652</v>
      </c>
      <c r="L470">
        <v>2022</v>
      </c>
      <c r="M470">
        <v>59295</v>
      </c>
      <c r="N470" t="s">
        <v>863</v>
      </c>
    </row>
    <row r="471" spans="1:14" x14ac:dyDescent="0.3">
      <c r="A471" t="s">
        <v>1120</v>
      </c>
      <c r="B471" t="s">
        <v>262</v>
      </c>
      <c r="C471" t="s">
        <v>805</v>
      </c>
      <c r="D471" t="s">
        <v>809</v>
      </c>
      <c r="E471">
        <v>15</v>
      </c>
      <c r="F471" t="s">
        <v>824</v>
      </c>
      <c r="G471" t="s">
        <v>851</v>
      </c>
      <c r="H471">
        <v>3953</v>
      </c>
      <c r="I471" t="s">
        <v>832</v>
      </c>
      <c r="J471" t="s">
        <v>842</v>
      </c>
      <c r="K471" s="2">
        <v>45261</v>
      </c>
      <c r="L471">
        <v>2023</v>
      </c>
      <c r="M471">
        <v>59295</v>
      </c>
      <c r="N471" t="s">
        <v>863</v>
      </c>
    </row>
    <row r="472" spans="1:14" x14ac:dyDescent="0.3">
      <c r="A472" t="s">
        <v>1121</v>
      </c>
      <c r="B472" t="s">
        <v>263</v>
      </c>
      <c r="C472" t="s">
        <v>805</v>
      </c>
      <c r="D472" t="s">
        <v>810</v>
      </c>
      <c r="E472">
        <v>18</v>
      </c>
      <c r="F472" t="s">
        <v>828</v>
      </c>
      <c r="G472" t="s">
        <v>874</v>
      </c>
      <c r="H472">
        <v>6488</v>
      </c>
      <c r="I472" t="s">
        <v>834</v>
      </c>
      <c r="J472" t="s">
        <v>841</v>
      </c>
      <c r="K472" s="2">
        <v>45047</v>
      </c>
      <c r="L472">
        <v>2023</v>
      </c>
      <c r="M472">
        <v>116784</v>
      </c>
      <c r="N472" t="s">
        <v>863</v>
      </c>
    </row>
    <row r="473" spans="1:14" x14ac:dyDescent="0.3">
      <c r="A473" t="s">
        <v>1122</v>
      </c>
      <c r="B473" t="s">
        <v>264</v>
      </c>
      <c r="C473" t="s">
        <v>805</v>
      </c>
      <c r="D473" t="s">
        <v>810</v>
      </c>
      <c r="E473">
        <v>18</v>
      </c>
      <c r="F473" t="s">
        <v>828</v>
      </c>
      <c r="G473" t="s">
        <v>904</v>
      </c>
      <c r="H473">
        <v>6488</v>
      </c>
      <c r="I473" t="s">
        <v>834</v>
      </c>
      <c r="J473" t="s">
        <v>841</v>
      </c>
      <c r="K473" s="2">
        <v>44136</v>
      </c>
      <c r="L473">
        <v>2020</v>
      </c>
      <c r="M473">
        <v>116784</v>
      </c>
      <c r="N473" t="s">
        <v>863</v>
      </c>
    </row>
    <row r="474" spans="1:14" x14ac:dyDescent="0.3">
      <c r="A474" t="s">
        <v>990</v>
      </c>
      <c r="B474" t="s">
        <v>265</v>
      </c>
      <c r="C474" t="s">
        <v>805</v>
      </c>
      <c r="D474" t="s">
        <v>809</v>
      </c>
      <c r="E474">
        <v>17</v>
      </c>
      <c r="F474" t="s">
        <v>824</v>
      </c>
      <c r="G474" t="s">
        <v>859</v>
      </c>
      <c r="H474">
        <v>7856</v>
      </c>
      <c r="I474" t="s">
        <v>832</v>
      </c>
      <c r="J474" t="s">
        <v>841</v>
      </c>
      <c r="K474" s="2">
        <v>44256</v>
      </c>
      <c r="L474">
        <v>2021</v>
      </c>
      <c r="M474">
        <v>133552</v>
      </c>
      <c r="N474" t="s">
        <v>863</v>
      </c>
    </row>
    <row r="475" spans="1:14" x14ac:dyDescent="0.3">
      <c r="A475" t="s">
        <v>990</v>
      </c>
      <c r="B475" t="s">
        <v>265</v>
      </c>
      <c r="C475" t="s">
        <v>806</v>
      </c>
      <c r="D475" t="s">
        <v>811</v>
      </c>
      <c r="E475">
        <v>3</v>
      </c>
      <c r="F475" t="s">
        <v>824</v>
      </c>
      <c r="G475" t="s">
        <v>859</v>
      </c>
      <c r="H475">
        <v>1165</v>
      </c>
      <c r="I475" t="s">
        <v>834</v>
      </c>
      <c r="J475" t="s">
        <v>840</v>
      </c>
      <c r="K475" s="2">
        <v>44256</v>
      </c>
      <c r="L475">
        <v>2021</v>
      </c>
      <c r="M475">
        <v>3495</v>
      </c>
      <c r="N475" t="s">
        <v>868</v>
      </c>
    </row>
    <row r="476" spans="1:14" x14ac:dyDescent="0.3">
      <c r="A476" t="s">
        <v>1123</v>
      </c>
      <c r="B476" t="s">
        <v>266</v>
      </c>
      <c r="C476" t="s">
        <v>806</v>
      </c>
      <c r="D476" t="s">
        <v>815</v>
      </c>
      <c r="E476">
        <v>20</v>
      </c>
      <c r="F476" t="s">
        <v>827</v>
      </c>
      <c r="G476" t="s">
        <v>876</v>
      </c>
      <c r="H476">
        <v>9386</v>
      </c>
      <c r="I476" t="s">
        <v>835</v>
      </c>
      <c r="J476" t="s">
        <v>843</v>
      </c>
      <c r="K476" s="2">
        <v>44044</v>
      </c>
      <c r="L476">
        <v>2020</v>
      </c>
      <c r="M476">
        <v>187720</v>
      </c>
      <c r="N476" t="s">
        <v>863</v>
      </c>
    </row>
    <row r="477" spans="1:14" x14ac:dyDescent="0.3">
      <c r="A477" t="s">
        <v>989</v>
      </c>
      <c r="B477" t="s">
        <v>267</v>
      </c>
      <c r="C477" t="s">
        <v>806</v>
      </c>
      <c r="D477" t="s">
        <v>815</v>
      </c>
      <c r="E477">
        <v>20</v>
      </c>
      <c r="F477" t="s">
        <v>829</v>
      </c>
      <c r="G477" t="s">
        <v>894</v>
      </c>
      <c r="H477">
        <v>9386</v>
      </c>
      <c r="I477" t="s">
        <v>835</v>
      </c>
      <c r="J477" t="s">
        <v>843</v>
      </c>
      <c r="K477" s="2">
        <v>44835</v>
      </c>
      <c r="L477">
        <v>2022</v>
      </c>
      <c r="M477">
        <v>187720</v>
      </c>
      <c r="N477" t="s">
        <v>863</v>
      </c>
    </row>
    <row r="478" spans="1:14" x14ac:dyDescent="0.3">
      <c r="A478" t="s">
        <v>972</v>
      </c>
      <c r="B478" t="s">
        <v>268</v>
      </c>
      <c r="C478" t="s">
        <v>806</v>
      </c>
      <c r="D478" t="s">
        <v>811</v>
      </c>
      <c r="E478">
        <v>12</v>
      </c>
      <c r="F478" t="s">
        <v>824</v>
      </c>
      <c r="G478" t="s">
        <v>910</v>
      </c>
      <c r="H478">
        <v>3956</v>
      </c>
      <c r="I478" t="s">
        <v>833</v>
      </c>
      <c r="J478" t="s">
        <v>842</v>
      </c>
      <c r="K478" s="2">
        <v>45170</v>
      </c>
      <c r="L478">
        <v>2023</v>
      </c>
      <c r="M478">
        <v>47472</v>
      </c>
      <c r="N478" t="s">
        <v>857</v>
      </c>
    </row>
    <row r="479" spans="1:14" x14ac:dyDescent="0.3">
      <c r="A479" t="s">
        <v>1124</v>
      </c>
      <c r="B479" t="s">
        <v>269</v>
      </c>
      <c r="C479" t="s">
        <v>806</v>
      </c>
      <c r="D479" t="s">
        <v>811</v>
      </c>
      <c r="E479">
        <v>12</v>
      </c>
      <c r="F479" t="s">
        <v>828</v>
      </c>
      <c r="G479" t="s">
        <v>874</v>
      </c>
      <c r="H479">
        <v>3956</v>
      </c>
      <c r="I479" t="s">
        <v>833</v>
      </c>
      <c r="J479" t="s">
        <v>842</v>
      </c>
      <c r="K479" s="2">
        <v>45627</v>
      </c>
      <c r="L479">
        <v>2024</v>
      </c>
      <c r="M479">
        <v>47472</v>
      </c>
      <c r="N479" t="s">
        <v>857</v>
      </c>
    </row>
    <row r="480" spans="1:14" x14ac:dyDescent="0.3">
      <c r="A480" t="s">
        <v>972</v>
      </c>
      <c r="B480" t="s">
        <v>268</v>
      </c>
      <c r="C480" t="s">
        <v>807</v>
      </c>
      <c r="D480" t="s">
        <v>820</v>
      </c>
      <c r="E480">
        <v>11</v>
      </c>
      <c r="F480" t="s">
        <v>824</v>
      </c>
      <c r="G480" t="s">
        <v>910</v>
      </c>
      <c r="H480">
        <v>6449</v>
      </c>
      <c r="I480" t="s">
        <v>834</v>
      </c>
      <c r="J480" t="s">
        <v>841</v>
      </c>
      <c r="K480" s="2">
        <v>45170</v>
      </c>
      <c r="L480">
        <v>2023</v>
      </c>
      <c r="M480">
        <v>70939</v>
      </c>
      <c r="N480" t="s">
        <v>857</v>
      </c>
    </row>
    <row r="481" spans="1:14" x14ac:dyDescent="0.3">
      <c r="A481" t="s">
        <v>1124</v>
      </c>
      <c r="B481" t="s">
        <v>269</v>
      </c>
      <c r="C481" t="s">
        <v>807</v>
      </c>
      <c r="D481" t="s">
        <v>820</v>
      </c>
      <c r="E481">
        <v>11</v>
      </c>
      <c r="F481" t="s">
        <v>828</v>
      </c>
      <c r="G481" t="s">
        <v>874</v>
      </c>
      <c r="H481">
        <v>6449</v>
      </c>
      <c r="I481" t="s">
        <v>834</v>
      </c>
      <c r="J481" t="s">
        <v>841</v>
      </c>
      <c r="K481" s="2">
        <v>45627</v>
      </c>
      <c r="L481">
        <v>2024</v>
      </c>
      <c r="M481">
        <v>70939</v>
      </c>
      <c r="N481" t="s">
        <v>857</v>
      </c>
    </row>
    <row r="482" spans="1:14" x14ac:dyDescent="0.3">
      <c r="A482" t="s">
        <v>1125</v>
      </c>
      <c r="B482" t="s">
        <v>270</v>
      </c>
      <c r="C482" t="s">
        <v>806</v>
      </c>
      <c r="D482" t="s">
        <v>815</v>
      </c>
      <c r="E482">
        <v>18</v>
      </c>
      <c r="F482" t="s">
        <v>826</v>
      </c>
      <c r="G482" t="s">
        <v>872</v>
      </c>
      <c r="H482">
        <v>6255</v>
      </c>
      <c r="I482" t="s">
        <v>836</v>
      </c>
      <c r="J482" t="s">
        <v>841</v>
      </c>
      <c r="K482" s="2">
        <v>44531</v>
      </c>
      <c r="L482">
        <v>2021</v>
      </c>
      <c r="M482">
        <v>112590</v>
      </c>
      <c r="N482" t="s">
        <v>863</v>
      </c>
    </row>
    <row r="483" spans="1:14" x14ac:dyDescent="0.3">
      <c r="A483" t="s">
        <v>1125</v>
      </c>
      <c r="B483" t="s">
        <v>270</v>
      </c>
      <c r="C483" t="s">
        <v>805</v>
      </c>
      <c r="D483" t="s">
        <v>809</v>
      </c>
      <c r="E483">
        <v>20</v>
      </c>
      <c r="F483" t="s">
        <v>826</v>
      </c>
      <c r="G483" t="s">
        <v>872</v>
      </c>
      <c r="H483">
        <v>2109</v>
      </c>
      <c r="I483" t="s">
        <v>832</v>
      </c>
      <c r="J483" t="s">
        <v>842</v>
      </c>
      <c r="K483" s="2">
        <v>44531</v>
      </c>
      <c r="L483">
        <v>2021</v>
      </c>
      <c r="M483">
        <v>42180</v>
      </c>
      <c r="N483" t="s">
        <v>863</v>
      </c>
    </row>
    <row r="484" spans="1:14" x14ac:dyDescent="0.3">
      <c r="A484" t="s">
        <v>1126</v>
      </c>
      <c r="B484" t="s">
        <v>271</v>
      </c>
      <c r="C484" t="s">
        <v>805</v>
      </c>
      <c r="D484" t="s">
        <v>819</v>
      </c>
      <c r="E484">
        <v>20</v>
      </c>
      <c r="F484" t="s">
        <v>828</v>
      </c>
      <c r="G484" t="s">
        <v>880</v>
      </c>
      <c r="H484">
        <v>6707</v>
      </c>
      <c r="I484" t="s">
        <v>835</v>
      </c>
      <c r="J484" t="s">
        <v>841</v>
      </c>
      <c r="K484" s="2">
        <v>44440</v>
      </c>
      <c r="L484">
        <v>2021</v>
      </c>
      <c r="M484">
        <v>134140</v>
      </c>
      <c r="N484" t="s">
        <v>863</v>
      </c>
    </row>
    <row r="485" spans="1:14" x14ac:dyDescent="0.3">
      <c r="A485" t="s">
        <v>1127</v>
      </c>
      <c r="B485" t="s">
        <v>272</v>
      </c>
      <c r="C485" t="s">
        <v>806</v>
      </c>
      <c r="D485" t="s">
        <v>811</v>
      </c>
      <c r="E485">
        <v>13</v>
      </c>
      <c r="F485" t="s">
        <v>825</v>
      </c>
      <c r="G485" t="s">
        <v>870</v>
      </c>
      <c r="H485">
        <v>7633</v>
      </c>
      <c r="I485" t="s">
        <v>836</v>
      </c>
      <c r="J485" t="s">
        <v>841</v>
      </c>
      <c r="K485" s="2">
        <v>44440</v>
      </c>
      <c r="L485">
        <v>2021</v>
      </c>
      <c r="M485">
        <v>99229</v>
      </c>
      <c r="N485" t="s">
        <v>857</v>
      </c>
    </row>
    <row r="486" spans="1:14" x14ac:dyDescent="0.3">
      <c r="A486" t="s">
        <v>1128</v>
      </c>
      <c r="B486" t="s">
        <v>273</v>
      </c>
      <c r="C486" t="s">
        <v>806</v>
      </c>
      <c r="D486" t="s">
        <v>811</v>
      </c>
      <c r="E486">
        <v>18</v>
      </c>
      <c r="F486" t="s">
        <v>827</v>
      </c>
      <c r="G486" t="s">
        <v>876</v>
      </c>
      <c r="H486">
        <v>975</v>
      </c>
      <c r="I486" t="s">
        <v>836</v>
      </c>
      <c r="J486" t="s">
        <v>840</v>
      </c>
      <c r="K486" s="2">
        <v>44531</v>
      </c>
      <c r="L486">
        <v>2021</v>
      </c>
      <c r="M486">
        <v>17550</v>
      </c>
      <c r="N486" t="s">
        <v>863</v>
      </c>
    </row>
    <row r="487" spans="1:14" x14ac:dyDescent="0.3">
      <c r="A487" t="s">
        <v>1128</v>
      </c>
      <c r="B487" t="s">
        <v>273</v>
      </c>
      <c r="C487" t="s">
        <v>807</v>
      </c>
      <c r="D487" t="s">
        <v>813</v>
      </c>
      <c r="E487">
        <v>7</v>
      </c>
      <c r="F487" t="s">
        <v>827</v>
      </c>
      <c r="G487" t="s">
        <v>876</v>
      </c>
      <c r="H487">
        <v>4492</v>
      </c>
      <c r="I487" t="s">
        <v>834</v>
      </c>
      <c r="J487" t="s">
        <v>844</v>
      </c>
      <c r="K487" s="2">
        <v>44531</v>
      </c>
      <c r="L487">
        <v>2021</v>
      </c>
      <c r="M487">
        <v>31444</v>
      </c>
      <c r="N487" t="s">
        <v>852</v>
      </c>
    </row>
    <row r="488" spans="1:14" x14ac:dyDescent="0.3">
      <c r="A488" t="s">
        <v>1128</v>
      </c>
      <c r="B488" t="s">
        <v>273</v>
      </c>
      <c r="C488" t="s">
        <v>807</v>
      </c>
      <c r="D488" t="s">
        <v>814</v>
      </c>
      <c r="E488">
        <v>12</v>
      </c>
      <c r="F488" t="s">
        <v>827</v>
      </c>
      <c r="G488" t="s">
        <v>876</v>
      </c>
      <c r="H488">
        <v>7957</v>
      </c>
      <c r="I488" t="s">
        <v>832</v>
      </c>
      <c r="J488" t="s">
        <v>841</v>
      </c>
      <c r="K488" s="2">
        <v>44531</v>
      </c>
      <c r="L488">
        <v>2021</v>
      </c>
      <c r="M488">
        <v>95484</v>
      </c>
      <c r="N488" t="s">
        <v>857</v>
      </c>
    </row>
    <row r="489" spans="1:14" x14ac:dyDescent="0.3">
      <c r="A489" t="s">
        <v>1129</v>
      </c>
      <c r="B489" t="s">
        <v>274</v>
      </c>
      <c r="C489" t="s">
        <v>807</v>
      </c>
      <c r="D489" t="s">
        <v>813</v>
      </c>
      <c r="E489">
        <v>7</v>
      </c>
      <c r="F489" t="s">
        <v>828</v>
      </c>
      <c r="G489" t="s">
        <v>904</v>
      </c>
      <c r="H489">
        <v>4906</v>
      </c>
      <c r="I489" t="s">
        <v>833</v>
      </c>
      <c r="J489" t="s">
        <v>844</v>
      </c>
      <c r="K489" s="2">
        <v>44682</v>
      </c>
      <c r="L489">
        <v>2022</v>
      </c>
      <c r="M489">
        <v>34342</v>
      </c>
      <c r="N489" t="s">
        <v>852</v>
      </c>
    </row>
    <row r="490" spans="1:14" x14ac:dyDescent="0.3">
      <c r="A490" t="s">
        <v>1130</v>
      </c>
      <c r="B490" t="s">
        <v>275</v>
      </c>
      <c r="C490" t="s">
        <v>806</v>
      </c>
      <c r="D490" t="s">
        <v>811</v>
      </c>
      <c r="E490">
        <v>3</v>
      </c>
      <c r="F490" t="s">
        <v>826</v>
      </c>
      <c r="G490" t="s">
        <v>856</v>
      </c>
      <c r="H490">
        <v>1379</v>
      </c>
      <c r="I490" t="s">
        <v>835</v>
      </c>
      <c r="J490" t="s">
        <v>840</v>
      </c>
      <c r="K490" s="2">
        <v>44105</v>
      </c>
      <c r="L490">
        <v>2020</v>
      </c>
      <c r="M490">
        <v>4137</v>
      </c>
      <c r="N490" t="s">
        <v>868</v>
      </c>
    </row>
    <row r="491" spans="1:14" x14ac:dyDescent="0.3">
      <c r="A491" t="s">
        <v>1130</v>
      </c>
      <c r="B491" t="s">
        <v>275</v>
      </c>
      <c r="C491" t="s">
        <v>805</v>
      </c>
      <c r="D491" t="s">
        <v>812</v>
      </c>
      <c r="E491">
        <v>10</v>
      </c>
      <c r="F491" t="s">
        <v>826</v>
      </c>
      <c r="G491" t="s">
        <v>856</v>
      </c>
      <c r="H491">
        <v>4244</v>
      </c>
      <c r="I491" t="s">
        <v>833</v>
      </c>
      <c r="J491" t="s">
        <v>844</v>
      </c>
      <c r="K491" s="2">
        <v>44105</v>
      </c>
      <c r="L491">
        <v>2020</v>
      </c>
      <c r="M491">
        <v>42440</v>
      </c>
      <c r="N491" t="s">
        <v>857</v>
      </c>
    </row>
    <row r="492" spans="1:14" x14ac:dyDescent="0.3">
      <c r="A492" t="s">
        <v>1131</v>
      </c>
      <c r="B492" t="s">
        <v>276</v>
      </c>
      <c r="C492" t="s">
        <v>807</v>
      </c>
      <c r="D492" t="s">
        <v>820</v>
      </c>
      <c r="E492">
        <v>14</v>
      </c>
      <c r="F492" t="s">
        <v>827</v>
      </c>
      <c r="G492" t="s">
        <v>876</v>
      </c>
      <c r="H492">
        <v>5911</v>
      </c>
      <c r="I492" t="s">
        <v>834</v>
      </c>
      <c r="J492" t="s">
        <v>844</v>
      </c>
      <c r="K492" s="2">
        <v>44774</v>
      </c>
      <c r="L492">
        <v>2022</v>
      </c>
      <c r="M492">
        <v>82754</v>
      </c>
      <c r="N492" t="s">
        <v>857</v>
      </c>
    </row>
    <row r="493" spans="1:14" x14ac:dyDescent="0.3">
      <c r="A493" t="s">
        <v>1132</v>
      </c>
      <c r="B493" t="s">
        <v>277</v>
      </c>
      <c r="C493" t="s">
        <v>807</v>
      </c>
      <c r="D493" t="s">
        <v>820</v>
      </c>
      <c r="E493">
        <v>14</v>
      </c>
      <c r="F493" t="s">
        <v>827</v>
      </c>
      <c r="G493" t="s">
        <v>883</v>
      </c>
      <c r="H493">
        <v>5911</v>
      </c>
      <c r="I493" t="s">
        <v>834</v>
      </c>
      <c r="J493" t="s">
        <v>844</v>
      </c>
      <c r="K493" s="2">
        <v>45597</v>
      </c>
      <c r="L493">
        <v>2024</v>
      </c>
      <c r="M493">
        <v>82754</v>
      </c>
      <c r="N493" t="s">
        <v>857</v>
      </c>
    </row>
    <row r="494" spans="1:14" x14ac:dyDescent="0.3">
      <c r="A494" t="s">
        <v>1131</v>
      </c>
      <c r="B494" t="s">
        <v>276</v>
      </c>
      <c r="C494" t="s">
        <v>806</v>
      </c>
      <c r="D494" t="s">
        <v>815</v>
      </c>
      <c r="E494">
        <v>11</v>
      </c>
      <c r="F494" t="s">
        <v>827</v>
      </c>
      <c r="G494" t="s">
        <v>876</v>
      </c>
      <c r="H494">
        <v>1818</v>
      </c>
      <c r="I494" t="s">
        <v>834</v>
      </c>
      <c r="J494" t="s">
        <v>840</v>
      </c>
      <c r="K494" s="2">
        <v>44774</v>
      </c>
      <c r="L494">
        <v>2022</v>
      </c>
      <c r="M494">
        <v>19998</v>
      </c>
      <c r="N494" t="s">
        <v>857</v>
      </c>
    </row>
    <row r="495" spans="1:14" x14ac:dyDescent="0.3">
      <c r="A495" t="s">
        <v>1132</v>
      </c>
      <c r="B495" t="s">
        <v>277</v>
      </c>
      <c r="C495" t="s">
        <v>806</v>
      </c>
      <c r="D495" t="s">
        <v>815</v>
      </c>
      <c r="E495">
        <v>11</v>
      </c>
      <c r="F495" t="s">
        <v>827</v>
      </c>
      <c r="G495" t="s">
        <v>883</v>
      </c>
      <c r="H495">
        <v>1818</v>
      </c>
      <c r="I495" t="s">
        <v>834</v>
      </c>
      <c r="J495" t="s">
        <v>840</v>
      </c>
      <c r="K495" s="2">
        <v>45597</v>
      </c>
      <c r="L495">
        <v>2024</v>
      </c>
      <c r="M495">
        <v>19998</v>
      </c>
      <c r="N495" t="s">
        <v>857</v>
      </c>
    </row>
    <row r="496" spans="1:14" x14ac:dyDescent="0.3">
      <c r="A496" t="s">
        <v>1096</v>
      </c>
      <c r="B496" t="s">
        <v>278</v>
      </c>
      <c r="C496" t="s">
        <v>806</v>
      </c>
      <c r="D496" t="s">
        <v>817</v>
      </c>
      <c r="E496">
        <v>4</v>
      </c>
      <c r="F496" t="s">
        <v>827</v>
      </c>
      <c r="G496" t="s">
        <v>876</v>
      </c>
      <c r="H496">
        <v>2140</v>
      </c>
      <c r="I496" t="s">
        <v>835</v>
      </c>
      <c r="J496" t="s">
        <v>842</v>
      </c>
      <c r="K496" s="2">
        <v>44075</v>
      </c>
      <c r="L496">
        <v>2020</v>
      </c>
      <c r="M496">
        <v>8560</v>
      </c>
      <c r="N496" t="s">
        <v>868</v>
      </c>
    </row>
    <row r="497" spans="1:14" x14ac:dyDescent="0.3">
      <c r="A497" t="s">
        <v>1133</v>
      </c>
      <c r="B497" t="s">
        <v>279</v>
      </c>
      <c r="C497" t="s">
        <v>806</v>
      </c>
      <c r="D497" t="s">
        <v>817</v>
      </c>
      <c r="E497">
        <v>4</v>
      </c>
      <c r="F497" t="s">
        <v>824</v>
      </c>
      <c r="G497" t="s">
        <v>859</v>
      </c>
      <c r="H497">
        <v>2140</v>
      </c>
      <c r="I497" t="s">
        <v>835</v>
      </c>
      <c r="J497" t="s">
        <v>842</v>
      </c>
      <c r="K497" s="2">
        <v>45689</v>
      </c>
      <c r="L497">
        <v>2025</v>
      </c>
      <c r="M497">
        <v>8560</v>
      </c>
      <c r="N497" t="s">
        <v>868</v>
      </c>
    </row>
    <row r="498" spans="1:14" x14ac:dyDescent="0.3">
      <c r="A498" t="s">
        <v>977</v>
      </c>
      <c r="B498" t="s">
        <v>280</v>
      </c>
      <c r="C498" t="s">
        <v>806</v>
      </c>
      <c r="D498" t="s">
        <v>817</v>
      </c>
      <c r="E498">
        <v>4</v>
      </c>
      <c r="F498" t="s">
        <v>827</v>
      </c>
      <c r="G498" t="s">
        <v>883</v>
      </c>
      <c r="H498">
        <v>2140</v>
      </c>
      <c r="I498" t="s">
        <v>835</v>
      </c>
      <c r="J498" t="s">
        <v>842</v>
      </c>
      <c r="K498" s="2">
        <v>44621</v>
      </c>
      <c r="L498">
        <v>2022</v>
      </c>
      <c r="M498">
        <v>8560</v>
      </c>
      <c r="N498" t="s">
        <v>868</v>
      </c>
    </row>
    <row r="499" spans="1:14" x14ac:dyDescent="0.3">
      <c r="A499" t="s">
        <v>1096</v>
      </c>
      <c r="B499" t="s">
        <v>278</v>
      </c>
      <c r="C499" t="s">
        <v>805</v>
      </c>
      <c r="D499" t="s">
        <v>812</v>
      </c>
      <c r="E499">
        <v>1</v>
      </c>
      <c r="F499" t="s">
        <v>827</v>
      </c>
      <c r="G499" t="s">
        <v>876</v>
      </c>
      <c r="H499">
        <v>2670</v>
      </c>
      <c r="I499" t="s">
        <v>833</v>
      </c>
      <c r="J499" t="s">
        <v>842</v>
      </c>
      <c r="K499" s="2">
        <v>44075</v>
      </c>
      <c r="L499">
        <v>2020</v>
      </c>
      <c r="M499">
        <v>2670</v>
      </c>
      <c r="N499" t="s">
        <v>868</v>
      </c>
    </row>
    <row r="500" spans="1:14" x14ac:dyDescent="0.3">
      <c r="A500" t="s">
        <v>1133</v>
      </c>
      <c r="B500" t="s">
        <v>279</v>
      </c>
      <c r="C500" t="s">
        <v>805</v>
      </c>
      <c r="D500" t="s">
        <v>812</v>
      </c>
      <c r="E500">
        <v>1</v>
      </c>
      <c r="F500" t="s">
        <v>824</v>
      </c>
      <c r="G500" t="s">
        <v>859</v>
      </c>
      <c r="H500">
        <v>2670</v>
      </c>
      <c r="I500" t="s">
        <v>833</v>
      </c>
      <c r="J500" t="s">
        <v>842</v>
      </c>
      <c r="K500" s="2">
        <v>45689</v>
      </c>
      <c r="L500">
        <v>2025</v>
      </c>
      <c r="M500">
        <v>2670</v>
      </c>
      <c r="N500" t="s">
        <v>868</v>
      </c>
    </row>
    <row r="501" spans="1:14" x14ac:dyDescent="0.3">
      <c r="A501" t="s">
        <v>977</v>
      </c>
      <c r="B501" t="s">
        <v>280</v>
      </c>
      <c r="C501" t="s">
        <v>805</v>
      </c>
      <c r="D501" t="s">
        <v>812</v>
      </c>
      <c r="E501">
        <v>1</v>
      </c>
      <c r="F501" t="s">
        <v>827</v>
      </c>
      <c r="G501" t="s">
        <v>883</v>
      </c>
      <c r="H501">
        <v>2670</v>
      </c>
      <c r="I501" t="s">
        <v>833</v>
      </c>
      <c r="J501" t="s">
        <v>842</v>
      </c>
      <c r="K501" s="2">
        <v>44621</v>
      </c>
      <c r="L501">
        <v>2022</v>
      </c>
      <c r="M501">
        <v>2670</v>
      </c>
      <c r="N501" t="s">
        <v>868</v>
      </c>
    </row>
    <row r="502" spans="1:14" x14ac:dyDescent="0.3">
      <c r="A502" t="s">
        <v>1134</v>
      </c>
      <c r="B502" t="s">
        <v>281</v>
      </c>
      <c r="C502" t="s">
        <v>805</v>
      </c>
      <c r="D502" t="s">
        <v>812</v>
      </c>
      <c r="E502">
        <v>18</v>
      </c>
      <c r="F502" t="s">
        <v>825</v>
      </c>
      <c r="G502" t="s">
        <v>870</v>
      </c>
      <c r="H502">
        <v>1108</v>
      </c>
      <c r="I502" t="s">
        <v>833</v>
      </c>
      <c r="J502" t="s">
        <v>840</v>
      </c>
      <c r="K502" s="2">
        <v>45717</v>
      </c>
      <c r="L502">
        <v>2025</v>
      </c>
      <c r="M502">
        <v>19944</v>
      </c>
      <c r="N502" t="s">
        <v>863</v>
      </c>
    </row>
    <row r="503" spans="1:14" x14ac:dyDescent="0.3">
      <c r="A503" t="s">
        <v>1134</v>
      </c>
      <c r="B503" t="s">
        <v>281</v>
      </c>
      <c r="C503" t="s">
        <v>806</v>
      </c>
      <c r="D503" t="s">
        <v>818</v>
      </c>
      <c r="E503">
        <v>9</v>
      </c>
      <c r="F503" t="s">
        <v>825</v>
      </c>
      <c r="G503" t="s">
        <v>870</v>
      </c>
      <c r="H503">
        <v>9776</v>
      </c>
      <c r="I503" t="s">
        <v>832</v>
      </c>
      <c r="J503" t="s">
        <v>843</v>
      </c>
      <c r="K503" s="2">
        <v>45717</v>
      </c>
      <c r="L503">
        <v>2025</v>
      </c>
      <c r="M503">
        <v>87984</v>
      </c>
      <c r="N503" t="s">
        <v>852</v>
      </c>
    </row>
    <row r="504" spans="1:14" x14ac:dyDescent="0.3">
      <c r="A504" t="s">
        <v>1134</v>
      </c>
      <c r="B504" t="s">
        <v>281</v>
      </c>
      <c r="C504" t="s">
        <v>807</v>
      </c>
      <c r="D504" t="s">
        <v>820</v>
      </c>
      <c r="E504">
        <v>6</v>
      </c>
      <c r="F504" t="s">
        <v>825</v>
      </c>
      <c r="G504" t="s">
        <v>870</v>
      </c>
      <c r="H504">
        <v>535</v>
      </c>
      <c r="I504" t="s">
        <v>836</v>
      </c>
      <c r="J504" t="s">
        <v>840</v>
      </c>
      <c r="K504" s="2">
        <v>45717</v>
      </c>
      <c r="L504">
        <v>2025</v>
      </c>
      <c r="M504">
        <v>3210</v>
      </c>
      <c r="N504" t="s">
        <v>852</v>
      </c>
    </row>
    <row r="505" spans="1:14" x14ac:dyDescent="0.3">
      <c r="A505" t="s">
        <v>1066</v>
      </c>
      <c r="B505" t="s">
        <v>282</v>
      </c>
      <c r="C505" t="s">
        <v>806</v>
      </c>
      <c r="D505" t="s">
        <v>817</v>
      </c>
      <c r="E505">
        <v>5</v>
      </c>
      <c r="F505" t="s">
        <v>824</v>
      </c>
      <c r="G505" t="s">
        <v>910</v>
      </c>
      <c r="H505">
        <v>7564</v>
      </c>
      <c r="I505" t="s">
        <v>835</v>
      </c>
      <c r="J505" t="s">
        <v>841</v>
      </c>
      <c r="K505" s="2">
        <v>45444</v>
      </c>
      <c r="L505">
        <v>2024</v>
      </c>
      <c r="M505">
        <v>37820</v>
      </c>
      <c r="N505" t="s">
        <v>852</v>
      </c>
    </row>
    <row r="506" spans="1:14" x14ac:dyDescent="0.3">
      <c r="A506" t="s">
        <v>1135</v>
      </c>
      <c r="B506" t="s">
        <v>283</v>
      </c>
      <c r="C506" t="s">
        <v>806</v>
      </c>
      <c r="D506" t="s">
        <v>817</v>
      </c>
      <c r="E506">
        <v>5</v>
      </c>
      <c r="F506" t="s">
        <v>825</v>
      </c>
      <c r="G506" t="s">
        <v>921</v>
      </c>
      <c r="H506">
        <v>7564</v>
      </c>
      <c r="I506" t="s">
        <v>835</v>
      </c>
      <c r="J506" t="s">
        <v>841</v>
      </c>
      <c r="K506" s="2">
        <v>44136</v>
      </c>
      <c r="L506">
        <v>2020</v>
      </c>
      <c r="M506">
        <v>37820</v>
      </c>
      <c r="N506" t="s">
        <v>852</v>
      </c>
    </row>
    <row r="507" spans="1:14" x14ac:dyDescent="0.3">
      <c r="A507" t="s">
        <v>1136</v>
      </c>
      <c r="B507" t="s">
        <v>284</v>
      </c>
      <c r="C507" t="s">
        <v>806</v>
      </c>
      <c r="D507" t="s">
        <v>817</v>
      </c>
      <c r="E507">
        <v>5</v>
      </c>
      <c r="F507" t="s">
        <v>824</v>
      </c>
      <c r="G507" t="s">
        <v>851</v>
      </c>
      <c r="H507">
        <v>7564</v>
      </c>
      <c r="I507" t="s">
        <v>835</v>
      </c>
      <c r="J507" t="s">
        <v>841</v>
      </c>
      <c r="K507" s="2">
        <v>45566</v>
      </c>
      <c r="L507">
        <v>2024</v>
      </c>
      <c r="M507">
        <v>37820</v>
      </c>
      <c r="N507" t="s">
        <v>852</v>
      </c>
    </row>
    <row r="508" spans="1:14" x14ac:dyDescent="0.3">
      <c r="A508" t="s">
        <v>1137</v>
      </c>
      <c r="B508" t="s">
        <v>285</v>
      </c>
      <c r="C508" t="s">
        <v>806</v>
      </c>
      <c r="D508" t="s">
        <v>817</v>
      </c>
      <c r="E508">
        <v>5</v>
      </c>
      <c r="F508" t="s">
        <v>828</v>
      </c>
      <c r="G508" t="s">
        <v>904</v>
      </c>
      <c r="H508">
        <v>7564</v>
      </c>
      <c r="I508" t="s">
        <v>835</v>
      </c>
      <c r="J508" t="s">
        <v>841</v>
      </c>
      <c r="K508" s="2">
        <v>45474</v>
      </c>
      <c r="L508">
        <v>2024</v>
      </c>
      <c r="M508">
        <v>37820</v>
      </c>
      <c r="N508" t="s">
        <v>852</v>
      </c>
    </row>
    <row r="509" spans="1:14" x14ac:dyDescent="0.3">
      <c r="A509" t="s">
        <v>1066</v>
      </c>
      <c r="B509" t="s">
        <v>282</v>
      </c>
      <c r="C509" t="s">
        <v>805</v>
      </c>
      <c r="D509" t="s">
        <v>809</v>
      </c>
      <c r="E509">
        <v>20</v>
      </c>
      <c r="F509" t="s">
        <v>824</v>
      </c>
      <c r="G509" t="s">
        <v>910</v>
      </c>
      <c r="H509">
        <v>3409</v>
      </c>
      <c r="I509" t="s">
        <v>832</v>
      </c>
      <c r="J509" t="s">
        <v>842</v>
      </c>
      <c r="K509" s="2">
        <v>45444</v>
      </c>
      <c r="L509">
        <v>2024</v>
      </c>
      <c r="M509">
        <v>68180</v>
      </c>
      <c r="N509" t="s">
        <v>863</v>
      </c>
    </row>
    <row r="510" spans="1:14" x14ac:dyDescent="0.3">
      <c r="A510" t="s">
        <v>1135</v>
      </c>
      <c r="B510" t="s">
        <v>283</v>
      </c>
      <c r="C510" t="s">
        <v>805</v>
      </c>
      <c r="D510" t="s">
        <v>809</v>
      </c>
      <c r="E510">
        <v>20</v>
      </c>
      <c r="F510" t="s">
        <v>825</v>
      </c>
      <c r="G510" t="s">
        <v>921</v>
      </c>
      <c r="H510">
        <v>3409</v>
      </c>
      <c r="I510" t="s">
        <v>832</v>
      </c>
      <c r="J510" t="s">
        <v>842</v>
      </c>
      <c r="K510" s="2">
        <v>44136</v>
      </c>
      <c r="L510">
        <v>2020</v>
      </c>
      <c r="M510">
        <v>68180</v>
      </c>
      <c r="N510" t="s">
        <v>863</v>
      </c>
    </row>
    <row r="511" spans="1:14" x14ac:dyDescent="0.3">
      <c r="A511" t="s">
        <v>1136</v>
      </c>
      <c r="B511" t="s">
        <v>284</v>
      </c>
      <c r="C511" t="s">
        <v>805</v>
      </c>
      <c r="D511" t="s">
        <v>809</v>
      </c>
      <c r="E511">
        <v>20</v>
      </c>
      <c r="F511" t="s">
        <v>824</v>
      </c>
      <c r="G511" t="s">
        <v>851</v>
      </c>
      <c r="H511">
        <v>3409</v>
      </c>
      <c r="I511" t="s">
        <v>832</v>
      </c>
      <c r="J511" t="s">
        <v>842</v>
      </c>
      <c r="K511" s="2">
        <v>45566</v>
      </c>
      <c r="L511">
        <v>2024</v>
      </c>
      <c r="M511">
        <v>68180</v>
      </c>
      <c r="N511" t="s">
        <v>863</v>
      </c>
    </row>
    <row r="512" spans="1:14" x14ac:dyDescent="0.3">
      <c r="A512" t="s">
        <v>1137</v>
      </c>
      <c r="B512" t="s">
        <v>285</v>
      </c>
      <c r="C512" t="s">
        <v>805</v>
      </c>
      <c r="D512" t="s">
        <v>809</v>
      </c>
      <c r="E512">
        <v>20</v>
      </c>
      <c r="F512" t="s">
        <v>828</v>
      </c>
      <c r="G512" t="s">
        <v>904</v>
      </c>
      <c r="H512">
        <v>3409</v>
      </c>
      <c r="I512" t="s">
        <v>832</v>
      </c>
      <c r="J512" t="s">
        <v>842</v>
      </c>
      <c r="K512" s="2">
        <v>45474</v>
      </c>
      <c r="L512">
        <v>2024</v>
      </c>
      <c r="M512">
        <v>68180</v>
      </c>
      <c r="N512" t="s">
        <v>863</v>
      </c>
    </row>
    <row r="513" spans="1:14" x14ac:dyDescent="0.3">
      <c r="A513" t="s">
        <v>1138</v>
      </c>
      <c r="B513" t="s">
        <v>286</v>
      </c>
      <c r="C513" t="s">
        <v>806</v>
      </c>
      <c r="D513" t="s">
        <v>811</v>
      </c>
      <c r="E513">
        <v>13</v>
      </c>
      <c r="F513" t="s">
        <v>826</v>
      </c>
      <c r="G513" t="s">
        <v>856</v>
      </c>
      <c r="H513">
        <v>9751</v>
      </c>
      <c r="I513" t="s">
        <v>836</v>
      </c>
      <c r="J513" t="s">
        <v>843</v>
      </c>
      <c r="K513" s="2">
        <v>44136</v>
      </c>
      <c r="L513">
        <v>2020</v>
      </c>
      <c r="M513">
        <v>126763</v>
      </c>
      <c r="N513" t="s">
        <v>857</v>
      </c>
    </row>
    <row r="514" spans="1:14" x14ac:dyDescent="0.3">
      <c r="A514" t="s">
        <v>1139</v>
      </c>
      <c r="B514" t="s">
        <v>287</v>
      </c>
      <c r="C514" t="s">
        <v>805</v>
      </c>
      <c r="D514" t="s">
        <v>810</v>
      </c>
      <c r="E514">
        <v>11</v>
      </c>
      <c r="F514" t="s">
        <v>824</v>
      </c>
      <c r="G514" t="s">
        <v>859</v>
      </c>
      <c r="H514">
        <v>6385</v>
      </c>
      <c r="I514" t="s">
        <v>835</v>
      </c>
      <c r="J514" t="s">
        <v>841</v>
      </c>
      <c r="K514" s="2">
        <v>44986</v>
      </c>
      <c r="L514">
        <v>2023</v>
      </c>
      <c r="M514">
        <v>70235</v>
      </c>
      <c r="N514" t="s">
        <v>857</v>
      </c>
    </row>
    <row r="515" spans="1:14" x14ac:dyDescent="0.3">
      <c r="A515" t="s">
        <v>1140</v>
      </c>
      <c r="B515" t="s">
        <v>288</v>
      </c>
      <c r="C515" t="s">
        <v>805</v>
      </c>
      <c r="D515" t="s">
        <v>810</v>
      </c>
      <c r="E515">
        <v>11</v>
      </c>
      <c r="F515" t="s">
        <v>824</v>
      </c>
      <c r="G515" t="s">
        <v>910</v>
      </c>
      <c r="H515">
        <v>6385</v>
      </c>
      <c r="I515" t="s">
        <v>835</v>
      </c>
      <c r="J515" t="s">
        <v>841</v>
      </c>
      <c r="K515" s="2">
        <v>44835</v>
      </c>
      <c r="L515">
        <v>2022</v>
      </c>
      <c r="M515">
        <v>70235</v>
      </c>
      <c r="N515" t="s">
        <v>857</v>
      </c>
    </row>
    <row r="516" spans="1:14" x14ac:dyDescent="0.3">
      <c r="A516" t="s">
        <v>1141</v>
      </c>
      <c r="B516" t="s">
        <v>289</v>
      </c>
      <c r="C516" t="s">
        <v>805</v>
      </c>
      <c r="D516" t="s">
        <v>809</v>
      </c>
      <c r="E516">
        <v>15</v>
      </c>
      <c r="F516" t="s">
        <v>828</v>
      </c>
      <c r="G516" t="s">
        <v>880</v>
      </c>
      <c r="H516">
        <v>6355</v>
      </c>
      <c r="I516" t="s">
        <v>833</v>
      </c>
      <c r="J516" t="s">
        <v>841</v>
      </c>
      <c r="K516" s="2">
        <v>45139</v>
      </c>
      <c r="L516">
        <v>2023</v>
      </c>
      <c r="M516">
        <v>95325</v>
      </c>
      <c r="N516" t="s">
        <v>863</v>
      </c>
    </row>
    <row r="517" spans="1:14" x14ac:dyDescent="0.3">
      <c r="A517" t="s">
        <v>1142</v>
      </c>
      <c r="B517" t="s">
        <v>290</v>
      </c>
      <c r="C517" t="s">
        <v>805</v>
      </c>
      <c r="D517" t="s">
        <v>809</v>
      </c>
      <c r="E517">
        <v>15</v>
      </c>
      <c r="F517" t="s">
        <v>828</v>
      </c>
      <c r="G517" t="s">
        <v>880</v>
      </c>
      <c r="H517">
        <v>6355</v>
      </c>
      <c r="I517" t="s">
        <v>833</v>
      </c>
      <c r="J517" t="s">
        <v>841</v>
      </c>
      <c r="K517" s="2">
        <v>44348</v>
      </c>
      <c r="L517">
        <v>2021</v>
      </c>
      <c r="M517">
        <v>95325</v>
      </c>
      <c r="N517" t="s">
        <v>863</v>
      </c>
    </row>
    <row r="518" spans="1:14" x14ac:dyDescent="0.3">
      <c r="A518" t="s">
        <v>1143</v>
      </c>
      <c r="B518" t="s">
        <v>291</v>
      </c>
      <c r="C518" t="s">
        <v>805</v>
      </c>
      <c r="D518" t="s">
        <v>810</v>
      </c>
      <c r="E518">
        <v>15</v>
      </c>
      <c r="F518" t="s">
        <v>828</v>
      </c>
      <c r="G518" t="s">
        <v>880</v>
      </c>
      <c r="H518">
        <v>7377</v>
      </c>
      <c r="I518" t="s">
        <v>833</v>
      </c>
      <c r="J518" t="s">
        <v>841</v>
      </c>
      <c r="K518" s="2">
        <v>44896</v>
      </c>
      <c r="L518">
        <v>2022</v>
      </c>
      <c r="M518">
        <v>110655</v>
      </c>
      <c r="N518" t="s">
        <v>863</v>
      </c>
    </row>
    <row r="519" spans="1:14" x14ac:dyDescent="0.3">
      <c r="A519" t="s">
        <v>1143</v>
      </c>
      <c r="B519" t="s">
        <v>291</v>
      </c>
      <c r="C519" t="s">
        <v>806</v>
      </c>
      <c r="D519" t="s">
        <v>815</v>
      </c>
      <c r="E519">
        <v>12</v>
      </c>
      <c r="F519" t="s">
        <v>828</v>
      </c>
      <c r="G519" t="s">
        <v>880</v>
      </c>
      <c r="H519">
        <v>2054</v>
      </c>
      <c r="I519" t="s">
        <v>834</v>
      </c>
      <c r="J519" t="s">
        <v>842</v>
      </c>
      <c r="K519" s="2">
        <v>44896</v>
      </c>
      <c r="L519">
        <v>2022</v>
      </c>
      <c r="M519">
        <v>24648</v>
      </c>
      <c r="N519" t="s">
        <v>857</v>
      </c>
    </row>
    <row r="520" spans="1:14" x14ac:dyDescent="0.3">
      <c r="A520" t="s">
        <v>1144</v>
      </c>
      <c r="B520" t="s">
        <v>292</v>
      </c>
      <c r="C520" t="s">
        <v>807</v>
      </c>
      <c r="D520" t="s">
        <v>814</v>
      </c>
      <c r="E520">
        <v>18</v>
      </c>
      <c r="F520" t="s">
        <v>825</v>
      </c>
      <c r="G520" t="s">
        <v>921</v>
      </c>
      <c r="H520">
        <v>7497</v>
      </c>
      <c r="I520" t="s">
        <v>836</v>
      </c>
      <c r="J520" t="s">
        <v>841</v>
      </c>
      <c r="K520" s="2">
        <v>45323</v>
      </c>
      <c r="L520">
        <v>2024</v>
      </c>
      <c r="M520">
        <v>134946</v>
      </c>
      <c r="N520" t="s">
        <v>863</v>
      </c>
    </row>
    <row r="521" spans="1:14" x14ac:dyDescent="0.3">
      <c r="A521" t="s">
        <v>933</v>
      </c>
      <c r="B521" t="s">
        <v>293</v>
      </c>
      <c r="C521" t="s">
        <v>805</v>
      </c>
      <c r="D521" t="s">
        <v>809</v>
      </c>
      <c r="E521">
        <v>20</v>
      </c>
      <c r="F521" t="s">
        <v>824</v>
      </c>
      <c r="G521" t="s">
        <v>851</v>
      </c>
      <c r="H521">
        <v>2565</v>
      </c>
      <c r="I521" t="s">
        <v>833</v>
      </c>
      <c r="J521" t="s">
        <v>842</v>
      </c>
      <c r="K521" s="2">
        <v>44896</v>
      </c>
      <c r="L521">
        <v>2022</v>
      </c>
      <c r="M521">
        <v>51300</v>
      </c>
      <c r="N521" t="s">
        <v>863</v>
      </c>
    </row>
    <row r="522" spans="1:14" x14ac:dyDescent="0.3">
      <c r="A522" t="s">
        <v>933</v>
      </c>
      <c r="B522" t="s">
        <v>293</v>
      </c>
      <c r="C522" t="s">
        <v>806</v>
      </c>
      <c r="D522" t="s">
        <v>811</v>
      </c>
      <c r="E522">
        <v>19</v>
      </c>
      <c r="F522" t="s">
        <v>824</v>
      </c>
      <c r="G522" t="s">
        <v>851</v>
      </c>
      <c r="H522">
        <v>5024</v>
      </c>
      <c r="I522" t="s">
        <v>836</v>
      </c>
      <c r="J522" t="s">
        <v>844</v>
      </c>
      <c r="K522" s="2">
        <v>44896</v>
      </c>
      <c r="L522">
        <v>2022</v>
      </c>
      <c r="M522">
        <v>95456</v>
      </c>
      <c r="N522" t="s">
        <v>863</v>
      </c>
    </row>
    <row r="523" spans="1:14" x14ac:dyDescent="0.3">
      <c r="A523" t="s">
        <v>1145</v>
      </c>
      <c r="B523" t="s">
        <v>294</v>
      </c>
      <c r="C523" t="s">
        <v>806</v>
      </c>
      <c r="D523" t="s">
        <v>818</v>
      </c>
      <c r="E523">
        <v>15</v>
      </c>
      <c r="F523" t="s">
        <v>828</v>
      </c>
      <c r="G523" t="s">
        <v>904</v>
      </c>
      <c r="H523">
        <v>8243</v>
      </c>
      <c r="I523" t="s">
        <v>833</v>
      </c>
      <c r="J523" t="s">
        <v>843</v>
      </c>
      <c r="K523" s="2">
        <v>44287</v>
      </c>
      <c r="L523">
        <v>2021</v>
      </c>
      <c r="M523">
        <v>123645</v>
      </c>
      <c r="N523" t="s">
        <v>863</v>
      </c>
    </row>
    <row r="524" spans="1:14" x14ac:dyDescent="0.3">
      <c r="A524" t="s">
        <v>1146</v>
      </c>
      <c r="B524" t="s">
        <v>295</v>
      </c>
      <c r="C524" t="s">
        <v>806</v>
      </c>
      <c r="D524" t="s">
        <v>817</v>
      </c>
      <c r="E524">
        <v>13</v>
      </c>
      <c r="F524" t="s">
        <v>825</v>
      </c>
      <c r="G524" t="s">
        <v>921</v>
      </c>
      <c r="H524">
        <v>7792</v>
      </c>
      <c r="I524" t="s">
        <v>832</v>
      </c>
      <c r="J524" t="s">
        <v>841</v>
      </c>
      <c r="K524" s="2">
        <v>44228</v>
      </c>
      <c r="L524">
        <v>2021</v>
      </c>
      <c r="M524">
        <v>101296</v>
      </c>
      <c r="N524" t="s">
        <v>857</v>
      </c>
    </row>
    <row r="525" spans="1:14" x14ac:dyDescent="0.3">
      <c r="A525" t="s">
        <v>1115</v>
      </c>
      <c r="B525" t="s">
        <v>296</v>
      </c>
      <c r="C525" t="s">
        <v>806</v>
      </c>
      <c r="D525" t="s">
        <v>817</v>
      </c>
      <c r="E525">
        <v>13</v>
      </c>
      <c r="F525" t="s">
        <v>826</v>
      </c>
      <c r="G525" t="s">
        <v>872</v>
      </c>
      <c r="H525">
        <v>7792</v>
      </c>
      <c r="I525" t="s">
        <v>832</v>
      </c>
      <c r="J525" t="s">
        <v>841</v>
      </c>
      <c r="K525" s="2">
        <v>44896</v>
      </c>
      <c r="L525">
        <v>2022</v>
      </c>
      <c r="M525">
        <v>101296</v>
      </c>
      <c r="N525" t="s">
        <v>857</v>
      </c>
    </row>
    <row r="526" spans="1:14" x14ac:dyDescent="0.3">
      <c r="A526" t="s">
        <v>1147</v>
      </c>
      <c r="B526" t="s">
        <v>297</v>
      </c>
      <c r="C526" t="s">
        <v>806</v>
      </c>
      <c r="D526" t="s">
        <v>817</v>
      </c>
      <c r="E526">
        <v>13</v>
      </c>
      <c r="F526" t="s">
        <v>827</v>
      </c>
      <c r="G526" t="s">
        <v>876</v>
      </c>
      <c r="H526">
        <v>7792</v>
      </c>
      <c r="I526" t="s">
        <v>832</v>
      </c>
      <c r="J526" t="s">
        <v>841</v>
      </c>
      <c r="K526" s="2">
        <v>45292</v>
      </c>
      <c r="L526">
        <v>2024</v>
      </c>
      <c r="M526">
        <v>101296</v>
      </c>
      <c r="N526" t="s">
        <v>857</v>
      </c>
    </row>
    <row r="527" spans="1:14" x14ac:dyDescent="0.3">
      <c r="A527" t="s">
        <v>1146</v>
      </c>
      <c r="B527" t="s">
        <v>295</v>
      </c>
      <c r="C527" t="s">
        <v>807</v>
      </c>
      <c r="D527" t="s">
        <v>814</v>
      </c>
      <c r="E527">
        <v>14</v>
      </c>
      <c r="F527" t="s">
        <v>825</v>
      </c>
      <c r="G527" t="s">
        <v>921</v>
      </c>
      <c r="H527">
        <v>2346</v>
      </c>
      <c r="I527" t="s">
        <v>833</v>
      </c>
      <c r="J527" t="s">
        <v>842</v>
      </c>
      <c r="K527" s="2">
        <v>44228</v>
      </c>
      <c r="L527">
        <v>2021</v>
      </c>
      <c r="M527">
        <v>32844</v>
      </c>
      <c r="N527" t="s">
        <v>857</v>
      </c>
    </row>
    <row r="528" spans="1:14" x14ac:dyDescent="0.3">
      <c r="A528" t="s">
        <v>1115</v>
      </c>
      <c r="B528" t="s">
        <v>296</v>
      </c>
      <c r="C528" t="s">
        <v>807</v>
      </c>
      <c r="D528" t="s">
        <v>814</v>
      </c>
      <c r="E528">
        <v>14</v>
      </c>
      <c r="F528" t="s">
        <v>826</v>
      </c>
      <c r="G528" t="s">
        <v>872</v>
      </c>
      <c r="H528">
        <v>2346</v>
      </c>
      <c r="I528" t="s">
        <v>833</v>
      </c>
      <c r="J528" t="s">
        <v>842</v>
      </c>
      <c r="K528" s="2">
        <v>44896</v>
      </c>
      <c r="L528">
        <v>2022</v>
      </c>
      <c r="M528">
        <v>32844</v>
      </c>
      <c r="N528" t="s">
        <v>857</v>
      </c>
    </row>
    <row r="529" spans="1:14" x14ac:dyDescent="0.3">
      <c r="A529" t="s">
        <v>1147</v>
      </c>
      <c r="B529" t="s">
        <v>297</v>
      </c>
      <c r="C529" t="s">
        <v>807</v>
      </c>
      <c r="D529" t="s">
        <v>814</v>
      </c>
      <c r="E529">
        <v>14</v>
      </c>
      <c r="F529" t="s">
        <v>827</v>
      </c>
      <c r="G529" t="s">
        <v>876</v>
      </c>
      <c r="H529">
        <v>2346</v>
      </c>
      <c r="I529" t="s">
        <v>833</v>
      </c>
      <c r="J529" t="s">
        <v>842</v>
      </c>
      <c r="K529" s="2">
        <v>45292</v>
      </c>
      <c r="L529">
        <v>2024</v>
      </c>
      <c r="M529">
        <v>32844</v>
      </c>
      <c r="N529" t="s">
        <v>857</v>
      </c>
    </row>
    <row r="530" spans="1:14" x14ac:dyDescent="0.3">
      <c r="A530" t="s">
        <v>1148</v>
      </c>
      <c r="B530" t="s">
        <v>298</v>
      </c>
      <c r="C530" t="s">
        <v>807</v>
      </c>
      <c r="D530" t="s">
        <v>816</v>
      </c>
      <c r="E530">
        <v>10</v>
      </c>
      <c r="F530" t="s">
        <v>829</v>
      </c>
      <c r="G530" t="s">
        <v>886</v>
      </c>
      <c r="H530">
        <v>7346</v>
      </c>
      <c r="I530" t="s">
        <v>835</v>
      </c>
      <c r="J530" t="s">
        <v>841</v>
      </c>
      <c r="K530" s="2">
        <v>44896</v>
      </c>
      <c r="L530">
        <v>2022</v>
      </c>
      <c r="M530">
        <v>73460</v>
      </c>
      <c r="N530" t="s">
        <v>857</v>
      </c>
    </row>
    <row r="531" spans="1:14" x14ac:dyDescent="0.3">
      <c r="A531" t="s">
        <v>1148</v>
      </c>
      <c r="B531" t="s">
        <v>298</v>
      </c>
      <c r="C531" t="s">
        <v>805</v>
      </c>
      <c r="D531" t="s">
        <v>809</v>
      </c>
      <c r="E531">
        <v>7</v>
      </c>
      <c r="F531" t="s">
        <v>829</v>
      </c>
      <c r="G531" t="s">
        <v>886</v>
      </c>
      <c r="H531">
        <v>9770</v>
      </c>
      <c r="I531" t="s">
        <v>832</v>
      </c>
      <c r="J531" t="s">
        <v>843</v>
      </c>
      <c r="K531" s="2">
        <v>44896</v>
      </c>
      <c r="L531">
        <v>2022</v>
      </c>
      <c r="M531">
        <v>68390</v>
      </c>
      <c r="N531" t="s">
        <v>852</v>
      </c>
    </row>
    <row r="532" spans="1:14" x14ac:dyDescent="0.3">
      <c r="A532" t="s">
        <v>1148</v>
      </c>
      <c r="B532" t="s">
        <v>298</v>
      </c>
      <c r="C532" t="s">
        <v>805</v>
      </c>
      <c r="D532" t="s">
        <v>812</v>
      </c>
      <c r="E532">
        <v>13</v>
      </c>
      <c r="F532" t="s">
        <v>829</v>
      </c>
      <c r="G532" t="s">
        <v>886</v>
      </c>
      <c r="H532">
        <v>7179</v>
      </c>
      <c r="I532" t="s">
        <v>835</v>
      </c>
      <c r="J532" t="s">
        <v>841</v>
      </c>
      <c r="K532" s="2">
        <v>44896</v>
      </c>
      <c r="L532">
        <v>2022</v>
      </c>
      <c r="M532">
        <v>93327</v>
      </c>
      <c r="N532" t="s">
        <v>857</v>
      </c>
    </row>
    <row r="533" spans="1:14" x14ac:dyDescent="0.3">
      <c r="A533" t="s">
        <v>1149</v>
      </c>
      <c r="B533" t="s">
        <v>299</v>
      </c>
      <c r="C533" t="s">
        <v>805</v>
      </c>
      <c r="D533" t="s">
        <v>819</v>
      </c>
      <c r="E533">
        <v>2</v>
      </c>
      <c r="F533" t="s">
        <v>824</v>
      </c>
      <c r="G533" t="s">
        <v>851</v>
      </c>
      <c r="H533">
        <v>5449</v>
      </c>
      <c r="I533" t="s">
        <v>832</v>
      </c>
      <c r="J533" t="s">
        <v>844</v>
      </c>
      <c r="K533" s="2">
        <v>44835</v>
      </c>
      <c r="L533">
        <v>2022</v>
      </c>
      <c r="M533">
        <v>10898</v>
      </c>
      <c r="N533" t="s">
        <v>868</v>
      </c>
    </row>
    <row r="534" spans="1:14" x14ac:dyDescent="0.3">
      <c r="A534" t="s">
        <v>1150</v>
      </c>
      <c r="B534" t="s">
        <v>300</v>
      </c>
      <c r="C534" t="s">
        <v>807</v>
      </c>
      <c r="D534" t="s">
        <v>814</v>
      </c>
      <c r="E534">
        <v>6</v>
      </c>
      <c r="F534" t="s">
        <v>826</v>
      </c>
      <c r="G534" t="s">
        <v>856</v>
      </c>
      <c r="H534">
        <v>2895</v>
      </c>
      <c r="I534" t="s">
        <v>836</v>
      </c>
      <c r="J534" t="s">
        <v>842</v>
      </c>
      <c r="K534" s="2">
        <v>43922</v>
      </c>
      <c r="L534">
        <v>2020</v>
      </c>
      <c r="M534">
        <v>17370</v>
      </c>
      <c r="N534" t="s">
        <v>852</v>
      </c>
    </row>
    <row r="535" spans="1:14" x14ac:dyDescent="0.3">
      <c r="A535" t="s">
        <v>1151</v>
      </c>
      <c r="B535" t="s">
        <v>301</v>
      </c>
      <c r="C535" t="s">
        <v>807</v>
      </c>
      <c r="D535" t="s">
        <v>814</v>
      </c>
      <c r="E535">
        <v>6</v>
      </c>
      <c r="F535" t="s">
        <v>828</v>
      </c>
      <c r="G535" t="s">
        <v>904</v>
      </c>
      <c r="H535">
        <v>2895</v>
      </c>
      <c r="I535" t="s">
        <v>836</v>
      </c>
      <c r="J535" t="s">
        <v>842</v>
      </c>
      <c r="K535" s="2">
        <v>45413</v>
      </c>
      <c r="L535">
        <v>2024</v>
      </c>
      <c r="M535">
        <v>17370</v>
      </c>
      <c r="N535" t="s">
        <v>852</v>
      </c>
    </row>
    <row r="536" spans="1:14" x14ac:dyDescent="0.3">
      <c r="A536" t="s">
        <v>1150</v>
      </c>
      <c r="B536" t="s">
        <v>300</v>
      </c>
      <c r="C536" t="s">
        <v>807</v>
      </c>
      <c r="D536" t="s">
        <v>814</v>
      </c>
      <c r="E536">
        <v>1</v>
      </c>
      <c r="F536" t="s">
        <v>826</v>
      </c>
      <c r="G536" t="s">
        <v>856</v>
      </c>
      <c r="H536">
        <v>697</v>
      </c>
      <c r="I536" t="s">
        <v>832</v>
      </c>
      <c r="J536" t="s">
        <v>840</v>
      </c>
      <c r="K536" s="2">
        <v>43922</v>
      </c>
      <c r="L536">
        <v>2020</v>
      </c>
      <c r="M536">
        <v>697</v>
      </c>
      <c r="N536" t="s">
        <v>868</v>
      </c>
    </row>
    <row r="537" spans="1:14" x14ac:dyDescent="0.3">
      <c r="A537" t="s">
        <v>1151</v>
      </c>
      <c r="B537" t="s">
        <v>301</v>
      </c>
      <c r="C537" t="s">
        <v>807</v>
      </c>
      <c r="D537" t="s">
        <v>814</v>
      </c>
      <c r="E537">
        <v>1</v>
      </c>
      <c r="F537" t="s">
        <v>828</v>
      </c>
      <c r="G537" t="s">
        <v>904</v>
      </c>
      <c r="H537">
        <v>697</v>
      </c>
      <c r="I537" t="s">
        <v>832</v>
      </c>
      <c r="J537" t="s">
        <v>840</v>
      </c>
      <c r="K537" s="2">
        <v>45413</v>
      </c>
      <c r="L537">
        <v>2024</v>
      </c>
      <c r="M537">
        <v>697</v>
      </c>
      <c r="N537" t="s">
        <v>868</v>
      </c>
    </row>
    <row r="538" spans="1:14" x14ac:dyDescent="0.3">
      <c r="A538" t="s">
        <v>1152</v>
      </c>
      <c r="B538" t="s">
        <v>302</v>
      </c>
      <c r="C538" t="s">
        <v>807</v>
      </c>
      <c r="D538" t="s">
        <v>814</v>
      </c>
      <c r="E538">
        <v>4</v>
      </c>
      <c r="F538" t="s">
        <v>827</v>
      </c>
      <c r="G538" t="s">
        <v>862</v>
      </c>
      <c r="H538">
        <v>6145</v>
      </c>
      <c r="I538" t="s">
        <v>836</v>
      </c>
      <c r="J538" t="s">
        <v>841</v>
      </c>
      <c r="K538" s="2">
        <v>44105</v>
      </c>
      <c r="L538">
        <v>2020</v>
      </c>
      <c r="M538">
        <v>24580</v>
      </c>
      <c r="N538" t="s">
        <v>868</v>
      </c>
    </row>
    <row r="539" spans="1:14" x14ac:dyDescent="0.3">
      <c r="A539" t="s">
        <v>1152</v>
      </c>
      <c r="B539" t="s">
        <v>302</v>
      </c>
      <c r="C539" t="s">
        <v>805</v>
      </c>
      <c r="D539" t="s">
        <v>810</v>
      </c>
      <c r="E539">
        <v>18</v>
      </c>
      <c r="F539" t="s">
        <v>827</v>
      </c>
      <c r="G539" t="s">
        <v>862</v>
      </c>
      <c r="H539">
        <v>2504</v>
      </c>
      <c r="I539" t="s">
        <v>832</v>
      </c>
      <c r="J539" t="s">
        <v>842</v>
      </c>
      <c r="K539" s="2">
        <v>44105</v>
      </c>
      <c r="L539">
        <v>2020</v>
      </c>
      <c r="M539">
        <v>45072</v>
      </c>
      <c r="N539" t="s">
        <v>863</v>
      </c>
    </row>
    <row r="540" spans="1:14" x14ac:dyDescent="0.3">
      <c r="A540" t="s">
        <v>1152</v>
      </c>
      <c r="B540" t="s">
        <v>302</v>
      </c>
      <c r="C540" t="s">
        <v>805</v>
      </c>
      <c r="D540" t="s">
        <v>819</v>
      </c>
      <c r="E540">
        <v>16</v>
      </c>
      <c r="F540" t="s">
        <v>827</v>
      </c>
      <c r="G540" t="s">
        <v>862</v>
      </c>
      <c r="H540">
        <v>3124</v>
      </c>
      <c r="I540" t="s">
        <v>833</v>
      </c>
      <c r="J540" t="s">
        <v>842</v>
      </c>
      <c r="K540" s="2">
        <v>44105</v>
      </c>
      <c r="L540">
        <v>2020</v>
      </c>
      <c r="M540">
        <v>49984</v>
      </c>
      <c r="N540" t="s">
        <v>863</v>
      </c>
    </row>
    <row r="541" spans="1:14" x14ac:dyDescent="0.3">
      <c r="A541" t="s">
        <v>1153</v>
      </c>
      <c r="B541" t="s">
        <v>303</v>
      </c>
      <c r="C541" t="s">
        <v>805</v>
      </c>
      <c r="D541" t="s">
        <v>809</v>
      </c>
      <c r="E541">
        <v>1</v>
      </c>
      <c r="F541" t="s">
        <v>829</v>
      </c>
      <c r="G541" t="s">
        <v>890</v>
      </c>
      <c r="H541">
        <v>6934</v>
      </c>
      <c r="I541" t="s">
        <v>833</v>
      </c>
      <c r="J541" t="s">
        <v>841</v>
      </c>
      <c r="K541" s="2">
        <v>44348</v>
      </c>
      <c r="L541">
        <v>2021</v>
      </c>
      <c r="M541">
        <v>6934</v>
      </c>
      <c r="N541" t="s">
        <v>868</v>
      </c>
    </row>
    <row r="542" spans="1:14" x14ac:dyDescent="0.3">
      <c r="A542" t="s">
        <v>948</v>
      </c>
      <c r="B542" t="s">
        <v>286</v>
      </c>
      <c r="C542" t="s">
        <v>805</v>
      </c>
      <c r="D542" t="s">
        <v>809</v>
      </c>
      <c r="E542">
        <v>1</v>
      </c>
      <c r="F542" t="s">
        <v>826</v>
      </c>
      <c r="G542" t="s">
        <v>872</v>
      </c>
      <c r="H542">
        <v>6934</v>
      </c>
      <c r="I542" t="s">
        <v>833</v>
      </c>
      <c r="J542" t="s">
        <v>841</v>
      </c>
      <c r="K542" s="2">
        <v>44440</v>
      </c>
      <c r="L542">
        <v>2021</v>
      </c>
      <c r="M542">
        <v>6934</v>
      </c>
      <c r="N542" t="s">
        <v>868</v>
      </c>
    </row>
    <row r="543" spans="1:14" x14ac:dyDescent="0.3">
      <c r="A543" t="s">
        <v>1154</v>
      </c>
      <c r="B543" t="s">
        <v>304</v>
      </c>
      <c r="C543" t="s">
        <v>806</v>
      </c>
      <c r="D543" t="s">
        <v>815</v>
      </c>
      <c r="E543">
        <v>3</v>
      </c>
      <c r="F543" t="s">
        <v>825</v>
      </c>
      <c r="G543" t="s">
        <v>921</v>
      </c>
      <c r="H543">
        <v>4202</v>
      </c>
      <c r="I543" t="s">
        <v>836</v>
      </c>
      <c r="J543" t="s">
        <v>844</v>
      </c>
      <c r="K543" s="2">
        <v>44866</v>
      </c>
      <c r="L543">
        <v>2022</v>
      </c>
      <c r="M543">
        <v>12606</v>
      </c>
      <c r="N543" t="s">
        <v>868</v>
      </c>
    </row>
    <row r="544" spans="1:14" x14ac:dyDescent="0.3">
      <c r="A544" t="s">
        <v>1155</v>
      </c>
      <c r="B544" t="s">
        <v>305</v>
      </c>
      <c r="C544" t="s">
        <v>806</v>
      </c>
      <c r="D544" t="s">
        <v>815</v>
      </c>
      <c r="E544">
        <v>3</v>
      </c>
      <c r="F544" t="s">
        <v>826</v>
      </c>
      <c r="G544" t="s">
        <v>872</v>
      </c>
      <c r="H544">
        <v>4202</v>
      </c>
      <c r="I544" t="s">
        <v>836</v>
      </c>
      <c r="J544" t="s">
        <v>844</v>
      </c>
      <c r="K544" s="2">
        <v>44835</v>
      </c>
      <c r="L544">
        <v>2022</v>
      </c>
      <c r="M544">
        <v>12606</v>
      </c>
      <c r="N544" t="s">
        <v>868</v>
      </c>
    </row>
    <row r="545" spans="1:14" x14ac:dyDescent="0.3">
      <c r="A545" t="s">
        <v>1156</v>
      </c>
      <c r="B545" t="s">
        <v>306</v>
      </c>
      <c r="C545" t="s">
        <v>806</v>
      </c>
      <c r="D545" t="s">
        <v>815</v>
      </c>
      <c r="E545">
        <v>3</v>
      </c>
      <c r="F545" t="s">
        <v>824</v>
      </c>
      <c r="G545" t="s">
        <v>910</v>
      </c>
      <c r="H545">
        <v>4202</v>
      </c>
      <c r="I545" t="s">
        <v>836</v>
      </c>
      <c r="J545" t="s">
        <v>844</v>
      </c>
      <c r="K545" s="2">
        <v>45231</v>
      </c>
      <c r="L545">
        <v>2023</v>
      </c>
      <c r="M545">
        <v>12606</v>
      </c>
      <c r="N545" t="s">
        <v>868</v>
      </c>
    </row>
    <row r="546" spans="1:14" x14ac:dyDescent="0.3">
      <c r="A546" t="s">
        <v>864</v>
      </c>
      <c r="B546" t="s">
        <v>307</v>
      </c>
      <c r="C546" t="s">
        <v>806</v>
      </c>
      <c r="D546" t="s">
        <v>815</v>
      </c>
      <c r="E546">
        <v>3</v>
      </c>
      <c r="F546" t="s">
        <v>828</v>
      </c>
      <c r="G546" t="s">
        <v>904</v>
      </c>
      <c r="H546">
        <v>4202</v>
      </c>
      <c r="I546" t="s">
        <v>836</v>
      </c>
      <c r="J546" t="s">
        <v>844</v>
      </c>
      <c r="K546" s="2">
        <v>45231</v>
      </c>
      <c r="L546">
        <v>2023</v>
      </c>
      <c r="M546">
        <v>12606</v>
      </c>
      <c r="N546" t="s">
        <v>868</v>
      </c>
    </row>
    <row r="547" spans="1:14" x14ac:dyDescent="0.3">
      <c r="A547" t="s">
        <v>1157</v>
      </c>
      <c r="B547" t="s">
        <v>308</v>
      </c>
      <c r="C547" t="s">
        <v>805</v>
      </c>
      <c r="D547" t="s">
        <v>810</v>
      </c>
      <c r="E547">
        <v>1</v>
      </c>
      <c r="F547" t="s">
        <v>827</v>
      </c>
      <c r="G547" t="s">
        <v>862</v>
      </c>
      <c r="H547">
        <v>2239</v>
      </c>
      <c r="I547" t="s">
        <v>832</v>
      </c>
      <c r="J547" t="s">
        <v>842</v>
      </c>
      <c r="K547" s="2">
        <v>45078</v>
      </c>
      <c r="L547">
        <v>2023</v>
      </c>
      <c r="M547">
        <v>2239</v>
      </c>
      <c r="N547" t="s">
        <v>868</v>
      </c>
    </row>
    <row r="548" spans="1:14" x14ac:dyDescent="0.3">
      <c r="A548" t="s">
        <v>1158</v>
      </c>
      <c r="B548" t="s">
        <v>309</v>
      </c>
      <c r="C548" t="s">
        <v>805</v>
      </c>
      <c r="D548" t="s">
        <v>810</v>
      </c>
      <c r="E548">
        <v>1</v>
      </c>
      <c r="F548" t="s">
        <v>825</v>
      </c>
      <c r="G548" t="s">
        <v>854</v>
      </c>
      <c r="H548">
        <v>2239</v>
      </c>
      <c r="I548" t="s">
        <v>832</v>
      </c>
      <c r="J548" t="s">
        <v>842</v>
      </c>
      <c r="K548" s="2">
        <v>45170</v>
      </c>
      <c r="L548">
        <v>2023</v>
      </c>
      <c r="M548">
        <v>2239</v>
      </c>
      <c r="N548" t="s">
        <v>868</v>
      </c>
    </row>
    <row r="549" spans="1:14" x14ac:dyDescent="0.3">
      <c r="A549" t="s">
        <v>1157</v>
      </c>
      <c r="B549" t="s">
        <v>308</v>
      </c>
      <c r="C549" t="s">
        <v>805</v>
      </c>
      <c r="D549" t="s">
        <v>819</v>
      </c>
      <c r="E549">
        <v>4</v>
      </c>
      <c r="F549" t="s">
        <v>827</v>
      </c>
      <c r="G549" t="s">
        <v>862</v>
      </c>
      <c r="H549">
        <v>2450</v>
      </c>
      <c r="I549" t="s">
        <v>833</v>
      </c>
      <c r="J549" t="s">
        <v>842</v>
      </c>
      <c r="K549" s="2">
        <v>45078</v>
      </c>
      <c r="L549">
        <v>2023</v>
      </c>
      <c r="M549">
        <v>9800</v>
      </c>
      <c r="N549" t="s">
        <v>868</v>
      </c>
    </row>
    <row r="550" spans="1:14" x14ac:dyDescent="0.3">
      <c r="A550" t="s">
        <v>1158</v>
      </c>
      <c r="B550" t="s">
        <v>309</v>
      </c>
      <c r="C550" t="s">
        <v>805</v>
      </c>
      <c r="D550" t="s">
        <v>819</v>
      </c>
      <c r="E550">
        <v>4</v>
      </c>
      <c r="F550" t="s">
        <v>825</v>
      </c>
      <c r="G550" t="s">
        <v>854</v>
      </c>
      <c r="H550">
        <v>2450</v>
      </c>
      <c r="I550" t="s">
        <v>833</v>
      </c>
      <c r="J550" t="s">
        <v>842</v>
      </c>
      <c r="K550" s="2">
        <v>45170</v>
      </c>
      <c r="L550">
        <v>2023</v>
      </c>
      <c r="M550">
        <v>9800</v>
      </c>
      <c r="N550" t="s">
        <v>868</v>
      </c>
    </row>
    <row r="551" spans="1:14" x14ac:dyDescent="0.3">
      <c r="A551" t="s">
        <v>1159</v>
      </c>
      <c r="B551" t="s">
        <v>310</v>
      </c>
      <c r="C551" t="s">
        <v>807</v>
      </c>
      <c r="D551" t="s">
        <v>814</v>
      </c>
      <c r="E551">
        <v>13</v>
      </c>
      <c r="F551" t="s">
        <v>826</v>
      </c>
      <c r="G551" t="s">
        <v>865</v>
      </c>
      <c r="H551">
        <v>9827</v>
      </c>
      <c r="I551" t="s">
        <v>833</v>
      </c>
      <c r="J551" t="s">
        <v>843</v>
      </c>
      <c r="K551" s="2">
        <v>44075</v>
      </c>
      <c r="L551">
        <v>2020</v>
      </c>
      <c r="M551">
        <v>127751</v>
      </c>
      <c r="N551" t="s">
        <v>857</v>
      </c>
    </row>
    <row r="552" spans="1:14" x14ac:dyDescent="0.3">
      <c r="A552" t="s">
        <v>1159</v>
      </c>
      <c r="B552" t="s">
        <v>310</v>
      </c>
      <c r="C552" t="s">
        <v>807</v>
      </c>
      <c r="D552" t="s">
        <v>816</v>
      </c>
      <c r="E552">
        <v>15</v>
      </c>
      <c r="F552" t="s">
        <v>826</v>
      </c>
      <c r="G552" t="s">
        <v>865</v>
      </c>
      <c r="H552">
        <v>8077</v>
      </c>
      <c r="I552" t="s">
        <v>835</v>
      </c>
      <c r="J552" t="s">
        <v>843</v>
      </c>
      <c r="K552" s="2">
        <v>44075</v>
      </c>
      <c r="L552">
        <v>2020</v>
      </c>
      <c r="M552">
        <v>121155</v>
      </c>
      <c r="N552" t="s">
        <v>863</v>
      </c>
    </row>
    <row r="553" spans="1:14" x14ac:dyDescent="0.3">
      <c r="A553" t="s">
        <v>1160</v>
      </c>
      <c r="B553" t="s">
        <v>311</v>
      </c>
      <c r="C553" t="s">
        <v>805</v>
      </c>
      <c r="D553" t="s">
        <v>819</v>
      </c>
      <c r="E553">
        <v>14</v>
      </c>
      <c r="F553" t="s">
        <v>825</v>
      </c>
      <c r="G553" t="s">
        <v>870</v>
      </c>
      <c r="H553">
        <v>5152</v>
      </c>
      <c r="I553" t="s">
        <v>832</v>
      </c>
      <c r="J553" t="s">
        <v>844</v>
      </c>
      <c r="K553" s="2">
        <v>44136</v>
      </c>
      <c r="L553">
        <v>2020</v>
      </c>
      <c r="M553">
        <v>72128</v>
      </c>
      <c r="N553" t="s">
        <v>857</v>
      </c>
    </row>
    <row r="554" spans="1:14" x14ac:dyDescent="0.3">
      <c r="A554" t="s">
        <v>1161</v>
      </c>
      <c r="B554" t="s">
        <v>312</v>
      </c>
      <c r="C554" t="s">
        <v>805</v>
      </c>
      <c r="D554" t="s">
        <v>819</v>
      </c>
      <c r="E554">
        <v>14</v>
      </c>
      <c r="F554" t="s">
        <v>827</v>
      </c>
      <c r="G554" t="s">
        <v>862</v>
      </c>
      <c r="H554">
        <v>5152</v>
      </c>
      <c r="I554" t="s">
        <v>832</v>
      </c>
      <c r="J554" t="s">
        <v>844</v>
      </c>
      <c r="K554" s="2">
        <v>44774</v>
      </c>
      <c r="L554">
        <v>2022</v>
      </c>
      <c r="M554">
        <v>72128</v>
      </c>
      <c r="N554" t="s">
        <v>857</v>
      </c>
    </row>
    <row r="555" spans="1:14" x14ac:dyDescent="0.3">
      <c r="A555" t="s">
        <v>1162</v>
      </c>
      <c r="B555" t="s">
        <v>313</v>
      </c>
      <c r="C555" t="s">
        <v>805</v>
      </c>
      <c r="D555" t="s">
        <v>819</v>
      </c>
      <c r="E555">
        <v>14</v>
      </c>
      <c r="F555" t="s">
        <v>825</v>
      </c>
      <c r="G555" t="s">
        <v>854</v>
      </c>
      <c r="H555">
        <v>5152</v>
      </c>
      <c r="I555" t="s">
        <v>832</v>
      </c>
      <c r="J555" t="s">
        <v>844</v>
      </c>
      <c r="K555" s="2">
        <v>45139</v>
      </c>
      <c r="L555">
        <v>2023</v>
      </c>
      <c r="M555">
        <v>72128</v>
      </c>
      <c r="N555" t="s">
        <v>857</v>
      </c>
    </row>
    <row r="556" spans="1:14" x14ac:dyDescent="0.3">
      <c r="A556" t="s">
        <v>1163</v>
      </c>
      <c r="B556" t="s">
        <v>314</v>
      </c>
      <c r="C556" t="s">
        <v>805</v>
      </c>
      <c r="D556" t="s">
        <v>819</v>
      </c>
      <c r="E556">
        <v>14</v>
      </c>
      <c r="F556" t="s">
        <v>826</v>
      </c>
      <c r="G556" t="s">
        <v>872</v>
      </c>
      <c r="H556">
        <v>5152</v>
      </c>
      <c r="I556" t="s">
        <v>832</v>
      </c>
      <c r="J556" t="s">
        <v>844</v>
      </c>
      <c r="K556" s="2">
        <v>45200</v>
      </c>
      <c r="L556">
        <v>2023</v>
      </c>
      <c r="M556">
        <v>72128</v>
      </c>
      <c r="N556" t="s">
        <v>857</v>
      </c>
    </row>
    <row r="557" spans="1:14" x14ac:dyDescent="0.3">
      <c r="A557" t="s">
        <v>1164</v>
      </c>
      <c r="B557" t="s">
        <v>315</v>
      </c>
      <c r="C557" t="s">
        <v>806</v>
      </c>
      <c r="D557" t="s">
        <v>815</v>
      </c>
      <c r="E557">
        <v>1</v>
      </c>
      <c r="F557" t="s">
        <v>828</v>
      </c>
      <c r="G557" t="s">
        <v>904</v>
      </c>
      <c r="H557">
        <v>2542</v>
      </c>
      <c r="I557" t="s">
        <v>835</v>
      </c>
      <c r="J557" t="s">
        <v>842</v>
      </c>
      <c r="K557" s="2">
        <v>44652</v>
      </c>
      <c r="L557">
        <v>2022</v>
      </c>
      <c r="M557">
        <v>2542</v>
      </c>
      <c r="N557" t="s">
        <v>868</v>
      </c>
    </row>
    <row r="558" spans="1:14" x14ac:dyDescent="0.3">
      <c r="A558" t="s">
        <v>1165</v>
      </c>
      <c r="B558" t="s">
        <v>316</v>
      </c>
      <c r="C558" t="s">
        <v>806</v>
      </c>
      <c r="D558" t="s">
        <v>815</v>
      </c>
      <c r="E558">
        <v>5</v>
      </c>
      <c r="F558" t="s">
        <v>827</v>
      </c>
      <c r="G558" t="s">
        <v>883</v>
      </c>
      <c r="H558">
        <v>8102</v>
      </c>
      <c r="I558" t="s">
        <v>832</v>
      </c>
      <c r="J558" t="s">
        <v>843</v>
      </c>
      <c r="K558" s="2">
        <v>45170</v>
      </c>
      <c r="L558">
        <v>2023</v>
      </c>
      <c r="M558">
        <v>40510</v>
      </c>
      <c r="N558" t="s">
        <v>852</v>
      </c>
    </row>
    <row r="559" spans="1:14" x14ac:dyDescent="0.3">
      <c r="A559" t="s">
        <v>1166</v>
      </c>
      <c r="B559" t="s">
        <v>317</v>
      </c>
      <c r="C559" t="s">
        <v>806</v>
      </c>
      <c r="D559" t="s">
        <v>815</v>
      </c>
      <c r="E559">
        <v>5</v>
      </c>
      <c r="F559" t="s">
        <v>826</v>
      </c>
      <c r="G559" t="s">
        <v>856</v>
      </c>
      <c r="H559">
        <v>8102</v>
      </c>
      <c r="I559" t="s">
        <v>832</v>
      </c>
      <c r="J559" t="s">
        <v>843</v>
      </c>
      <c r="K559" s="2">
        <v>43922</v>
      </c>
      <c r="L559">
        <v>2020</v>
      </c>
      <c r="M559">
        <v>40510</v>
      </c>
      <c r="N559" t="s">
        <v>852</v>
      </c>
    </row>
    <row r="560" spans="1:14" x14ac:dyDescent="0.3">
      <c r="A560" t="s">
        <v>1167</v>
      </c>
      <c r="B560" t="s">
        <v>318</v>
      </c>
      <c r="C560" t="s">
        <v>806</v>
      </c>
      <c r="D560" t="s">
        <v>815</v>
      </c>
      <c r="E560">
        <v>5</v>
      </c>
      <c r="F560" t="s">
        <v>829</v>
      </c>
      <c r="G560" t="s">
        <v>894</v>
      </c>
      <c r="H560">
        <v>8102</v>
      </c>
      <c r="I560" t="s">
        <v>832</v>
      </c>
      <c r="J560" t="s">
        <v>843</v>
      </c>
      <c r="K560" s="2">
        <v>44166</v>
      </c>
      <c r="L560">
        <v>2020</v>
      </c>
      <c r="M560">
        <v>40510</v>
      </c>
      <c r="N560" t="s">
        <v>852</v>
      </c>
    </row>
    <row r="561" spans="1:14" x14ac:dyDescent="0.3">
      <c r="A561" t="s">
        <v>1165</v>
      </c>
      <c r="B561" t="s">
        <v>316</v>
      </c>
      <c r="C561" t="s">
        <v>807</v>
      </c>
      <c r="D561" t="s">
        <v>813</v>
      </c>
      <c r="E561">
        <v>10</v>
      </c>
      <c r="F561" t="s">
        <v>827</v>
      </c>
      <c r="G561" t="s">
        <v>883</v>
      </c>
      <c r="H561">
        <v>3234</v>
      </c>
      <c r="I561" t="s">
        <v>834</v>
      </c>
      <c r="J561" t="s">
        <v>842</v>
      </c>
      <c r="K561" s="2">
        <v>45170</v>
      </c>
      <c r="L561">
        <v>2023</v>
      </c>
      <c r="M561">
        <v>32340</v>
      </c>
      <c r="N561" t="s">
        <v>857</v>
      </c>
    </row>
    <row r="562" spans="1:14" x14ac:dyDescent="0.3">
      <c r="A562" t="s">
        <v>1166</v>
      </c>
      <c r="B562" t="s">
        <v>317</v>
      </c>
      <c r="C562" t="s">
        <v>807</v>
      </c>
      <c r="D562" t="s">
        <v>813</v>
      </c>
      <c r="E562">
        <v>10</v>
      </c>
      <c r="F562" t="s">
        <v>826</v>
      </c>
      <c r="G562" t="s">
        <v>856</v>
      </c>
      <c r="H562">
        <v>3234</v>
      </c>
      <c r="I562" t="s">
        <v>834</v>
      </c>
      <c r="J562" t="s">
        <v>842</v>
      </c>
      <c r="K562" s="2">
        <v>43922</v>
      </c>
      <c r="L562">
        <v>2020</v>
      </c>
      <c r="M562">
        <v>32340</v>
      </c>
      <c r="N562" t="s">
        <v>857</v>
      </c>
    </row>
    <row r="563" spans="1:14" x14ac:dyDescent="0.3">
      <c r="A563" t="s">
        <v>1167</v>
      </c>
      <c r="B563" t="s">
        <v>318</v>
      </c>
      <c r="C563" t="s">
        <v>807</v>
      </c>
      <c r="D563" t="s">
        <v>813</v>
      </c>
      <c r="E563">
        <v>10</v>
      </c>
      <c r="F563" t="s">
        <v>829</v>
      </c>
      <c r="G563" t="s">
        <v>894</v>
      </c>
      <c r="H563">
        <v>3234</v>
      </c>
      <c r="I563" t="s">
        <v>834</v>
      </c>
      <c r="J563" t="s">
        <v>842</v>
      </c>
      <c r="K563" s="2">
        <v>44166</v>
      </c>
      <c r="L563">
        <v>2020</v>
      </c>
      <c r="M563">
        <v>32340</v>
      </c>
      <c r="N563" t="s">
        <v>857</v>
      </c>
    </row>
    <row r="564" spans="1:14" x14ac:dyDescent="0.3">
      <c r="A564" t="s">
        <v>1168</v>
      </c>
      <c r="B564" t="s">
        <v>319</v>
      </c>
      <c r="C564" t="s">
        <v>807</v>
      </c>
      <c r="D564" t="s">
        <v>813</v>
      </c>
      <c r="E564">
        <v>18</v>
      </c>
      <c r="F564" t="s">
        <v>827</v>
      </c>
      <c r="G564" t="s">
        <v>862</v>
      </c>
      <c r="H564">
        <v>6200</v>
      </c>
      <c r="I564" t="s">
        <v>835</v>
      </c>
      <c r="J564" t="s">
        <v>841</v>
      </c>
      <c r="K564" s="2">
        <v>45474</v>
      </c>
      <c r="L564">
        <v>2024</v>
      </c>
      <c r="M564">
        <v>111600</v>
      </c>
      <c r="N564" t="s">
        <v>863</v>
      </c>
    </row>
    <row r="565" spans="1:14" x14ac:dyDescent="0.3">
      <c r="A565" t="s">
        <v>1169</v>
      </c>
      <c r="B565" t="s">
        <v>320</v>
      </c>
      <c r="C565" t="s">
        <v>807</v>
      </c>
      <c r="D565" t="s">
        <v>813</v>
      </c>
      <c r="E565">
        <v>18</v>
      </c>
      <c r="F565" t="s">
        <v>824</v>
      </c>
      <c r="G565" t="s">
        <v>851</v>
      </c>
      <c r="H565">
        <v>6200</v>
      </c>
      <c r="I565" t="s">
        <v>835</v>
      </c>
      <c r="J565" t="s">
        <v>841</v>
      </c>
      <c r="K565" s="2">
        <v>45536</v>
      </c>
      <c r="L565">
        <v>2024</v>
      </c>
      <c r="M565">
        <v>111600</v>
      </c>
      <c r="N565" t="s">
        <v>863</v>
      </c>
    </row>
    <row r="566" spans="1:14" x14ac:dyDescent="0.3">
      <c r="A566" t="s">
        <v>1042</v>
      </c>
      <c r="B566" t="s">
        <v>321</v>
      </c>
      <c r="C566" t="s">
        <v>805</v>
      </c>
      <c r="D566" t="s">
        <v>812</v>
      </c>
      <c r="E566">
        <v>13</v>
      </c>
      <c r="F566" t="s">
        <v>827</v>
      </c>
      <c r="G566" t="s">
        <v>862</v>
      </c>
      <c r="H566">
        <v>4470</v>
      </c>
      <c r="I566" t="s">
        <v>832</v>
      </c>
      <c r="J566" t="s">
        <v>844</v>
      </c>
      <c r="K566" s="2">
        <v>45689</v>
      </c>
      <c r="L566">
        <v>2025</v>
      </c>
      <c r="M566">
        <v>58110</v>
      </c>
      <c r="N566" t="s">
        <v>857</v>
      </c>
    </row>
    <row r="567" spans="1:14" x14ac:dyDescent="0.3">
      <c r="A567" t="s">
        <v>1170</v>
      </c>
      <c r="B567" t="s">
        <v>322</v>
      </c>
      <c r="C567" t="s">
        <v>806</v>
      </c>
      <c r="D567" t="s">
        <v>811</v>
      </c>
      <c r="E567">
        <v>7</v>
      </c>
      <c r="F567" t="s">
        <v>825</v>
      </c>
      <c r="G567" t="s">
        <v>870</v>
      </c>
      <c r="H567">
        <v>916</v>
      </c>
      <c r="I567" t="s">
        <v>832</v>
      </c>
      <c r="J567" t="s">
        <v>840</v>
      </c>
      <c r="K567" s="2">
        <v>44835</v>
      </c>
      <c r="L567">
        <v>2022</v>
      </c>
      <c r="M567">
        <v>6412</v>
      </c>
      <c r="N567" t="s">
        <v>852</v>
      </c>
    </row>
    <row r="568" spans="1:14" x14ac:dyDescent="0.3">
      <c r="A568" t="s">
        <v>1171</v>
      </c>
      <c r="B568" t="s">
        <v>323</v>
      </c>
      <c r="C568" t="s">
        <v>806</v>
      </c>
      <c r="D568" t="s">
        <v>811</v>
      </c>
      <c r="E568">
        <v>7</v>
      </c>
      <c r="F568" t="s">
        <v>827</v>
      </c>
      <c r="G568" t="s">
        <v>883</v>
      </c>
      <c r="H568">
        <v>916</v>
      </c>
      <c r="I568" t="s">
        <v>832</v>
      </c>
      <c r="J568" t="s">
        <v>840</v>
      </c>
      <c r="K568" s="2">
        <v>44105</v>
      </c>
      <c r="L568">
        <v>2020</v>
      </c>
      <c r="M568">
        <v>6412</v>
      </c>
      <c r="N568" t="s">
        <v>852</v>
      </c>
    </row>
    <row r="569" spans="1:14" x14ac:dyDescent="0.3">
      <c r="A569" t="s">
        <v>1170</v>
      </c>
      <c r="B569" t="s">
        <v>322</v>
      </c>
      <c r="C569" t="s">
        <v>807</v>
      </c>
      <c r="D569" t="s">
        <v>816</v>
      </c>
      <c r="E569">
        <v>20</v>
      </c>
      <c r="F569" t="s">
        <v>825</v>
      </c>
      <c r="G569" t="s">
        <v>870</v>
      </c>
      <c r="H569">
        <v>1165</v>
      </c>
      <c r="I569" t="s">
        <v>832</v>
      </c>
      <c r="J569" t="s">
        <v>840</v>
      </c>
      <c r="K569" s="2">
        <v>44835</v>
      </c>
      <c r="L569">
        <v>2022</v>
      </c>
      <c r="M569">
        <v>23300</v>
      </c>
      <c r="N569" t="s">
        <v>863</v>
      </c>
    </row>
    <row r="570" spans="1:14" x14ac:dyDescent="0.3">
      <c r="A570" t="s">
        <v>1171</v>
      </c>
      <c r="B570" t="s">
        <v>323</v>
      </c>
      <c r="C570" t="s">
        <v>807</v>
      </c>
      <c r="D570" t="s">
        <v>816</v>
      </c>
      <c r="E570">
        <v>20</v>
      </c>
      <c r="F570" t="s">
        <v>827</v>
      </c>
      <c r="G570" t="s">
        <v>883</v>
      </c>
      <c r="H570">
        <v>1165</v>
      </c>
      <c r="I570" t="s">
        <v>832</v>
      </c>
      <c r="J570" t="s">
        <v>840</v>
      </c>
      <c r="K570" s="2">
        <v>44105</v>
      </c>
      <c r="L570">
        <v>2020</v>
      </c>
      <c r="M570">
        <v>23300</v>
      </c>
      <c r="N570" t="s">
        <v>863</v>
      </c>
    </row>
    <row r="571" spans="1:14" x14ac:dyDescent="0.3">
      <c r="A571" t="s">
        <v>1170</v>
      </c>
      <c r="B571" t="s">
        <v>322</v>
      </c>
      <c r="C571" t="s">
        <v>807</v>
      </c>
      <c r="D571" t="s">
        <v>814</v>
      </c>
      <c r="E571">
        <v>12</v>
      </c>
      <c r="F571" t="s">
        <v>825</v>
      </c>
      <c r="G571" t="s">
        <v>870</v>
      </c>
      <c r="H571">
        <v>7846</v>
      </c>
      <c r="I571" t="s">
        <v>832</v>
      </c>
      <c r="J571" t="s">
        <v>841</v>
      </c>
      <c r="K571" s="2">
        <v>44835</v>
      </c>
      <c r="L571">
        <v>2022</v>
      </c>
      <c r="M571">
        <v>94152</v>
      </c>
      <c r="N571" t="s">
        <v>857</v>
      </c>
    </row>
    <row r="572" spans="1:14" x14ac:dyDescent="0.3">
      <c r="A572" t="s">
        <v>1171</v>
      </c>
      <c r="B572" t="s">
        <v>323</v>
      </c>
      <c r="C572" t="s">
        <v>807</v>
      </c>
      <c r="D572" t="s">
        <v>814</v>
      </c>
      <c r="E572">
        <v>12</v>
      </c>
      <c r="F572" t="s">
        <v>827</v>
      </c>
      <c r="G572" t="s">
        <v>883</v>
      </c>
      <c r="H572">
        <v>7846</v>
      </c>
      <c r="I572" t="s">
        <v>832</v>
      </c>
      <c r="J572" t="s">
        <v>841</v>
      </c>
      <c r="K572" s="2">
        <v>44105</v>
      </c>
      <c r="L572">
        <v>2020</v>
      </c>
      <c r="M572">
        <v>94152</v>
      </c>
      <c r="N572" t="s">
        <v>857</v>
      </c>
    </row>
    <row r="573" spans="1:14" x14ac:dyDescent="0.3">
      <c r="A573" t="s">
        <v>1172</v>
      </c>
      <c r="B573" t="s">
        <v>324</v>
      </c>
      <c r="C573" t="s">
        <v>806</v>
      </c>
      <c r="D573" t="s">
        <v>811</v>
      </c>
      <c r="E573">
        <v>1</v>
      </c>
      <c r="F573" t="s">
        <v>828</v>
      </c>
      <c r="G573" t="s">
        <v>880</v>
      </c>
      <c r="H573">
        <v>3022</v>
      </c>
      <c r="I573" t="s">
        <v>835</v>
      </c>
      <c r="J573" t="s">
        <v>842</v>
      </c>
      <c r="K573" s="2">
        <v>44562</v>
      </c>
      <c r="L573">
        <v>2022</v>
      </c>
      <c r="M573">
        <v>3022</v>
      </c>
      <c r="N573" t="s">
        <v>868</v>
      </c>
    </row>
    <row r="574" spans="1:14" x14ac:dyDescent="0.3">
      <c r="A574" t="s">
        <v>1173</v>
      </c>
      <c r="B574" t="s">
        <v>325</v>
      </c>
      <c r="C574" t="s">
        <v>806</v>
      </c>
      <c r="D574" t="s">
        <v>811</v>
      </c>
      <c r="E574">
        <v>1</v>
      </c>
      <c r="F574" t="s">
        <v>825</v>
      </c>
      <c r="G574" t="s">
        <v>854</v>
      </c>
      <c r="H574">
        <v>3022</v>
      </c>
      <c r="I574" t="s">
        <v>835</v>
      </c>
      <c r="J574" t="s">
        <v>842</v>
      </c>
      <c r="K574" s="2">
        <v>44228</v>
      </c>
      <c r="L574">
        <v>2021</v>
      </c>
      <c r="M574">
        <v>3022</v>
      </c>
      <c r="N574" t="s">
        <v>868</v>
      </c>
    </row>
    <row r="575" spans="1:14" x14ac:dyDescent="0.3">
      <c r="A575" t="s">
        <v>1172</v>
      </c>
      <c r="B575" t="s">
        <v>324</v>
      </c>
      <c r="C575" t="s">
        <v>805</v>
      </c>
      <c r="D575" t="s">
        <v>809</v>
      </c>
      <c r="E575">
        <v>13</v>
      </c>
      <c r="F575" t="s">
        <v>828</v>
      </c>
      <c r="G575" t="s">
        <v>880</v>
      </c>
      <c r="H575">
        <v>5266</v>
      </c>
      <c r="I575" t="s">
        <v>833</v>
      </c>
      <c r="J575" t="s">
        <v>844</v>
      </c>
      <c r="K575" s="2">
        <v>44562</v>
      </c>
      <c r="L575">
        <v>2022</v>
      </c>
      <c r="M575">
        <v>68458</v>
      </c>
      <c r="N575" t="s">
        <v>857</v>
      </c>
    </row>
    <row r="576" spans="1:14" x14ac:dyDescent="0.3">
      <c r="A576" t="s">
        <v>1173</v>
      </c>
      <c r="B576" t="s">
        <v>325</v>
      </c>
      <c r="C576" t="s">
        <v>805</v>
      </c>
      <c r="D576" t="s">
        <v>809</v>
      </c>
      <c r="E576">
        <v>13</v>
      </c>
      <c r="F576" t="s">
        <v>825</v>
      </c>
      <c r="G576" t="s">
        <v>854</v>
      </c>
      <c r="H576">
        <v>5266</v>
      </c>
      <c r="I576" t="s">
        <v>833</v>
      </c>
      <c r="J576" t="s">
        <v>844</v>
      </c>
      <c r="K576" s="2">
        <v>44228</v>
      </c>
      <c r="L576">
        <v>2021</v>
      </c>
      <c r="M576">
        <v>68458</v>
      </c>
      <c r="N576" t="s">
        <v>857</v>
      </c>
    </row>
    <row r="577" spans="1:14" x14ac:dyDescent="0.3">
      <c r="A577" t="s">
        <v>1174</v>
      </c>
      <c r="B577" t="s">
        <v>326</v>
      </c>
      <c r="C577" t="s">
        <v>806</v>
      </c>
      <c r="D577" t="s">
        <v>811</v>
      </c>
      <c r="E577">
        <v>9</v>
      </c>
      <c r="F577" t="s">
        <v>824</v>
      </c>
      <c r="G577" t="s">
        <v>859</v>
      </c>
      <c r="H577">
        <v>4853</v>
      </c>
      <c r="I577" t="s">
        <v>833</v>
      </c>
      <c r="J577" t="s">
        <v>844</v>
      </c>
      <c r="K577" s="2">
        <v>44501</v>
      </c>
      <c r="L577">
        <v>2021</v>
      </c>
      <c r="M577">
        <v>43677</v>
      </c>
      <c r="N577" t="s">
        <v>852</v>
      </c>
    </row>
    <row r="578" spans="1:14" x14ac:dyDescent="0.3">
      <c r="A578" t="s">
        <v>1175</v>
      </c>
      <c r="B578" t="s">
        <v>327</v>
      </c>
      <c r="C578" t="s">
        <v>806</v>
      </c>
      <c r="D578" t="s">
        <v>811</v>
      </c>
      <c r="E578">
        <v>9</v>
      </c>
      <c r="F578" t="s">
        <v>828</v>
      </c>
      <c r="G578" t="s">
        <v>904</v>
      </c>
      <c r="H578">
        <v>4853</v>
      </c>
      <c r="I578" t="s">
        <v>833</v>
      </c>
      <c r="J578" t="s">
        <v>844</v>
      </c>
      <c r="K578" s="2">
        <v>44774</v>
      </c>
      <c r="L578">
        <v>2022</v>
      </c>
      <c r="M578">
        <v>43677</v>
      </c>
      <c r="N578" t="s">
        <v>852</v>
      </c>
    </row>
    <row r="579" spans="1:14" x14ac:dyDescent="0.3">
      <c r="A579" t="s">
        <v>891</v>
      </c>
      <c r="B579" t="s">
        <v>328</v>
      </c>
      <c r="C579" t="s">
        <v>806</v>
      </c>
      <c r="D579" t="s">
        <v>811</v>
      </c>
      <c r="E579">
        <v>1</v>
      </c>
      <c r="F579" t="s">
        <v>827</v>
      </c>
      <c r="G579" t="s">
        <v>883</v>
      </c>
      <c r="H579">
        <v>9832</v>
      </c>
      <c r="I579" t="s">
        <v>836</v>
      </c>
      <c r="J579" t="s">
        <v>843</v>
      </c>
      <c r="K579" s="2">
        <v>44835</v>
      </c>
      <c r="L579">
        <v>2022</v>
      </c>
      <c r="M579">
        <v>9832</v>
      </c>
      <c r="N579" t="s">
        <v>868</v>
      </c>
    </row>
    <row r="580" spans="1:14" x14ac:dyDescent="0.3">
      <c r="A580" t="s">
        <v>891</v>
      </c>
      <c r="B580" t="s">
        <v>328</v>
      </c>
      <c r="C580" t="s">
        <v>806</v>
      </c>
      <c r="D580" t="s">
        <v>811</v>
      </c>
      <c r="E580">
        <v>15</v>
      </c>
      <c r="F580" t="s">
        <v>827</v>
      </c>
      <c r="G580" t="s">
        <v>883</v>
      </c>
      <c r="H580">
        <v>796</v>
      </c>
      <c r="I580" t="s">
        <v>835</v>
      </c>
      <c r="J580" t="s">
        <v>840</v>
      </c>
      <c r="K580" s="2">
        <v>44835</v>
      </c>
      <c r="L580">
        <v>2022</v>
      </c>
      <c r="M580">
        <v>11940</v>
      </c>
      <c r="N580" t="s">
        <v>863</v>
      </c>
    </row>
    <row r="581" spans="1:14" x14ac:dyDescent="0.3">
      <c r="A581" t="s">
        <v>1176</v>
      </c>
      <c r="B581" t="s">
        <v>329</v>
      </c>
      <c r="C581" t="s">
        <v>807</v>
      </c>
      <c r="D581" t="s">
        <v>814</v>
      </c>
      <c r="E581">
        <v>7</v>
      </c>
      <c r="F581" t="s">
        <v>827</v>
      </c>
      <c r="G581" t="s">
        <v>883</v>
      </c>
      <c r="H581">
        <v>883</v>
      </c>
      <c r="I581" t="s">
        <v>836</v>
      </c>
      <c r="J581" t="s">
        <v>840</v>
      </c>
      <c r="K581" s="2">
        <v>45078</v>
      </c>
      <c r="L581">
        <v>2023</v>
      </c>
      <c r="M581">
        <v>6181</v>
      </c>
      <c r="N581" t="s">
        <v>852</v>
      </c>
    </row>
    <row r="582" spans="1:14" x14ac:dyDescent="0.3">
      <c r="A582" t="s">
        <v>1176</v>
      </c>
      <c r="B582" t="s">
        <v>329</v>
      </c>
      <c r="C582" t="s">
        <v>807</v>
      </c>
      <c r="D582" t="s">
        <v>820</v>
      </c>
      <c r="E582">
        <v>8</v>
      </c>
      <c r="F582" t="s">
        <v>827</v>
      </c>
      <c r="G582" t="s">
        <v>883</v>
      </c>
      <c r="H582">
        <v>4539</v>
      </c>
      <c r="I582" t="s">
        <v>833</v>
      </c>
      <c r="J582" t="s">
        <v>844</v>
      </c>
      <c r="K582" s="2">
        <v>45078</v>
      </c>
      <c r="L582">
        <v>2023</v>
      </c>
      <c r="M582">
        <v>36312</v>
      </c>
      <c r="N582" t="s">
        <v>852</v>
      </c>
    </row>
    <row r="583" spans="1:14" x14ac:dyDescent="0.3">
      <c r="A583" t="s">
        <v>1176</v>
      </c>
      <c r="B583" t="s">
        <v>329</v>
      </c>
      <c r="C583" t="s">
        <v>806</v>
      </c>
      <c r="D583" t="s">
        <v>818</v>
      </c>
      <c r="E583">
        <v>16</v>
      </c>
      <c r="F583" t="s">
        <v>827</v>
      </c>
      <c r="G583" t="s">
        <v>883</v>
      </c>
      <c r="H583">
        <v>9659</v>
      </c>
      <c r="I583" t="s">
        <v>833</v>
      </c>
      <c r="J583" t="s">
        <v>843</v>
      </c>
      <c r="K583" s="2">
        <v>45078</v>
      </c>
      <c r="L583">
        <v>2023</v>
      </c>
      <c r="M583">
        <v>154544</v>
      </c>
      <c r="N583" t="s">
        <v>863</v>
      </c>
    </row>
    <row r="584" spans="1:14" x14ac:dyDescent="0.3">
      <c r="A584" t="s">
        <v>1177</v>
      </c>
      <c r="B584" t="s">
        <v>330</v>
      </c>
      <c r="C584" t="s">
        <v>805</v>
      </c>
      <c r="D584" t="s">
        <v>810</v>
      </c>
      <c r="E584">
        <v>2</v>
      </c>
      <c r="F584" t="s">
        <v>827</v>
      </c>
      <c r="G584" t="s">
        <v>876</v>
      </c>
      <c r="H584">
        <v>9562</v>
      </c>
      <c r="I584" t="s">
        <v>833</v>
      </c>
      <c r="J584" t="s">
        <v>843</v>
      </c>
      <c r="K584" s="2">
        <v>44682</v>
      </c>
      <c r="L584">
        <v>2022</v>
      </c>
      <c r="M584">
        <v>19124</v>
      </c>
      <c r="N584" t="s">
        <v>868</v>
      </c>
    </row>
    <row r="585" spans="1:14" x14ac:dyDescent="0.3">
      <c r="A585" t="s">
        <v>1178</v>
      </c>
      <c r="B585" t="s">
        <v>331</v>
      </c>
      <c r="C585" t="s">
        <v>805</v>
      </c>
      <c r="D585" t="s">
        <v>812</v>
      </c>
      <c r="E585">
        <v>3</v>
      </c>
      <c r="F585" t="s">
        <v>827</v>
      </c>
      <c r="G585" t="s">
        <v>883</v>
      </c>
      <c r="H585">
        <v>4688</v>
      </c>
      <c r="I585" t="s">
        <v>835</v>
      </c>
      <c r="J585" t="s">
        <v>844</v>
      </c>
      <c r="K585" s="2">
        <v>44927</v>
      </c>
      <c r="L585">
        <v>2023</v>
      </c>
      <c r="M585">
        <v>14064</v>
      </c>
      <c r="N585" t="s">
        <v>868</v>
      </c>
    </row>
    <row r="586" spans="1:14" x14ac:dyDescent="0.3">
      <c r="A586" t="s">
        <v>855</v>
      </c>
      <c r="B586" t="s">
        <v>332</v>
      </c>
      <c r="C586" t="s">
        <v>805</v>
      </c>
      <c r="D586" t="s">
        <v>812</v>
      </c>
      <c r="E586">
        <v>3</v>
      </c>
      <c r="F586" t="s">
        <v>827</v>
      </c>
      <c r="G586" t="s">
        <v>876</v>
      </c>
      <c r="H586">
        <v>4688</v>
      </c>
      <c r="I586" t="s">
        <v>835</v>
      </c>
      <c r="J586" t="s">
        <v>844</v>
      </c>
      <c r="K586" s="2">
        <v>44378</v>
      </c>
      <c r="L586">
        <v>2021</v>
      </c>
      <c r="M586">
        <v>14064</v>
      </c>
      <c r="N586" t="s">
        <v>868</v>
      </c>
    </row>
    <row r="587" spans="1:14" x14ac:dyDescent="0.3">
      <c r="A587" t="s">
        <v>1179</v>
      </c>
      <c r="B587" t="s">
        <v>333</v>
      </c>
      <c r="C587" t="s">
        <v>805</v>
      </c>
      <c r="D587" t="s">
        <v>819</v>
      </c>
      <c r="E587">
        <v>4</v>
      </c>
      <c r="F587" t="s">
        <v>829</v>
      </c>
      <c r="G587" t="s">
        <v>886</v>
      </c>
      <c r="H587">
        <v>7900</v>
      </c>
      <c r="I587" t="s">
        <v>836</v>
      </c>
      <c r="J587" t="s">
        <v>841</v>
      </c>
      <c r="K587" s="2">
        <v>45717</v>
      </c>
      <c r="L587">
        <v>2025</v>
      </c>
      <c r="M587">
        <v>31600</v>
      </c>
      <c r="N587" t="s">
        <v>868</v>
      </c>
    </row>
    <row r="588" spans="1:14" x14ac:dyDescent="0.3">
      <c r="A588" t="s">
        <v>1148</v>
      </c>
      <c r="B588" t="s">
        <v>334</v>
      </c>
      <c r="C588" t="s">
        <v>807</v>
      </c>
      <c r="D588" t="s">
        <v>820</v>
      </c>
      <c r="E588">
        <v>17</v>
      </c>
      <c r="F588" t="s">
        <v>829</v>
      </c>
      <c r="G588" t="s">
        <v>890</v>
      </c>
      <c r="H588">
        <v>6967</v>
      </c>
      <c r="I588" t="s">
        <v>836</v>
      </c>
      <c r="J588" t="s">
        <v>841</v>
      </c>
      <c r="K588" s="2">
        <v>44896</v>
      </c>
      <c r="L588">
        <v>2022</v>
      </c>
      <c r="M588">
        <v>118439</v>
      </c>
      <c r="N588" t="s">
        <v>863</v>
      </c>
    </row>
    <row r="589" spans="1:14" x14ac:dyDescent="0.3">
      <c r="A589" t="s">
        <v>1148</v>
      </c>
      <c r="B589" t="s">
        <v>334</v>
      </c>
      <c r="C589" t="s">
        <v>806</v>
      </c>
      <c r="D589" t="s">
        <v>817</v>
      </c>
      <c r="E589">
        <v>6</v>
      </c>
      <c r="F589" t="s">
        <v>829</v>
      </c>
      <c r="G589" t="s">
        <v>890</v>
      </c>
      <c r="H589">
        <v>1091</v>
      </c>
      <c r="I589" t="s">
        <v>836</v>
      </c>
      <c r="J589" t="s">
        <v>840</v>
      </c>
      <c r="K589" s="2">
        <v>44896</v>
      </c>
      <c r="L589">
        <v>2022</v>
      </c>
      <c r="M589">
        <v>6546</v>
      </c>
      <c r="N589" t="s">
        <v>852</v>
      </c>
    </row>
    <row r="590" spans="1:14" x14ac:dyDescent="0.3">
      <c r="A590" t="s">
        <v>1148</v>
      </c>
      <c r="B590" t="s">
        <v>334</v>
      </c>
      <c r="C590" t="s">
        <v>806</v>
      </c>
      <c r="D590" t="s">
        <v>818</v>
      </c>
      <c r="E590">
        <v>2</v>
      </c>
      <c r="F590" t="s">
        <v>829</v>
      </c>
      <c r="G590" t="s">
        <v>890</v>
      </c>
      <c r="H590">
        <v>6027</v>
      </c>
      <c r="I590" t="s">
        <v>835</v>
      </c>
      <c r="J590" t="s">
        <v>841</v>
      </c>
      <c r="K590" s="2">
        <v>44896</v>
      </c>
      <c r="L590">
        <v>2022</v>
      </c>
      <c r="M590">
        <v>12054</v>
      </c>
      <c r="N590" t="s">
        <v>868</v>
      </c>
    </row>
    <row r="591" spans="1:14" x14ac:dyDescent="0.3">
      <c r="A591" t="s">
        <v>1180</v>
      </c>
      <c r="B591" t="s">
        <v>335</v>
      </c>
      <c r="C591" t="s">
        <v>807</v>
      </c>
      <c r="D591" t="s">
        <v>813</v>
      </c>
      <c r="E591">
        <v>2</v>
      </c>
      <c r="F591" t="s">
        <v>828</v>
      </c>
      <c r="G591" t="s">
        <v>874</v>
      </c>
      <c r="H591">
        <v>4852</v>
      </c>
      <c r="I591" t="s">
        <v>834</v>
      </c>
      <c r="J591" t="s">
        <v>844</v>
      </c>
      <c r="K591" s="2">
        <v>45383</v>
      </c>
      <c r="L591">
        <v>2024</v>
      </c>
      <c r="M591">
        <v>9704</v>
      </c>
      <c r="N591" t="s">
        <v>868</v>
      </c>
    </row>
    <row r="592" spans="1:14" x14ac:dyDescent="0.3">
      <c r="A592" t="s">
        <v>1181</v>
      </c>
      <c r="B592" t="s">
        <v>336</v>
      </c>
      <c r="C592" t="s">
        <v>807</v>
      </c>
      <c r="D592" t="s">
        <v>813</v>
      </c>
      <c r="E592">
        <v>2</v>
      </c>
      <c r="F592" t="s">
        <v>824</v>
      </c>
      <c r="G592" t="s">
        <v>910</v>
      </c>
      <c r="H592">
        <v>4852</v>
      </c>
      <c r="I592" t="s">
        <v>834</v>
      </c>
      <c r="J592" t="s">
        <v>844</v>
      </c>
      <c r="K592" s="2">
        <v>44531</v>
      </c>
      <c r="L592">
        <v>2021</v>
      </c>
      <c r="M592">
        <v>9704</v>
      </c>
      <c r="N592" t="s">
        <v>868</v>
      </c>
    </row>
    <row r="593" spans="1:14" x14ac:dyDescent="0.3">
      <c r="A593" t="s">
        <v>1182</v>
      </c>
      <c r="B593" t="s">
        <v>337</v>
      </c>
      <c r="C593" t="s">
        <v>807</v>
      </c>
      <c r="D593" t="s">
        <v>813</v>
      </c>
      <c r="E593">
        <v>2</v>
      </c>
      <c r="F593" t="s">
        <v>825</v>
      </c>
      <c r="G593" t="s">
        <v>870</v>
      </c>
      <c r="H593">
        <v>4852</v>
      </c>
      <c r="I593" t="s">
        <v>834</v>
      </c>
      <c r="J593" t="s">
        <v>844</v>
      </c>
      <c r="K593" s="2">
        <v>45170</v>
      </c>
      <c r="L593">
        <v>2023</v>
      </c>
      <c r="M593">
        <v>9704</v>
      </c>
      <c r="N593" t="s">
        <v>868</v>
      </c>
    </row>
    <row r="594" spans="1:14" x14ac:dyDescent="0.3">
      <c r="A594" t="s">
        <v>1183</v>
      </c>
      <c r="B594" t="s">
        <v>338</v>
      </c>
      <c r="C594" t="s">
        <v>807</v>
      </c>
      <c r="D594" t="s">
        <v>816</v>
      </c>
      <c r="E594">
        <v>6</v>
      </c>
      <c r="F594" t="s">
        <v>824</v>
      </c>
      <c r="G594" t="s">
        <v>910</v>
      </c>
      <c r="H594">
        <v>4314</v>
      </c>
      <c r="I594" t="s">
        <v>836</v>
      </c>
      <c r="J594" t="s">
        <v>844</v>
      </c>
      <c r="K594" s="2">
        <v>44409</v>
      </c>
      <c r="L594">
        <v>2021</v>
      </c>
      <c r="M594">
        <v>25884</v>
      </c>
      <c r="N594" t="s">
        <v>852</v>
      </c>
    </row>
    <row r="595" spans="1:14" x14ac:dyDescent="0.3">
      <c r="A595" t="s">
        <v>1184</v>
      </c>
      <c r="B595" t="s">
        <v>339</v>
      </c>
      <c r="C595" t="s">
        <v>806</v>
      </c>
      <c r="D595" t="s">
        <v>811</v>
      </c>
      <c r="E595">
        <v>3</v>
      </c>
      <c r="F595" t="s">
        <v>828</v>
      </c>
      <c r="G595" t="s">
        <v>880</v>
      </c>
      <c r="H595">
        <v>3288</v>
      </c>
      <c r="I595" t="s">
        <v>834</v>
      </c>
      <c r="J595" t="s">
        <v>842</v>
      </c>
      <c r="K595" s="2">
        <v>45413</v>
      </c>
      <c r="L595">
        <v>2024</v>
      </c>
      <c r="M595">
        <v>9864</v>
      </c>
      <c r="N595" t="s">
        <v>868</v>
      </c>
    </row>
    <row r="596" spans="1:14" x14ac:dyDescent="0.3">
      <c r="A596" t="s">
        <v>1185</v>
      </c>
      <c r="B596" t="s">
        <v>340</v>
      </c>
      <c r="C596" t="s">
        <v>806</v>
      </c>
      <c r="D596" t="s">
        <v>811</v>
      </c>
      <c r="E596">
        <v>3</v>
      </c>
      <c r="F596" t="s">
        <v>825</v>
      </c>
      <c r="G596" t="s">
        <v>870</v>
      </c>
      <c r="H596">
        <v>3288</v>
      </c>
      <c r="I596" t="s">
        <v>834</v>
      </c>
      <c r="J596" t="s">
        <v>842</v>
      </c>
      <c r="K596" s="2">
        <v>44593</v>
      </c>
      <c r="L596">
        <v>2022</v>
      </c>
      <c r="M596">
        <v>9864</v>
      </c>
      <c r="N596" t="s">
        <v>868</v>
      </c>
    </row>
    <row r="597" spans="1:14" x14ac:dyDescent="0.3">
      <c r="A597" t="s">
        <v>1186</v>
      </c>
      <c r="B597" t="s">
        <v>341</v>
      </c>
      <c r="C597" t="s">
        <v>806</v>
      </c>
      <c r="D597" t="s">
        <v>818</v>
      </c>
      <c r="E597">
        <v>5</v>
      </c>
      <c r="F597" t="s">
        <v>826</v>
      </c>
      <c r="G597" t="s">
        <v>865</v>
      </c>
      <c r="H597">
        <v>3977</v>
      </c>
      <c r="I597" t="s">
        <v>835</v>
      </c>
      <c r="J597" t="s">
        <v>842</v>
      </c>
      <c r="K597" s="2">
        <v>45627</v>
      </c>
      <c r="L597">
        <v>2024</v>
      </c>
      <c r="M597">
        <v>19885</v>
      </c>
      <c r="N597" t="s">
        <v>852</v>
      </c>
    </row>
    <row r="598" spans="1:14" x14ac:dyDescent="0.3">
      <c r="A598" t="s">
        <v>1187</v>
      </c>
      <c r="B598" t="s">
        <v>342</v>
      </c>
      <c r="C598" t="s">
        <v>805</v>
      </c>
      <c r="D598" t="s">
        <v>810</v>
      </c>
      <c r="E598">
        <v>2</v>
      </c>
      <c r="F598" t="s">
        <v>825</v>
      </c>
      <c r="G598" t="s">
        <v>854</v>
      </c>
      <c r="H598">
        <v>6252</v>
      </c>
      <c r="I598" t="s">
        <v>834</v>
      </c>
      <c r="J598" t="s">
        <v>841</v>
      </c>
      <c r="K598" s="2">
        <v>45078</v>
      </c>
      <c r="L598">
        <v>2023</v>
      </c>
      <c r="M598">
        <v>12504</v>
      </c>
      <c r="N598" t="s">
        <v>868</v>
      </c>
    </row>
    <row r="599" spans="1:14" x14ac:dyDescent="0.3">
      <c r="A599" t="s">
        <v>1188</v>
      </c>
      <c r="B599" t="s">
        <v>343</v>
      </c>
      <c r="C599" t="s">
        <v>806</v>
      </c>
      <c r="D599" t="s">
        <v>811</v>
      </c>
      <c r="E599">
        <v>12</v>
      </c>
      <c r="F599" t="s">
        <v>826</v>
      </c>
      <c r="G599" t="s">
        <v>856</v>
      </c>
      <c r="H599">
        <v>9084</v>
      </c>
      <c r="I599" t="s">
        <v>833</v>
      </c>
      <c r="J599" t="s">
        <v>843</v>
      </c>
      <c r="K599" s="2">
        <v>45231</v>
      </c>
      <c r="L599">
        <v>2023</v>
      </c>
      <c r="M599">
        <v>109008</v>
      </c>
      <c r="N599" t="s">
        <v>857</v>
      </c>
    </row>
    <row r="600" spans="1:14" x14ac:dyDescent="0.3">
      <c r="A600" t="s">
        <v>1189</v>
      </c>
      <c r="B600" t="s">
        <v>344</v>
      </c>
      <c r="C600" t="s">
        <v>805</v>
      </c>
      <c r="D600" t="s">
        <v>819</v>
      </c>
      <c r="E600">
        <v>15</v>
      </c>
      <c r="F600" t="s">
        <v>827</v>
      </c>
      <c r="G600" t="s">
        <v>876</v>
      </c>
      <c r="H600">
        <v>8994</v>
      </c>
      <c r="I600" t="s">
        <v>835</v>
      </c>
      <c r="J600" t="s">
        <v>843</v>
      </c>
      <c r="K600" s="2">
        <v>43983</v>
      </c>
      <c r="L600">
        <v>2020</v>
      </c>
      <c r="M600">
        <v>134910</v>
      </c>
      <c r="N600" t="s">
        <v>863</v>
      </c>
    </row>
    <row r="601" spans="1:14" x14ac:dyDescent="0.3">
      <c r="A601" t="s">
        <v>1190</v>
      </c>
      <c r="B601" t="s">
        <v>345</v>
      </c>
      <c r="C601" t="s">
        <v>806</v>
      </c>
      <c r="D601" t="s">
        <v>815</v>
      </c>
      <c r="E601">
        <v>16</v>
      </c>
      <c r="F601" t="s">
        <v>828</v>
      </c>
      <c r="G601" t="s">
        <v>874</v>
      </c>
      <c r="H601">
        <v>1089</v>
      </c>
      <c r="I601" t="s">
        <v>834</v>
      </c>
      <c r="J601" t="s">
        <v>840</v>
      </c>
      <c r="K601" s="2">
        <v>44105</v>
      </c>
      <c r="L601">
        <v>2020</v>
      </c>
      <c r="M601">
        <v>17424</v>
      </c>
      <c r="N601" t="s">
        <v>863</v>
      </c>
    </row>
    <row r="602" spans="1:14" x14ac:dyDescent="0.3">
      <c r="A602" t="s">
        <v>1191</v>
      </c>
      <c r="B602" t="s">
        <v>346</v>
      </c>
      <c r="C602" t="s">
        <v>806</v>
      </c>
      <c r="D602" t="s">
        <v>818</v>
      </c>
      <c r="E602">
        <v>19</v>
      </c>
      <c r="F602" t="s">
        <v>825</v>
      </c>
      <c r="G602" t="s">
        <v>870</v>
      </c>
      <c r="H602">
        <v>6690</v>
      </c>
      <c r="I602" t="s">
        <v>832</v>
      </c>
      <c r="J602" t="s">
        <v>841</v>
      </c>
      <c r="K602" s="2">
        <v>44713</v>
      </c>
      <c r="L602">
        <v>2022</v>
      </c>
      <c r="M602">
        <v>127110</v>
      </c>
      <c r="N602" t="s">
        <v>863</v>
      </c>
    </row>
    <row r="603" spans="1:14" x14ac:dyDescent="0.3">
      <c r="A603" t="s">
        <v>1074</v>
      </c>
      <c r="B603" t="s">
        <v>347</v>
      </c>
      <c r="C603" t="s">
        <v>806</v>
      </c>
      <c r="D603" t="s">
        <v>818</v>
      </c>
      <c r="E603">
        <v>19</v>
      </c>
      <c r="F603" t="s">
        <v>825</v>
      </c>
      <c r="G603" t="s">
        <v>854</v>
      </c>
      <c r="H603">
        <v>6690</v>
      </c>
      <c r="I603" t="s">
        <v>832</v>
      </c>
      <c r="J603" t="s">
        <v>841</v>
      </c>
      <c r="K603" s="2">
        <v>44501</v>
      </c>
      <c r="L603">
        <v>2021</v>
      </c>
      <c r="M603">
        <v>127110</v>
      </c>
      <c r="N603" t="s">
        <v>863</v>
      </c>
    </row>
    <row r="604" spans="1:14" x14ac:dyDescent="0.3">
      <c r="A604" t="s">
        <v>1191</v>
      </c>
      <c r="B604" t="s">
        <v>346</v>
      </c>
      <c r="C604" t="s">
        <v>807</v>
      </c>
      <c r="D604" t="s">
        <v>820</v>
      </c>
      <c r="E604">
        <v>10</v>
      </c>
      <c r="F604" t="s">
        <v>825</v>
      </c>
      <c r="G604" t="s">
        <v>870</v>
      </c>
      <c r="H604">
        <v>4985</v>
      </c>
      <c r="I604" t="s">
        <v>835</v>
      </c>
      <c r="J604" t="s">
        <v>844</v>
      </c>
      <c r="K604" s="2">
        <v>44713</v>
      </c>
      <c r="L604">
        <v>2022</v>
      </c>
      <c r="M604">
        <v>49850</v>
      </c>
      <c r="N604" t="s">
        <v>857</v>
      </c>
    </row>
    <row r="605" spans="1:14" x14ac:dyDescent="0.3">
      <c r="A605" t="s">
        <v>1074</v>
      </c>
      <c r="B605" t="s">
        <v>347</v>
      </c>
      <c r="C605" t="s">
        <v>807</v>
      </c>
      <c r="D605" t="s">
        <v>820</v>
      </c>
      <c r="E605">
        <v>10</v>
      </c>
      <c r="F605" t="s">
        <v>825</v>
      </c>
      <c r="G605" t="s">
        <v>854</v>
      </c>
      <c r="H605">
        <v>4985</v>
      </c>
      <c r="I605" t="s">
        <v>835</v>
      </c>
      <c r="J605" t="s">
        <v>844</v>
      </c>
      <c r="K605" s="2">
        <v>44501</v>
      </c>
      <c r="L605">
        <v>2021</v>
      </c>
      <c r="M605">
        <v>49850</v>
      </c>
      <c r="N605" t="s">
        <v>857</v>
      </c>
    </row>
    <row r="606" spans="1:14" x14ac:dyDescent="0.3">
      <c r="A606" t="s">
        <v>1192</v>
      </c>
      <c r="B606" t="s">
        <v>348</v>
      </c>
      <c r="C606" t="s">
        <v>805</v>
      </c>
      <c r="D606" t="s">
        <v>809</v>
      </c>
      <c r="E606">
        <v>15</v>
      </c>
      <c r="F606" t="s">
        <v>824</v>
      </c>
      <c r="G606" t="s">
        <v>851</v>
      </c>
      <c r="H606">
        <v>8590</v>
      </c>
      <c r="I606" t="s">
        <v>834</v>
      </c>
      <c r="J606" t="s">
        <v>843</v>
      </c>
      <c r="K606" s="2">
        <v>44501</v>
      </c>
      <c r="L606">
        <v>2021</v>
      </c>
      <c r="M606">
        <v>128850</v>
      </c>
      <c r="N606" t="s">
        <v>863</v>
      </c>
    </row>
    <row r="607" spans="1:14" x14ac:dyDescent="0.3">
      <c r="A607" t="s">
        <v>1192</v>
      </c>
      <c r="B607" t="s">
        <v>348</v>
      </c>
      <c r="C607" t="s">
        <v>807</v>
      </c>
      <c r="D607" t="s">
        <v>813</v>
      </c>
      <c r="E607">
        <v>10</v>
      </c>
      <c r="F607" t="s">
        <v>824</v>
      </c>
      <c r="G607" t="s">
        <v>851</v>
      </c>
      <c r="H607">
        <v>6973</v>
      </c>
      <c r="I607" t="s">
        <v>836</v>
      </c>
      <c r="J607" t="s">
        <v>841</v>
      </c>
      <c r="K607" s="2">
        <v>44501</v>
      </c>
      <c r="L607">
        <v>2021</v>
      </c>
      <c r="M607">
        <v>69730</v>
      </c>
      <c r="N607" t="s">
        <v>857</v>
      </c>
    </row>
    <row r="608" spans="1:14" x14ac:dyDescent="0.3">
      <c r="A608" t="s">
        <v>1193</v>
      </c>
      <c r="B608" t="s">
        <v>216</v>
      </c>
      <c r="C608" t="s">
        <v>805</v>
      </c>
      <c r="D608" t="s">
        <v>810</v>
      </c>
      <c r="E608">
        <v>19</v>
      </c>
      <c r="F608" t="s">
        <v>828</v>
      </c>
      <c r="G608" t="s">
        <v>874</v>
      </c>
      <c r="H608">
        <v>4591</v>
      </c>
      <c r="I608" t="s">
        <v>834</v>
      </c>
      <c r="J608" t="s">
        <v>844</v>
      </c>
      <c r="K608" s="2">
        <v>44378</v>
      </c>
      <c r="L608">
        <v>2021</v>
      </c>
      <c r="M608">
        <v>87229</v>
      </c>
      <c r="N608" t="s">
        <v>863</v>
      </c>
    </row>
    <row r="609" spans="1:14" x14ac:dyDescent="0.3">
      <c r="A609" t="s">
        <v>1193</v>
      </c>
      <c r="B609" t="s">
        <v>216</v>
      </c>
      <c r="C609" t="s">
        <v>806</v>
      </c>
      <c r="D609" t="s">
        <v>811</v>
      </c>
      <c r="E609">
        <v>17</v>
      </c>
      <c r="F609" t="s">
        <v>828</v>
      </c>
      <c r="G609" t="s">
        <v>874</v>
      </c>
      <c r="H609">
        <v>9612</v>
      </c>
      <c r="I609" t="s">
        <v>835</v>
      </c>
      <c r="J609" t="s">
        <v>843</v>
      </c>
      <c r="K609" s="2">
        <v>44378</v>
      </c>
      <c r="L609">
        <v>2021</v>
      </c>
      <c r="M609">
        <v>163404</v>
      </c>
      <c r="N609" t="s">
        <v>863</v>
      </c>
    </row>
    <row r="610" spans="1:14" x14ac:dyDescent="0.3">
      <c r="A610" t="s">
        <v>1194</v>
      </c>
      <c r="B610" t="s">
        <v>349</v>
      </c>
      <c r="C610" t="s">
        <v>807</v>
      </c>
      <c r="D610" t="s">
        <v>814</v>
      </c>
      <c r="E610">
        <v>1</v>
      </c>
      <c r="F610" t="s">
        <v>827</v>
      </c>
      <c r="G610" t="s">
        <v>876</v>
      </c>
      <c r="H610">
        <v>5343</v>
      </c>
      <c r="I610" t="s">
        <v>834</v>
      </c>
      <c r="J610" t="s">
        <v>844</v>
      </c>
      <c r="K610" s="2">
        <v>45383</v>
      </c>
      <c r="L610">
        <v>2024</v>
      </c>
      <c r="M610">
        <v>5343</v>
      </c>
      <c r="N610" t="s">
        <v>868</v>
      </c>
    </row>
    <row r="611" spans="1:14" x14ac:dyDescent="0.3">
      <c r="A611" t="s">
        <v>927</v>
      </c>
      <c r="B611" t="s">
        <v>350</v>
      </c>
      <c r="C611" t="s">
        <v>806</v>
      </c>
      <c r="D611" t="s">
        <v>815</v>
      </c>
      <c r="E611">
        <v>20</v>
      </c>
      <c r="F611" t="s">
        <v>825</v>
      </c>
      <c r="G611" t="s">
        <v>870</v>
      </c>
      <c r="H611">
        <v>6956</v>
      </c>
      <c r="I611" t="s">
        <v>833</v>
      </c>
      <c r="J611" t="s">
        <v>841</v>
      </c>
      <c r="K611" s="2">
        <v>44652</v>
      </c>
      <c r="L611">
        <v>2022</v>
      </c>
      <c r="M611">
        <v>139120</v>
      </c>
      <c r="N611" t="s">
        <v>863</v>
      </c>
    </row>
    <row r="612" spans="1:14" x14ac:dyDescent="0.3">
      <c r="A612" t="s">
        <v>1195</v>
      </c>
      <c r="B612" t="s">
        <v>351</v>
      </c>
      <c r="C612" t="s">
        <v>807</v>
      </c>
      <c r="D612" t="s">
        <v>813</v>
      </c>
      <c r="E612">
        <v>17</v>
      </c>
      <c r="F612" t="s">
        <v>826</v>
      </c>
      <c r="G612" t="s">
        <v>856</v>
      </c>
      <c r="H612">
        <v>5306</v>
      </c>
      <c r="I612" t="s">
        <v>834</v>
      </c>
      <c r="J612" t="s">
        <v>844</v>
      </c>
      <c r="K612" s="2">
        <v>45352</v>
      </c>
      <c r="L612">
        <v>2024</v>
      </c>
      <c r="M612">
        <v>90202</v>
      </c>
      <c r="N612" t="s">
        <v>863</v>
      </c>
    </row>
    <row r="613" spans="1:14" x14ac:dyDescent="0.3">
      <c r="A613" t="s">
        <v>1196</v>
      </c>
      <c r="B613" t="s">
        <v>352</v>
      </c>
      <c r="C613" t="s">
        <v>807</v>
      </c>
      <c r="D613" t="s">
        <v>816</v>
      </c>
      <c r="E613">
        <v>17</v>
      </c>
      <c r="F613" t="s">
        <v>826</v>
      </c>
      <c r="G613" t="s">
        <v>865</v>
      </c>
      <c r="H613">
        <v>8982</v>
      </c>
      <c r="I613" t="s">
        <v>832</v>
      </c>
      <c r="J613" t="s">
        <v>843</v>
      </c>
      <c r="K613" s="2">
        <v>44317</v>
      </c>
      <c r="L613">
        <v>2021</v>
      </c>
      <c r="M613">
        <v>152694</v>
      </c>
      <c r="N613" t="s">
        <v>863</v>
      </c>
    </row>
    <row r="614" spans="1:14" x14ac:dyDescent="0.3">
      <c r="A614" t="s">
        <v>1196</v>
      </c>
      <c r="B614" t="s">
        <v>352</v>
      </c>
      <c r="C614" t="s">
        <v>806</v>
      </c>
      <c r="D614" t="s">
        <v>817</v>
      </c>
      <c r="E614">
        <v>5</v>
      </c>
      <c r="F614" t="s">
        <v>826</v>
      </c>
      <c r="G614" t="s">
        <v>865</v>
      </c>
      <c r="H614">
        <v>4826</v>
      </c>
      <c r="I614" t="s">
        <v>833</v>
      </c>
      <c r="J614" t="s">
        <v>844</v>
      </c>
      <c r="K614" s="2">
        <v>44317</v>
      </c>
      <c r="L614">
        <v>2021</v>
      </c>
      <c r="M614">
        <v>24130</v>
      </c>
      <c r="N614" t="s">
        <v>852</v>
      </c>
    </row>
    <row r="615" spans="1:14" x14ac:dyDescent="0.3">
      <c r="A615" t="s">
        <v>984</v>
      </c>
      <c r="B615" t="s">
        <v>353</v>
      </c>
      <c r="C615" t="s">
        <v>806</v>
      </c>
      <c r="D615" t="s">
        <v>811</v>
      </c>
      <c r="E615">
        <v>15</v>
      </c>
      <c r="F615" t="s">
        <v>829</v>
      </c>
      <c r="G615" t="s">
        <v>890</v>
      </c>
      <c r="H615">
        <v>972</v>
      </c>
      <c r="I615" t="s">
        <v>834</v>
      </c>
      <c r="J615" t="s">
        <v>840</v>
      </c>
      <c r="K615" s="2">
        <v>44682</v>
      </c>
      <c r="L615">
        <v>2022</v>
      </c>
      <c r="M615">
        <v>14580</v>
      </c>
      <c r="N615" t="s">
        <v>863</v>
      </c>
    </row>
    <row r="616" spans="1:14" x14ac:dyDescent="0.3">
      <c r="A616" t="s">
        <v>1197</v>
      </c>
      <c r="B616" t="s">
        <v>354</v>
      </c>
      <c r="C616" t="s">
        <v>806</v>
      </c>
      <c r="D616" t="s">
        <v>815</v>
      </c>
      <c r="E616">
        <v>4</v>
      </c>
      <c r="F616" t="s">
        <v>824</v>
      </c>
      <c r="G616" t="s">
        <v>851</v>
      </c>
      <c r="H616">
        <v>3665</v>
      </c>
      <c r="I616" t="s">
        <v>835</v>
      </c>
      <c r="J616" t="s">
        <v>842</v>
      </c>
      <c r="K616" s="2">
        <v>44409</v>
      </c>
      <c r="L616">
        <v>2021</v>
      </c>
      <c r="M616">
        <v>14660</v>
      </c>
      <c r="N616" t="s">
        <v>868</v>
      </c>
    </row>
    <row r="617" spans="1:14" x14ac:dyDescent="0.3">
      <c r="A617" t="s">
        <v>1198</v>
      </c>
      <c r="B617" t="s">
        <v>355</v>
      </c>
      <c r="C617" t="s">
        <v>806</v>
      </c>
      <c r="D617" t="s">
        <v>815</v>
      </c>
      <c r="E617">
        <v>4</v>
      </c>
      <c r="F617" t="s">
        <v>824</v>
      </c>
      <c r="G617" t="s">
        <v>910</v>
      </c>
      <c r="H617">
        <v>3665</v>
      </c>
      <c r="I617" t="s">
        <v>835</v>
      </c>
      <c r="J617" t="s">
        <v>842</v>
      </c>
      <c r="K617" s="2">
        <v>45689</v>
      </c>
      <c r="L617">
        <v>2025</v>
      </c>
      <c r="M617">
        <v>14660</v>
      </c>
      <c r="N617" t="s">
        <v>868</v>
      </c>
    </row>
    <row r="618" spans="1:14" x14ac:dyDescent="0.3">
      <c r="A618" t="s">
        <v>1199</v>
      </c>
      <c r="B618" t="s">
        <v>356</v>
      </c>
      <c r="C618" t="s">
        <v>806</v>
      </c>
      <c r="D618" t="s">
        <v>811</v>
      </c>
      <c r="E618">
        <v>2</v>
      </c>
      <c r="F618" t="s">
        <v>827</v>
      </c>
      <c r="G618" t="s">
        <v>862</v>
      </c>
      <c r="H618">
        <v>9808</v>
      </c>
      <c r="I618" t="s">
        <v>832</v>
      </c>
      <c r="J618" t="s">
        <v>843</v>
      </c>
      <c r="K618" s="2">
        <v>45383</v>
      </c>
      <c r="L618">
        <v>2024</v>
      </c>
      <c r="M618">
        <v>19616</v>
      </c>
      <c r="N618" t="s">
        <v>868</v>
      </c>
    </row>
    <row r="619" spans="1:14" x14ac:dyDescent="0.3">
      <c r="A619" t="s">
        <v>1200</v>
      </c>
      <c r="B619" t="s">
        <v>357</v>
      </c>
      <c r="C619" t="s">
        <v>807</v>
      </c>
      <c r="D619" t="s">
        <v>814</v>
      </c>
      <c r="E619">
        <v>17</v>
      </c>
      <c r="F619" t="s">
        <v>829</v>
      </c>
      <c r="G619" t="s">
        <v>894</v>
      </c>
      <c r="H619">
        <v>1133</v>
      </c>
      <c r="I619" t="s">
        <v>832</v>
      </c>
      <c r="J619" t="s">
        <v>840</v>
      </c>
      <c r="K619" s="2">
        <v>44958</v>
      </c>
      <c r="L619">
        <v>2023</v>
      </c>
      <c r="M619">
        <v>19261</v>
      </c>
      <c r="N619" t="s">
        <v>863</v>
      </c>
    </row>
    <row r="620" spans="1:14" x14ac:dyDescent="0.3">
      <c r="A620" t="s">
        <v>1201</v>
      </c>
      <c r="B620" t="s">
        <v>358</v>
      </c>
      <c r="C620" t="s">
        <v>807</v>
      </c>
      <c r="D620" t="s">
        <v>814</v>
      </c>
      <c r="E620">
        <v>17</v>
      </c>
      <c r="F620" t="s">
        <v>827</v>
      </c>
      <c r="G620" t="s">
        <v>876</v>
      </c>
      <c r="H620">
        <v>1133</v>
      </c>
      <c r="I620" t="s">
        <v>832</v>
      </c>
      <c r="J620" t="s">
        <v>840</v>
      </c>
      <c r="K620" s="2">
        <v>45444</v>
      </c>
      <c r="L620">
        <v>2024</v>
      </c>
      <c r="M620">
        <v>19261</v>
      </c>
      <c r="N620" t="s">
        <v>863</v>
      </c>
    </row>
    <row r="621" spans="1:14" x14ac:dyDescent="0.3">
      <c r="A621" t="s">
        <v>1200</v>
      </c>
      <c r="B621" t="s">
        <v>357</v>
      </c>
      <c r="C621" t="s">
        <v>807</v>
      </c>
      <c r="D621" t="s">
        <v>820</v>
      </c>
      <c r="E621">
        <v>19</v>
      </c>
      <c r="F621" t="s">
        <v>829</v>
      </c>
      <c r="G621" t="s">
        <v>894</v>
      </c>
      <c r="H621">
        <v>6248</v>
      </c>
      <c r="I621" t="s">
        <v>836</v>
      </c>
      <c r="J621" t="s">
        <v>841</v>
      </c>
      <c r="K621" s="2">
        <v>44958</v>
      </c>
      <c r="L621">
        <v>2023</v>
      </c>
      <c r="M621">
        <v>118712</v>
      </c>
      <c r="N621" t="s">
        <v>863</v>
      </c>
    </row>
    <row r="622" spans="1:14" x14ac:dyDescent="0.3">
      <c r="A622" t="s">
        <v>1201</v>
      </c>
      <c r="B622" t="s">
        <v>358</v>
      </c>
      <c r="C622" t="s">
        <v>807</v>
      </c>
      <c r="D622" t="s">
        <v>820</v>
      </c>
      <c r="E622">
        <v>19</v>
      </c>
      <c r="F622" t="s">
        <v>827</v>
      </c>
      <c r="G622" t="s">
        <v>876</v>
      </c>
      <c r="H622">
        <v>6248</v>
      </c>
      <c r="I622" t="s">
        <v>836</v>
      </c>
      <c r="J622" t="s">
        <v>841</v>
      </c>
      <c r="K622" s="2">
        <v>45444</v>
      </c>
      <c r="L622">
        <v>2024</v>
      </c>
      <c r="M622">
        <v>118712</v>
      </c>
      <c r="N622" t="s">
        <v>863</v>
      </c>
    </row>
    <row r="623" spans="1:14" x14ac:dyDescent="0.3">
      <c r="A623" t="s">
        <v>1202</v>
      </c>
      <c r="B623" t="s">
        <v>359</v>
      </c>
      <c r="C623" t="s">
        <v>805</v>
      </c>
      <c r="D623" t="s">
        <v>809</v>
      </c>
      <c r="E623">
        <v>17</v>
      </c>
      <c r="F623" t="s">
        <v>824</v>
      </c>
      <c r="G623" t="s">
        <v>910</v>
      </c>
      <c r="H623">
        <v>5666</v>
      </c>
      <c r="I623" t="s">
        <v>835</v>
      </c>
      <c r="J623" t="s">
        <v>844</v>
      </c>
      <c r="K623" s="2">
        <v>45658</v>
      </c>
      <c r="L623">
        <v>2025</v>
      </c>
      <c r="M623">
        <v>96322</v>
      </c>
      <c r="N623" t="s">
        <v>863</v>
      </c>
    </row>
    <row r="624" spans="1:14" x14ac:dyDescent="0.3">
      <c r="A624" t="s">
        <v>1203</v>
      </c>
      <c r="B624" t="s">
        <v>360</v>
      </c>
      <c r="C624" t="s">
        <v>806</v>
      </c>
      <c r="D624" t="s">
        <v>815</v>
      </c>
      <c r="E624">
        <v>18</v>
      </c>
      <c r="F624" t="s">
        <v>828</v>
      </c>
      <c r="G624" t="s">
        <v>874</v>
      </c>
      <c r="H624">
        <v>4171</v>
      </c>
      <c r="I624" t="s">
        <v>836</v>
      </c>
      <c r="J624" t="s">
        <v>844</v>
      </c>
      <c r="K624" s="2">
        <v>45017</v>
      </c>
      <c r="L624">
        <v>2023</v>
      </c>
      <c r="M624">
        <v>75078</v>
      </c>
      <c r="N624" t="s">
        <v>863</v>
      </c>
    </row>
    <row r="625" spans="1:14" x14ac:dyDescent="0.3">
      <c r="A625" t="s">
        <v>1204</v>
      </c>
      <c r="B625" t="s">
        <v>361</v>
      </c>
      <c r="C625" t="s">
        <v>805</v>
      </c>
      <c r="D625" t="s">
        <v>810</v>
      </c>
      <c r="E625">
        <v>7</v>
      </c>
      <c r="F625" t="s">
        <v>825</v>
      </c>
      <c r="G625" t="s">
        <v>870</v>
      </c>
      <c r="H625">
        <v>6236</v>
      </c>
      <c r="I625" t="s">
        <v>835</v>
      </c>
      <c r="J625" t="s">
        <v>841</v>
      </c>
      <c r="K625" s="2">
        <v>44562</v>
      </c>
      <c r="L625">
        <v>2022</v>
      </c>
      <c r="M625">
        <v>43652</v>
      </c>
      <c r="N625" t="s">
        <v>852</v>
      </c>
    </row>
    <row r="626" spans="1:14" x14ac:dyDescent="0.3">
      <c r="A626" t="s">
        <v>1205</v>
      </c>
      <c r="B626" t="s">
        <v>362</v>
      </c>
      <c r="C626" t="s">
        <v>805</v>
      </c>
      <c r="D626" t="s">
        <v>810</v>
      </c>
      <c r="E626">
        <v>7</v>
      </c>
      <c r="F626" t="s">
        <v>824</v>
      </c>
      <c r="G626" t="s">
        <v>859</v>
      </c>
      <c r="H626">
        <v>6236</v>
      </c>
      <c r="I626" t="s">
        <v>835</v>
      </c>
      <c r="J626" t="s">
        <v>841</v>
      </c>
      <c r="K626" s="2">
        <v>44682</v>
      </c>
      <c r="L626">
        <v>2022</v>
      </c>
      <c r="M626">
        <v>43652</v>
      </c>
      <c r="N626" t="s">
        <v>852</v>
      </c>
    </row>
    <row r="627" spans="1:14" x14ac:dyDescent="0.3">
      <c r="A627" t="s">
        <v>1206</v>
      </c>
      <c r="B627" t="s">
        <v>363</v>
      </c>
      <c r="C627" t="s">
        <v>807</v>
      </c>
      <c r="D627" t="s">
        <v>814</v>
      </c>
      <c r="E627">
        <v>8</v>
      </c>
      <c r="F627" t="s">
        <v>827</v>
      </c>
      <c r="G627" t="s">
        <v>862</v>
      </c>
      <c r="H627">
        <v>5410</v>
      </c>
      <c r="I627" t="s">
        <v>835</v>
      </c>
      <c r="J627" t="s">
        <v>844</v>
      </c>
      <c r="K627" s="2">
        <v>45413</v>
      </c>
      <c r="L627">
        <v>2024</v>
      </c>
      <c r="M627">
        <v>43280</v>
      </c>
      <c r="N627" t="s">
        <v>852</v>
      </c>
    </row>
    <row r="628" spans="1:14" x14ac:dyDescent="0.3">
      <c r="A628" t="s">
        <v>1207</v>
      </c>
      <c r="B628" t="s">
        <v>364</v>
      </c>
      <c r="C628" t="s">
        <v>807</v>
      </c>
      <c r="D628" t="s">
        <v>814</v>
      </c>
      <c r="E628">
        <v>8</v>
      </c>
      <c r="F628" t="s">
        <v>824</v>
      </c>
      <c r="G628" t="s">
        <v>910</v>
      </c>
      <c r="H628">
        <v>5410</v>
      </c>
      <c r="I628" t="s">
        <v>835</v>
      </c>
      <c r="J628" t="s">
        <v>844</v>
      </c>
      <c r="K628" s="2">
        <v>44562</v>
      </c>
      <c r="L628">
        <v>2022</v>
      </c>
      <c r="M628">
        <v>43280</v>
      </c>
      <c r="N628" t="s">
        <v>852</v>
      </c>
    </row>
    <row r="629" spans="1:14" x14ac:dyDescent="0.3">
      <c r="A629" t="s">
        <v>1208</v>
      </c>
      <c r="B629" t="s">
        <v>365</v>
      </c>
      <c r="C629" t="s">
        <v>807</v>
      </c>
      <c r="D629" t="s">
        <v>816</v>
      </c>
      <c r="E629">
        <v>1</v>
      </c>
      <c r="F629" t="s">
        <v>827</v>
      </c>
      <c r="G629" t="s">
        <v>862</v>
      </c>
      <c r="H629">
        <v>3024</v>
      </c>
      <c r="I629" t="s">
        <v>835</v>
      </c>
      <c r="J629" t="s">
        <v>842</v>
      </c>
      <c r="K629" s="2">
        <v>45413</v>
      </c>
      <c r="L629">
        <v>2024</v>
      </c>
      <c r="M629">
        <v>3024</v>
      </c>
      <c r="N629" t="s">
        <v>868</v>
      </c>
    </row>
    <row r="630" spans="1:14" x14ac:dyDescent="0.3">
      <c r="A630" t="s">
        <v>1209</v>
      </c>
      <c r="B630" t="s">
        <v>366</v>
      </c>
      <c r="C630" t="s">
        <v>807</v>
      </c>
      <c r="D630" t="s">
        <v>816</v>
      </c>
      <c r="E630">
        <v>1</v>
      </c>
      <c r="F630" t="s">
        <v>829</v>
      </c>
      <c r="G630" t="s">
        <v>886</v>
      </c>
      <c r="H630">
        <v>3024</v>
      </c>
      <c r="I630" t="s">
        <v>835</v>
      </c>
      <c r="J630" t="s">
        <v>842</v>
      </c>
      <c r="K630" s="2">
        <v>44531</v>
      </c>
      <c r="L630">
        <v>2021</v>
      </c>
      <c r="M630">
        <v>3024</v>
      </c>
      <c r="N630" t="s">
        <v>868</v>
      </c>
    </row>
    <row r="631" spans="1:14" x14ac:dyDescent="0.3">
      <c r="A631" t="s">
        <v>988</v>
      </c>
      <c r="B631" t="s">
        <v>367</v>
      </c>
      <c r="C631" t="s">
        <v>806</v>
      </c>
      <c r="D631" t="s">
        <v>815</v>
      </c>
      <c r="E631">
        <v>5</v>
      </c>
      <c r="F631" t="s">
        <v>825</v>
      </c>
      <c r="G631" t="s">
        <v>870</v>
      </c>
      <c r="H631">
        <v>7434</v>
      </c>
      <c r="I631" t="s">
        <v>832</v>
      </c>
      <c r="J631" t="s">
        <v>841</v>
      </c>
      <c r="K631" s="2">
        <v>44896</v>
      </c>
      <c r="L631">
        <v>2022</v>
      </c>
      <c r="M631">
        <v>37170</v>
      </c>
      <c r="N631" t="s">
        <v>852</v>
      </c>
    </row>
    <row r="632" spans="1:14" x14ac:dyDescent="0.3">
      <c r="A632" t="s">
        <v>1210</v>
      </c>
      <c r="B632" t="s">
        <v>368</v>
      </c>
      <c r="C632" t="s">
        <v>805</v>
      </c>
      <c r="D632" t="s">
        <v>809</v>
      </c>
      <c r="E632">
        <v>19</v>
      </c>
      <c r="F632" t="s">
        <v>828</v>
      </c>
      <c r="G632" t="s">
        <v>874</v>
      </c>
      <c r="H632">
        <v>7213</v>
      </c>
      <c r="I632" t="s">
        <v>833</v>
      </c>
      <c r="J632" t="s">
        <v>841</v>
      </c>
      <c r="K632" s="2">
        <v>45139</v>
      </c>
      <c r="L632">
        <v>2023</v>
      </c>
      <c r="M632">
        <v>137047</v>
      </c>
      <c r="N632" t="s">
        <v>863</v>
      </c>
    </row>
    <row r="633" spans="1:14" x14ac:dyDescent="0.3">
      <c r="A633" t="s">
        <v>1211</v>
      </c>
      <c r="B633" t="s">
        <v>369</v>
      </c>
      <c r="C633" t="s">
        <v>805</v>
      </c>
      <c r="D633" t="s">
        <v>809</v>
      </c>
      <c r="E633">
        <v>19</v>
      </c>
      <c r="F633" t="s">
        <v>829</v>
      </c>
      <c r="G633" t="s">
        <v>890</v>
      </c>
      <c r="H633">
        <v>7213</v>
      </c>
      <c r="I633" t="s">
        <v>833</v>
      </c>
      <c r="J633" t="s">
        <v>841</v>
      </c>
      <c r="K633" s="2">
        <v>44501</v>
      </c>
      <c r="L633">
        <v>2021</v>
      </c>
      <c r="M633">
        <v>137047</v>
      </c>
      <c r="N633" t="s">
        <v>863</v>
      </c>
    </row>
    <row r="634" spans="1:14" x14ac:dyDescent="0.3">
      <c r="A634" t="s">
        <v>1210</v>
      </c>
      <c r="B634" t="s">
        <v>368</v>
      </c>
      <c r="C634" t="s">
        <v>807</v>
      </c>
      <c r="D634" t="s">
        <v>813</v>
      </c>
      <c r="E634">
        <v>9</v>
      </c>
      <c r="F634" t="s">
        <v>828</v>
      </c>
      <c r="G634" t="s">
        <v>874</v>
      </c>
      <c r="H634">
        <v>3176</v>
      </c>
      <c r="I634" t="s">
        <v>834</v>
      </c>
      <c r="J634" t="s">
        <v>842</v>
      </c>
      <c r="K634" s="2">
        <v>45139</v>
      </c>
      <c r="L634">
        <v>2023</v>
      </c>
      <c r="M634">
        <v>28584</v>
      </c>
      <c r="N634" t="s">
        <v>852</v>
      </c>
    </row>
    <row r="635" spans="1:14" x14ac:dyDescent="0.3">
      <c r="A635" t="s">
        <v>1211</v>
      </c>
      <c r="B635" t="s">
        <v>369</v>
      </c>
      <c r="C635" t="s">
        <v>807</v>
      </c>
      <c r="D635" t="s">
        <v>813</v>
      </c>
      <c r="E635">
        <v>9</v>
      </c>
      <c r="F635" t="s">
        <v>829</v>
      </c>
      <c r="G635" t="s">
        <v>890</v>
      </c>
      <c r="H635">
        <v>3176</v>
      </c>
      <c r="I635" t="s">
        <v>834</v>
      </c>
      <c r="J635" t="s">
        <v>842</v>
      </c>
      <c r="K635" s="2">
        <v>44501</v>
      </c>
      <c r="L635">
        <v>2021</v>
      </c>
      <c r="M635">
        <v>28584</v>
      </c>
      <c r="N635" t="s">
        <v>852</v>
      </c>
    </row>
    <row r="636" spans="1:14" x14ac:dyDescent="0.3">
      <c r="A636" t="s">
        <v>1212</v>
      </c>
      <c r="B636" t="s">
        <v>370</v>
      </c>
      <c r="C636" t="s">
        <v>806</v>
      </c>
      <c r="D636" t="s">
        <v>818</v>
      </c>
      <c r="E636">
        <v>18</v>
      </c>
      <c r="F636" t="s">
        <v>824</v>
      </c>
      <c r="G636" t="s">
        <v>851</v>
      </c>
      <c r="H636">
        <v>9144</v>
      </c>
      <c r="I636" t="s">
        <v>835</v>
      </c>
      <c r="J636" t="s">
        <v>843</v>
      </c>
      <c r="K636" s="2">
        <v>44348</v>
      </c>
      <c r="L636">
        <v>2021</v>
      </c>
      <c r="M636">
        <v>164592</v>
      </c>
      <c r="N636" t="s">
        <v>863</v>
      </c>
    </row>
    <row r="637" spans="1:14" x14ac:dyDescent="0.3">
      <c r="A637" t="s">
        <v>1213</v>
      </c>
      <c r="B637" t="s">
        <v>371</v>
      </c>
      <c r="C637" t="s">
        <v>807</v>
      </c>
      <c r="D637" t="s">
        <v>813</v>
      </c>
      <c r="E637">
        <v>19</v>
      </c>
      <c r="F637" t="s">
        <v>828</v>
      </c>
      <c r="G637" t="s">
        <v>904</v>
      </c>
      <c r="H637">
        <v>4146</v>
      </c>
      <c r="I637" t="s">
        <v>834</v>
      </c>
      <c r="J637" t="s">
        <v>844</v>
      </c>
      <c r="K637" s="2">
        <v>44743</v>
      </c>
      <c r="L637">
        <v>2022</v>
      </c>
      <c r="M637">
        <v>78774</v>
      </c>
      <c r="N637" t="s">
        <v>863</v>
      </c>
    </row>
    <row r="638" spans="1:14" x14ac:dyDescent="0.3">
      <c r="A638" t="s">
        <v>1213</v>
      </c>
      <c r="B638" t="s">
        <v>371</v>
      </c>
      <c r="C638" t="s">
        <v>807</v>
      </c>
      <c r="D638" t="s">
        <v>813</v>
      </c>
      <c r="E638">
        <v>7</v>
      </c>
      <c r="F638" t="s">
        <v>828</v>
      </c>
      <c r="G638" t="s">
        <v>904</v>
      </c>
      <c r="H638">
        <v>3793</v>
      </c>
      <c r="I638" t="s">
        <v>834</v>
      </c>
      <c r="J638" t="s">
        <v>842</v>
      </c>
      <c r="K638" s="2">
        <v>44743</v>
      </c>
      <c r="L638">
        <v>2022</v>
      </c>
      <c r="M638">
        <v>26551</v>
      </c>
      <c r="N638" t="s">
        <v>852</v>
      </c>
    </row>
    <row r="639" spans="1:14" x14ac:dyDescent="0.3">
      <c r="A639" t="s">
        <v>1214</v>
      </c>
      <c r="B639" t="s">
        <v>372</v>
      </c>
      <c r="C639" t="s">
        <v>807</v>
      </c>
      <c r="D639" t="s">
        <v>816</v>
      </c>
      <c r="E639">
        <v>11</v>
      </c>
      <c r="F639" t="s">
        <v>827</v>
      </c>
      <c r="G639" t="s">
        <v>862</v>
      </c>
      <c r="H639">
        <v>7169</v>
      </c>
      <c r="I639" t="s">
        <v>836</v>
      </c>
      <c r="J639" t="s">
        <v>841</v>
      </c>
      <c r="K639" s="2">
        <v>44348</v>
      </c>
      <c r="L639">
        <v>2021</v>
      </c>
      <c r="M639">
        <v>78859</v>
      </c>
      <c r="N639" t="s">
        <v>857</v>
      </c>
    </row>
    <row r="640" spans="1:14" x14ac:dyDescent="0.3">
      <c r="A640" t="s">
        <v>1214</v>
      </c>
      <c r="B640" t="s">
        <v>372</v>
      </c>
      <c r="C640" t="s">
        <v>807</v>
      </c>
      <c r="D640" t="s">
        <v>814</v>
      </c>
      <c r="E640">
        <v>18</v>
      </c>
      <c r="F640" t="s">
        <v>827</v>
      </c>
      <c r="G640" t="s">
        <v>862</v>
      </c>
      <c r="H640">
        <v>4046</v>
      </c>
      <c r="I640" t="s">
        <v>835</v>
      </c>
      <c r="J640" t="s">
        <v>844</v>
      </c>
      <c r="K640" s="2">
        <v>44348</v>
      </c>
      <c r="L640">
        <v>2021</v>
      </c>
      <c r="M640">
        <v>72828</v>
      </c>
      <c r="N640" t="s">
        <v>863</v>
      </c>
    </row>
    <row r="641" spans="1:14" x14ac:dyDescent="0.3">
      <c r="A641" t="s">
        <v>1215</v>
      </c>
      <c r="B641" t="s">
        <v>373</v>
      </c>
      <c r="C641" t="s">
        <v>805</v>
      </c>
      <c r="D641" t="s">
        <v>819</v>
      </c>
      <c r="E641">
        <v>11</v>
      </c>
      <c r="F641" t="s">
        <v>827</v>
      </c>
      <c r="G641" t="s">
        <v>876</v>
      </c>
      <c r="H641">
        <v>4164</v>
      </c>
      <c r="I641" t="s">
        <v>836</v>
      </c>
      <c r="J641" t="s">
        <v>844</v>
      </c>
      <c r="K641" s="2">
        <v>45261</v>
      </c>
      <c r="L641">
        <v>2023</v>
      </c>
      <c r="M641">
        <v>45804</v>
      </c>
      <c r="N641" t="s">
        <v>857</v>
      </c>
    </row>
    <row r="642" spans="1:14" x14ac:dyDescent="0.3">
      <c r="A642" t="s">
        <v>1215</v>
      </c>
      <c r="B642" t="s">
        <v>373</v>
      </c>
      <c r="C642" t="s">
        <v>807</v>
      </c>
      <c r="D642" t="s">
        <v>813</v>
      </c>
      <c r="E642">
        <v>5</v>
      </c>
      <c r="F642" t="s">
        <v>827</v>
      </c>
      <c r="G642" t="s">
        <v>876</v>
      </c>
      <c r="H642">
        <v>5389</v>
      </c>
      <c r="I642" t="s">
        <v>832</v>
      </c>
      <c r="J642" t="s">
        <v>844</v>
      </c>
      <c r="K642" s="2">
        <v>45261</v>
      </c>
      <c r="L642">
        <v>2023</v>
      </c>
      <c r="M642">
        <v>26945</v>
      </c>
      <c r="N642" t="s">
        <v>852</v>
      </c>
    </row>
    <row r="643" spans="1:14" x14ac:dyDescent="0.3">
      <c r="A643" t="s">
        <v>1216</v>
      </c>
      <c r="B643" t="s">
        <v>374</v>
      </c>
      <c r="C643" t="s">
        <v>807</v>
      </c>
      <c r="D643" t="s">
        <v>816</v>
      </c>
      <c r="E643">
        <v>5</v>
      </c>
      <c r="F643" t="s">
        <v>826</v>
      </c>
      <c r="G643" t="s">
        <v>865</v>
      </c>
      <c r="H643">
        <v>5448</v>
      </c>
      <c r="I643" t="s">
        <v>836</v>
      </c>
      <c r="J643" t="s">
        <v>844</v>
      </c>
      <c r="K643" s="2">
        <v>44774</v>
      </c>
      <c r="L643">
        <v>2022</v>
      </c>
      <c r="M643">
        <v>27240</v>
      </c>
      <c r="N643" t="s">
        <v>852</v>
      </c>
    </row>
    <row r="644" spans="1:14" x14ac:dyDescent="0.3">
      <c r="A644" t="s">
        <v>1028</v>
      </c>
      <c r="B644" t="s">
        <v>375</v>
      </c>
      <c r="C644" t="s">
        <v>807</v>
      </c>
      <c r="D644" t="s">
        <v>816</v>
      </c>
      <c r="E644">
        <v>1</v>
      </c>
      <c r="F644" t="s">
        <v>824</v>
      </c>
      <c r="G644" t="s">
        <v>859</v>
      </c>
      <c r="H644">
        <v>4115</v>
      </c>
      <c r="I644" t="s">
        <v>832</v>
      </c>
      <c r="J644" t="s">
        <v>844</v>
      </c>
      <c r="K644" s="2">
        <v>43922</v>
      </c>
      <c r="L644">
        <v>2020</v>
      </c>
      <c r="M644">
        <v>4115</v>
      </c>
      <c r="N644" t="s">
        <v>868</v>
      </c>
    </row>
    <row r="645" spans="1:14" x14ac:dyDescent="0.3">
      <c r="A645" t="s">
        <v>1028</v>
      </c>
      <c r="B645" t="s">
        <v>375</v>
      </c>
      <c r="C645" t="s">
        <v>807</v>
      </c>
      <c r="D645" t="s">
        <v>813</v>
      </c>
      <c r="E645">
        <v>12</v>
      </c>
      <c r="F645" t="s">
        <v>824</v>
      </c>
      <c r="G645" t="s">
        <v>859</v>
      </c>
      <c r="H645">
        <v>4761</v>
      </c>
      <c r="I645" t="s">
        <v>832</v>
      </c>
      <c r="J645" t="s">
        <v>844</v>
      </c>
      <c r="K645" s="2">
        <v>43922</v>
      </c>
      <c r="L645">
        <v>2020</v>
      </c>
      <c r="M645">
        <v>57132</v>
      </c>
      <c r="N645" t="s">
        <v>857</v>
      </c>
    </row>
    <row r="646" spans="1:14" x14ac:dyDescent="0.3">
      <c r="A646" t="s">
        <v>1217</v>
      </c>
      <c r="B646" t="s">
        <v>376</v>
      </c>
      <c r="C646" t="s">
        <v>806</v>
      </c>
      <c r="D646" t="s">
        <v>818</v>
      </c>
      <c r="E646">
        <v>6</v>
      </c>
      <c r="F646" t="s">
        <v>826</v>
      </c>
      <c r="G646" t="s">
        <v>856</v>
      </c>
      <c r="H646">
        <v>5899</v>
      </c>
      <c r="I646" t="s">
        <v>834</v>
      </c>
      <c r="J646" t="s">
        <v>844</v>
      </c>
      <c r="K646" s="2">
        <v>45200</v>
      </c>
      <c r="L646">
        <v>2023</v>
      </c>
      <c r="M646">
        <v>35394</v>
      </c>
      <c r="N646" t="s">
        <v>852</v>
      </c>
    </row>
    <row r="647" spans="1:14" x14ac:dyDescent="0.3">
      <c r="A647" t="s">
        <v>1218</v>
      </c>
      <c r="B647" t="s">
        <v>377</v>
      </c>
      <c r="C647" t="s">
        <v>807</v>
      </c>
      <c r="D647" t="s">
        <v>814</v>
      </c>
      <c r="E647">
        <v>9</v>
      </c>
      <c r="F647" t="s">
        <v>826</v>
      </c>
      <c r="G647" t="s">
        <v>856</v>
      </c>
      <c r="H647">
        <v>6109</v>
      </c>
      <c r="I647" t="s">
        <v>834</v>
      </c>
      <c r="J647" t="s">
        <v>841</v>
      </c>
      <c r="K647" s="2">
        <v>44593</v>
      </c>
      <c r="L647">
        <v>2022</v>
      </c>
      <c r="M647">
        <v>54981</v>
      </c>
      <c r="N647" t="s">
        <v>852</v>
      </c>
    </row>
    <row r="648" spans="1:14" x14ac:dyDescent="0.3">
      <c r="A648" t="s">
        <v>1219</v>
      </c>
      <c r="B648" t="s">
        <v>378</v>
      </c>
      <c r="C648" t="s">
        <v>807</v>
      </c>
      <c r="D648" t="s">
        <v>814</v>
      </c>
      <c r="E648">
        <v>9</v>
      </c>
      <c r="F648" t="s">
        <v>826</v>
      </c>
      <c r="G648" t="s">
        <v>872</v>
      </c>
      <c r="H648">
        <v>6109</v>
      </c>
      <c r="I648" t="s">
        <v>834</v>
      </c>
      <c r="J648" t="s">
        <v>841</v>
      </c>
      <c r="K648" s="2">
        <v>45200</v>
      </c>
      <c r="L648">
        <v>2023</v>
      </c>
      <c r="M648">
        <v>54981</v>
      </c>
      <c r="N648" t="s">
        <v>852</v>
      </c>
    </row>
    <row r="649" spans="1:14" x14ac:dyDescent="0.3">
      <c r="A649" t="s">
        <v>1218</v>
      </c>
      <c r="B649" t="s">
        <v>377</v>
      </c>
      <c r="C649" t="s">
        <v>805</v>
      </c>
      <c r="D649" t="s">
        <v>809</v>
      </c>
      <c r="E649">
        <v>17</v>
      </c>
      <c r="F649" t="s">
        <v>826</v>
      </c>
      <c r="G649" t="s">
        <v>856</v>
      </c>
      <c r="H649">
        <v>4628</v>
      </c>
      <c r="I649" t="s">
        <v>832</v>
      </c>
      <c r="J649" t="s">
        <v>844</v>
      </c>
      <c r="K649" s="2">
        <v>44593</v>
      </c>
      <c r="L649">
        <v>2022</v>
      </c>
      <c r="M649">
        <v>78676</v>
      </c>
      <c r="N649" t="s">
        <v>863</v>
      </c>
    </row>
    <row r="650" spans="1:14" x14ac:dyDescent="0.3">
      <c r="A650" t="s">
        <v>1219</v>
      </c>
      <c r="B650" t="s">
        <v>378</v>
      </c>
      <c r="C650" t="s">
        <v>805</v>
      </c>
      <c r="D650" t="s">
        <v>809</v>
      </c>
      <c r="E650">
        <v>17</v>
      </c>
      <c r="F650" t="s">
        <v>826</v>
      </c>
      <c r="G650" t="s">
        <v>872</v>
      </c>
      <c r="H650">
        <v>4628</v>
      </c>
      <c r="I650" t="s">
        <v>832</v>
      </c>
      <c r="J650" t="s">
        <v>844</v>
      </c>
      <c r="K650" s="2">
        <v>45200</v>
      </c>
      <c r="L650">
        <v>2023</v>
      </c>
      <c r="M650">
        <v>78676</v>
      </c>
      <c r="N650" t="s">
        <v>863</v>
      </c>
    </row>
    <row r="651" spans="1:14" x14ac:dyDescent="0.3">
      <c r="A651" t="s">
        <v>1001</v>
      </c>
      <c r="B651" t="s">
        <v>379</v>
      </c>
      <c r="C651" t="s">
        <v>806</v>
      </c>
      <c r="D651" t="s">
        <v>811</v>
      </c>
      <c r="E651">
        <v>13</v>
      </c>
      <c r="F651" t="s">
        <v>825</v>
      </c>
      <c r="G651" t="s">
        <v>921</v>
      </c>
      <c r="H651">
        <v>4369</v>
      </c>
      <c r="I651" t="s">
        <v>835</v>
      </c>
      <c r="J651" t="s">
        <v>844</v>
      </c>
      <c r="K651" s="2">
        <v>44805</v>
      </c>
      <c r="L651">
        <v>2022</v>
      </c>
      <c r="M651">
        <v>56797</v>
      </c>
      <c r="N651" t="s">
        <v>857</v>
      </c>
    </row>
    <row r="652" spans="1:14" x14ac:dyDescent="0.3">
      <c r="A652" t="s">
        <v>1220</v>
      </c>
      <c r="B652" t="s">
        <v>380</v>
      </c>
      <c r="C652" t="s">
        <v>806</v>
      </c>
      <c r="D652" t="s">
        <v>811</v>
      </c>
      <c r="E652">
        <v>13</v>
      </c>
      <c r="F652" t="s">
        <v>828</v>
      </c>
      <c r="G652" t="s">
        <v>880</v>
      </c>
      <c r="H652">
        <v>4369</v>
      </c>
      <c r="I652" t="s">
        <v>835</v>
      </c>
      <c r="J652" t="s">
        <v>844</v>
      </c>
      <c r="K652" s="2">
        <v>44287</v>
      </c>
      <c r="L652">
        <v>2021</v>
      </c>
      <c r="M652">
        <v>56797</v>
      </c>
      <c r="N652" t="s">
        <v>857</v>
      </c>
    </row>
    <row r="653" spans="1:14" x14ac:dyDescent="0.3">
      <c r="A653" t="s">
        <v>1221</v>
      </c>
      <c r="B653" t="s">
        <v>381</v>
      </c>
      <c r="C653" t="s">
        <v>807</v>
      </c>
      <c r="D653" t="s">
        <v>816</v>
      </c>
      <c r="E653">
        <v>20</v>
      </c>
      <c r="F653" t="s">
        <v>827</v>
      </c>
      <c r="G653" t="s">
        <v>862</v>
      </c>
      <c r="H653">
        <v>5632</v>
      </c>
      <c r="I653" t="s">
        <v>835</v>
      </c>
      <c r="J653" t="s">
        <v>844</v>
      </c>
      <c r="K653" s="2">
        <v>44317</v>
      </c>
      <c r="L653">
        <v>2021</v>
      </c>
      <c r="M653">
        <v>112640</v>
      </c>
      <c r="N653" t="s">
        <v>863</v>
      </c>
    </row>
    <row r="654" spans="1:14" x14ac:dyDescent="0.3">
      <c r="A654" t="s">
        <v>1222</v>
      </c>
      <c r="B654" t="s">
        <v>382</v>
      </c>
      <c r="C654" t="s">
        <v>807</v>
      </c>
      <c r="D654" t="s">
        <v>816</v>
      </c>
      <c r="E654">
        <v>20</v>
      </c>
      <c r="F654" t="s">
        <v>824</v>
      </c>
      <c r="G654" t="s">
        <v>851</v>
      </c>
      <c r="H654">
        <v>5632</v>
      </c>
      <c r="I654" t="s">
        <v>835</v>
      </c>
      <c r="J654" t="s">
        <v>844</v>
      </c>
      <c r="K654" s="2">
        <v>45323</v>
      </c>
      <c r="L654">
        <v>2024</v>
      </c>
      <c r="M654">
        <v>112640</v>
      </c>
      <c r="N654" t="s">
        <v>863</v>
      </c>
    </row>
    <row r="655" spans="1:14" x14ac:dyDescent="0.3">
      <c r="A655" t="s">
        <v>1223</v>
      </c>
      <c r="B655" t="s">
        <v>383</v>
      </c>
      <c r="C655" t="s">
        <v>807</v>
      </c>
      <c r="D655" t="s">
        <v>816</v>
      </c>
      <c r="E655">
        <v>20</v>
      </c>
      <c r="F655" t="s">
        <v>829</v>
      </c>
      <c r="G655" t="s">
        <v>894</v>
      </c>
      <c r="H655">
        <v>5632</v>
      </c>
      <c r="I655" t="s">
        <v>835</v>
      </c>
      <c r="J655" t="s">
        <v>844</v>
      </c>
      <c r="K655" s="2">
        <v>45689</v>
      </c>
      <c r="L655">
        <v>2025</v>
      </c>
      <c r="M655">
        <v>112640</v>
      </c>
      <c r="N655" t="s">
        <v>863</v>
      </c>
    </row>
    <row r="656" spans="1:14" x14ac:dyDescent="0.3">
      <c r="A656" t="s">
        <v>1224</v>
      </c>
      <c r="B656" t="s">
        <v>384</v>
      </c>
      <c r="C656" t="s">
        <v>806</v>
      </c>
      <c r="D656" t="s">
        <v>817</v>
      </c>
      <c r="E656">
        <v>14</v>
      </c>
      <c r="F656" t="s">
        <v>827</v>
      </c>
      <c r="G656" t="s">
        <v>876</v>
      </c>
      <c r="H656">
        <v>7519</v>
      </c>
      <c r="I656" t="s">
        <v>832</v>
      </c>
      <c r="J656" t="s">
        <v>841</v>
      </c>
      <c r="K656" s="2">
        <v>44835</v>
      </c>
      <c r="L656">
        <v>2022</v>
      </c>
      <c r="M656">
        <v>105266</v>
      </c>
      <c r="N656" t="s">
        <v>857</v>
      </c>
    </row>
    <row r="657" spans="1:14" x14ac:dyDescent="0.3">
      <c r="A657" t="s">
        <v>1224</v>
      </c>
      <c r="B657" t="s">
        <v>384</v>
      </c>
      <c r="C657" t="s">
        <v>805</v>
      </c>
      <c r="D657" t="s">
        <v>809</v>
      </c>
      <c r="E657">
        <v>13</v>
      </c>
      <c r="F657" t="s">
        <v>827</v>
      </c>
      <c r="G657" t="s">
        <v>876</v>
      </c>
      <c r="H657">
        <v>1564</v>
      </c>
      <c r="I657" t="s">
        <v>833</v>
      </c>
      <c r="J657" t="s">
        <v>840</v>
      </c>
      <c r="K657" s="2">
        <v>44835</v>
      </c>
      <c r="L657">
        <v>2022</v>
      </c>
      <c r="M657">
        <v>20332</v>
      </c>
      <c r="N657" t="s">
        <v>857</v>
      </c>
    </row>
    <row r="658" spans="1:14" x14ac:dyDescent="0.3">
      <c r="A658" t="s">
        <v>1225</v>
      </c>
      <c r="B658" t="s">
        <v>385</v>
      </c>
      <c r="C658" t="s">
        <v>805</v>
      </c>
      <c r="D658" t="s">
        <v>809</v>
      </c>
      <c r="E658">
        <v>10</v>
      </c>
      <c r="F658" t="s">
        <v>828</v>
      </c>
      <c r="G658" t="s">
        <v>880</v>
      </c>
      <c r="H658">
        <v>2804</v>
      </c>
      <c r="I658" t="s">
        <v>835</v>
      </c>
      <c r="J658" t="s">
        <v>842</v>
      </c>
      <c r="K658" s="2">
        <v>44593</v>
      </c>
      <c r="L658">
        <v>2022</v>
      </c>
      <c r="M658">
        <v>28040</v>
      </c>
      <c r="N658" t="s">
        <v>857</v>
      </c>
    </row>
    <row r="659" spans="1:14" x14ac:dyDescent="0.3">
      <c r="A659" t="s">
        <v>1226</v>
      </c>
      <c r="B659" t="s">
        <v>386</v>
      </c>
      <c r="C659" t="s">
        <v>805</v>
      </c>
      <c r="D659" t="s">
        <v>809</v>
      </c>
      <c r="E659">
        <v>10</v>
      </c>
      <c r="F659" t="s">
        <v>824</v>
      </c>
      <c r="G659" t="s">
        <v>910</v>
      </c>
      <c r="H659">
        <v>2804</v>
      </c>
      <c r="I659" t="s">
        <v>835</v>
      </c>
      <c r="J659" t="s">
        <v>842</v>
      </c>
      <c r="K659" s="2">
        <v>44136</v>
      </c>
      <c r="L659">
        <v>2020</v>
      </c>
      <c r="M659">
        <v>28040</v>
      </c>
      <c r="N659" t="s">
        <v>857</v>
      </c>
    </row>
    <row r="660" spans="1:14" x14ac:dyDescent="0.3">
      <c r="A660" t="s">
        <v>1227</v>
      </c>
      <c r="B660" t="s">
        <v>387</v>
      </c>
      <c r="C660" t="s">
        <v>805</v>
      </c>
      <c r="D660" t="s">
        <v>809</v>
      </c>
      <c r="E660">
        <v>10</v>
      </c>
      <c r="F660" t="s">
        <v>824</v>
      </c>
      <c r="G660" t="s">
        <v>910</v>
      </c>
      <c r="H660">
        <v>2804</v>
      </c>
      <c r="I660" t="s">
        <v>835</v>
      </c>
      <c r="J660" t="s">
        <v>842</v>
      </c>
      <c r="K660" s="2">
        <v>45047</v>
      </c>
      <c r="L660">
        <v>2023</v>
      </c>
      <c r="M660">
        <v>28040</v>
      </c>
      <c r="N660" t="s">
        <v>857</v>
      </c>
    </row>
    <row r="661" spans="1:14" x14ac:dyDescent="0.3">
      <c r="A661" t="s">
        <v>1228</v>
      </c>
      <c r="B661" t="s">
        <v>388</v>
      </c>
      <c r="C661" t="s">
        <v>807</v>
      </c>
      <c r="D661" t="s">
        <v>814</v>
      </c>
      <c r="E661">
        <v>6</v>
      </c>
      <c r="F661" t="s">
        <v>825</v>
      </c>
      <c r="G661" t="s">
        <v>870</v>
      </c>
      <c r="H661">
        <v>2321</v>
      </c>
      <c r="I661" t="s">
        <v>834</v>
      </c>
      <c r="J661" t="s">
        <v>842</v>
      </c>
      <c r="K661" s="2">
        <v>44835</v>
      </c>
      <c r="L661">
        <v>2022</v>
      </c>
      <c r="M661">
        <v>13926</v>
      </c>
      <c r="N661" t="s">
        <v>852</v>
      </c>
    </row>
    <row r="662" spans="1:14" x14ac:dyDescent="0.3">
      <c r="A662" t="s">
        <v>1229</v>
      </c>
      <c r="B662" t="s">
        <v>389</v>
      </c>
      <c r="C662" t="s">
        <v>805</v>
      </c>
      <c r="D662" t="s">
        <v>812</v>
      </c>
      <c r="E662">
        <v>6</v>
      </c>
      <c r="F662" t="s">
        <v>824</v>
      </c>
      <c r="G662" t="s">
        <v>910</v>
      </c>
      <c r="H662">
        <v>5730</v>
      </c>
      <c r="I662" t="s">
        <v>836</v>
      </c>
      <c r="J662" t="s">
        <v>844</v>
      </c>
      <c r="K662" s="2">
        <v>45505</v>
      </c>
      <c r="L662">
        <v>2024</v>
      </c>
      <c r="M662">
        <v>34380</v>
      </c>
      <c r="N662" t="s">
        <v>852</v>
      </c>
    </row>
    <row r="663" spans="1:14" x14ac:dyDescent="0.3">
      <c r="A663" t="s">
        <v>1051</v>
      </c>
      <c r="B663" t="s">
        <v>390</v>
      </c>
      <c r="C663" t="s">
        <v>807</v>
      </c>
      <c r="D663" t="s">
        <v>816</v>
      </c>
      <c r="E663">
        <v>12</v>
      </c>
      <c r="F663" t="s">
        <v>825</v>
      </c>
      <c r="G663" t="s">
        <v>854</v>
      </c>
      <c r="H663">
        <v>7441</v>
      </c>
      <c r="I663" t="s">
        <v>836</v>
      </c>
      <c r="J663" t="s">
        <v>841</v>
      </c>
      <c r="K663" s="2">
        <v>44501</v>
      </c>
      <c r="L663">
        <v>2021</v>
      </c>
      <c r="M663">
        <v>89292</v>
      </c>
      <c r="N663" t="s">
        <v>857</v>
      </c>
    </row>
    <row r="664" spans="1:14" x14ac:dyDescent="0.3">
      <c r="A664" t="s">
        <v>1230</v>
      </c>
      <c r="B664" t="s">
        <v>391</v>
      </c>
      <c r="C664" t="s">
        <v>807</v>
      </c>
      <c r="D664" t="s">
        <v>816</v>
      </c>
      <c r="E664">
        <v>12</v>
      </c>
      <c r="F664" t="s">
        <v>828</v>
      </c>
      <c r="G664" t="s">
        <v>880</v>
      </c>
      <c r="H664">
        <v>7441</v>
      </c>
      <c r="I664" t="s">
        <v>836</v>
      </c>
      <c r="J664" t="s">
        <v>841</v>
      </c>
      <c r="K664" s="2">
        <v>43952</v>
      </c>
      <c r="L664">
        <v>2020</v>
      </c>
      <c r="M664">
        <v>89292</v>
      </c>
      <c r="N664" t="s">
        <v>857</v>
      </c>
    </row>
    <row r="665" spans="1:14" x14ac:dyDescent="0.3">
      <c r="A665" t="s">
        <v>950</v>
      </c>
      <c r="B665" t="s">
        <v>392</v>
      </c>
      <c r="C665" t="s">
        <v>806</v>
      </c>
      <c r="D665" t="s">
        <v>818</v>
      </c>
      <c r="E665">
        <v>7</v>
      </c>
      <c r="F665" t="s">
        <v>826</v>
      </c>
      <c r="G665" t="s">
        <v>865</v>
      </c>
      <c r="H665">
        <v>1732</v>
      </c>
      <c r="I665" t="s">
        <v>832</v>
      </c>
      <c r="J665" t="s">
        <v>840</v>
      </c>
      <c r="K665" s="2">
        <v>44958</v>
      </c>
      <c r="L665">
        <v>2023</v>
      </c>
      <c r="M665">
        <v>12124</v>
      </c>
      <c r="N665" t="s">
        <v>852</v>
      </c>
    </row>
    <row r="666" spans="1:14" x14ac:dyDescent="0.3">
      <c r="A666" t="s">
        <v>950</v>
      </c>
      <c r="B666" t="s">
        <v>392</v>
      </c>
      <c r="C666" t="s">
        <v>806</v>
      </c>
      <c r="D666" t="s">
        <v>817</v>
      </c>
      <c r="E666">
        <v>19</v>
      </c>
      <c r="F666" t="s">
        <v>826</v>
      </c>
      <c r="G666" t="s">
        <v>865</v>
      </c>
      <c r="H666">
        <v>8788</v>
      </c>
      <c r="I666" t="s">
        <v>834</v>
      </c>
      <c r="J666" t="s">
        <v>843</v>
      </c>
      <c r="K666" s="2">
        <v>44958</v>
      </c>
      <c r="L666">
        <v>2023</v>
      </c>
      <c r="M666">
        <v>166972</v>
      </c>
      <c r="N666" t="s">
        <v>863</v>
      </c>
    </row>
    <row r="667" spans="1:14" x14ac:dyDescent="0.3">
      <c r="A667" t="s">
        <v>1231</v>
      </c>
      <c r="B667" t="s">
        <v>393</v>
      </c>
      <c r="C667" t="s">
        <v>806</v>
      </c>
      <c r="D667" t="s">
        <v>815</v>
      </c>
      <c r="E667">
        <v>11</v>
      </c>
      <c r="F667" t="s">
        <v>829</v>
      </c>
      <c r="G667" t="s">
        <v>886</v>
      </c>
      <c r="H667">
        <v>838</v>
      </c>
      <c r="I667" t="s">
        <v>834</v>
      </c>
      <c r="J667" t="s">
        <v>840</v>
      </c>
      <c r="K667" s="2">
        <v>44197</v>
      </c>
      <c r="L667">
        <v>2021</v>
      </c>
      <c r="M667">
        <v>9218</v>
      </c>
      <c r="N667" t="s">
        <v>857</v>
      </c>
    </row>
    <row r="668" spans="1:14" x14ac:dyDescent="0.3">
      <c r="A668" t="s">
        <v>1232</v>
      </c>
      <c r="B668" t="s">
        <v>394</v>
      </c>
      <c r="C668" t="s">
        <v>806</v>
      </c>
      <c r="D668" t="s">
        <v>815</v>
      </c>
      <c r="E668">
        <v>11</v>
      </c>
      <c r="F668" t="s">
        <v>825</v>
      </c>
      <c r="G668" t="s">
        <v>921</v>
      </c>
      <c r="H668">
        <v>838</v>
      </c>
      <c r="I668" t="s">
        <v>834</v>
      </c>
      <c r="J668" t="s">
        <v>840</v>
      </c>
      <c r="K668" s="2">
        <v>44593</v>
      </c>
      <c r="L668">
        <v>2022</v>
      </c>
      <c r="M668">
        <v>9218</v>
      </c>
      <c r="N668" t="s">
        <v>857</v>
      </c>
    </row>
    <row r="669" spans="1:14" x14ac:dyDescent="0.3">
      <c r="A669" t="s">
        <v>1231</v>
      </c>
      <c r="B669" t="s">
        <v>393</v>
      </c>
      <c r="C669" t="s">
        <v>807</v>
      </c>
      <c r="D669" t="s">
        <v>813</v>
      </c>
      <c r="E669">
        <v>2</v>
      </c>
      <c r="F669" t="s">
        <v>829</v>
      </c>
      <c r="G669" t="s">
        <v>886</v>
      </c>
      <c r="H669">
        <v>3577</v>
      </c>
      <c r="I669" t="s">
        <v>832</v>
      </c>
      <c r="J669" t="s">
        <v>842</v>
      </c>
      <c r="K669" s="2">
        <v>44197</v>
      </c>
      <c r="L669">
        <v>2021</v>
      </c>
      <c r="M669">
        <v>7154</v>
      </c>
      <c r="N669" t="s">
        <v>868</v>
      </c>
    </row>
    <row r="670" spans="1:14" x14ac:dyDescent="0.3">
      <c r="A670" t="s">
        <v>1232</v>
      </c>
      <c r="B670" t="s">
        <v>394</v>
      </c>
      <c r="C670" t="s">
        <v>807</v>
      </c>
      <c r="D670" t="s">
        <v>813</v>
      </c>
      <c r="E670">
        <v>2</v>
      </c>
      <c r="F670" t="s">
        <v>825</v>
      </c>
      <c r="G670" t="s">
        <v>921</v>
      </c>
      <c r="H670">
        <v>3577</v>
      </c>
      <c r="I670" t="s">
        <v>832</v>
      </c>
      <c r="J670" t="s">
        <v>842</v>
      </c>
      <c r="K670" s="2">
        <v>44593</v>
      </c>
      <c r="L670">
        <v>2022</v>
      </c>
      <c r="M670">
        <v>7154</v>
      </c>
      <c r="N670" t="s">
        <v>868</v>
      </c>
    </row>
    <row r="671" spans="1:14" x14ac:dyDescent="0.3">
      <c r="A671" t="s">
        <v>1233</v>
      </c>
      <c r="B671" t="s">
        <v>395</v>
      </c>
      <c r="C671" t="s">
        <v>805</v>
      </c>
      <c r="D671" t="s">
        <v>819</v>
      </c>
      <c r="E671">
        <v>6</v>
      </c>
      <c r="F671" t="s">
        <v>828</v>
      </c>
      <c r="G671" t="s">
        <v>874</v>
      </c>
      <c r="H671">
        <v>7122</v>
      </c>
      <c r="I671" t="s">
        <v>833</v>
      </c>
      <c r="J671" t="s">
        <v>841</v>
      </c>
      <c r="K671" s="2">
        <v>45383</v>
      </c>
      <c r="L671">
        <v>2024</v>
      </c>
      <c r="M671">
        <v>42732</v>
      </c>
      <c r="N671" t="s">
        <v>852</v>
      </c>
    </row>
    <row r="672" spans="1:14" x14ac:dyDescent="0.3">
      <c r="A672" t="s">
        <v>1234</v>
      </c>
      <c r="B672" t="s">
        <v>396</v>
      </c>
      <c r="C672" t="s">
        <v>805</v>
      </c>
      <c r="D672" t="s">
        <v>819</v>
      </c>
      <c r="E672">
        <v>6</v>
      </c>
      <c r="F672" t="s">
        <v>828</v>
      </c>
      <c r="G672" t="s">
        <v>904</v>
      </c>
      <c r="H672">
        <v>7122</v>
      </c>
      <c r="I672" t="s">
        <v>833</v>
      </c>
      <c r="J672" t="s">
        <v>841</v>
      </c>
      <c r="K672" s="2">
        <v>44986</v>
      </c>
      <c r="L672">
        <v>2023</v>
      </c>
      <c r="M672">
        <v>42732</v>
      </c>
      <c r="N672" t="s">
        <v>852</v>
      </c>
    </row>
    <row r="673" spans="1:14" x14ac:dyDescent="0.3">
      <c r="A673" t="s">
        <v>1235</v>
      </c>
      <c r="B673" t="s">
        <v>397</v>
      </c>
      <c r="C673" t="s">
        <v>805</v>
      </c>
      <c r="D673" t="s">
        <v>819</v>
      </c>
      <c r="E673">
        <v>6</v>
      </c>
      <c r="F673" t="s">
        <v>826</v>
      </c>
      <c r="G673" t="s">
        <v>865</v>
      </c>
      <c r="H673">
        <v>7122</v>
      </c>
      <c r="I673" t="s">
        <v>833</v>
      </c>
      <c r="J673" t="s">
        <v>841</v>
      </c>
      <c r="K673" s="2">
        <v>45108</v>
      </c>
      <c r="L673">
        <v>2023</v>
      </c>
      <c r="M673">
        <v>42732</v>
      </c>
      <c r="N673" t="s">
        <v>852</v>
      </c>
    </row>
    <row r="674" spans="1:14" x14ac:dyDescent="0.3">
      <c r="A674" t="s">
        <v>1233</v>
      </c>
      <c r="B674" t="s">
        <v>395</v>
      </c>
      <c r="C674" t="s">
        <v>806</v>
      </c>
      <c r="D674" t="s">
        <v>815</v>
      </c>
      <c r="E674">
        <v>15</v>
      </c>
      <c r="F674" t="s">
        <v>828</v>
      </c>
      <c r="G674" t="s">
        <v>874</v>
      </c>
      <c r="H674">
        <v>7327</v>
      </c>
      <c r="I674" t="s">
        <v>835</v>
      </c>
      <c r="J674" t="s">
        <v>841</v>
      </c>
      <c r="K674" s="2">
        <v>45383</v>
      </c>
      <c r="L674">
        <v>2024</v>
      </c>
      <c r="M674">
        <v>109905</v>
      </c>
      <c r="N674" t="s">
        <v>863</v>
      </c>
    </row>
    <row r="675" spans="1:14" x14ac:dyDescent="0.3">
      <c r="A675" t="s">
        <v>1234</v>
      </c>
      <c r="B675" t="s">
        <v>396</v>
      </c>
      <c r="C675" t="s">
        <v>806</v>
      </c>
      <c r="D675" t="s">
        <v>815</v>
      </c>
      <c r="E675">
        <v>15</v>
      </c>
      <c r="F675" t="s">
        <v>828</v>
      </c>
      <c r="G675" t="s">
        <v>904</v>
      </c>
      <c r="H675">
        <v>7327</v>
      </c>
      <c r="I675" t="s">
        <v>835</v>
      </c>
      <c r="J675" t="s">
        <v>841</v>
      </c>
      <c r="K675" s="2">
        <v>44986</v>
      </c>
      <c r="L675">
        <v>2023</v>
      </c>
      <c r="M675">
        <v>109905</v>
      </c>
      <c r="N675" t="s">
        <v>863</v>
      </c>
    </row>
    <row r="676" spans="1:14" x14ac:dyDescent="0.3">
      <c r="A676" t="s">
        <v>1235</v>
      </c>
      <c r="B676" t="s">
        <v>397</v>
      </c>
      <c r="C676" t="s">
        <v>806</v>
      </c>
      <c r="D676" t="s">
        <v>815</v>
      </c>
      <c r="E676">
        <v>15</v>
      </c>
      <c r="F676" t="s">
        <v>826</v>
      </c>
      <c r="G676" t="s">
        <v>865</v>
      </c>
      <c r="H676">
        <v>7327</v>
      </c>
      <c r="I676" t="s">
        <v>835</v>
      </c>
      <c r="J676" t="s">
        <v>841</v>
      </c>
      <c r="K676" s="2">
        <v>45108</v>
      </c>
      <c r="L676">
        <v>2023</v>
      </c>
      <c r="M676">
        <v>109905</v>
      </c>
      <c r="N676" t="s">
        <v>863</v>
      </c>
    </row>
    <row r="677" spans="1:14" x14ac:dyDescent="0.3">
      <c r="A677" t="s">
        <v>1236</v>
      </c>
      <c r="B677" t="s">
        <v>398</v>
      </c>
      <c r="C677" t="s">
        <v>805</v>
      </c>
      <c r="D677" t="s">
        <v>810</v>
      </c>
      <c r="E677">
        <v>18</v>
      </c>
      <c r="F677" t="s">
        <v>824</v>
      </c>
      <c r="G677" t="s">
        <v>910</v>
      </c>
      <c r="H677">
        <v>2239</v>
      </c>
      <c r="I677" t="s">
        <v>836</v>
      </c>
      <c r="J677" t="s">
        <v>842</v>
      </c>
      <c r="K677" s="2">
        <v>45474</v>
      </c>
      <c r="L677">
        <v>2024</v>
      </c>
      <c r="M677">
        <v>40302</v>
      </c>
      <c r="N677" t="s">
        <v>863</v>
      </c>
    </row>
    <row r="678" spans="1:14" x14ac:dyDescent="0.3">
      <c r="A678" t="s">
        <v>1236</v>
      </c>
      <c r="B678" t="s">
        <v>398</v>
      </c>
      <c r="C678" t="s">
        <v>806</v>
      </c>
      <c r="D678" t="s">
        <v>815</v>
      </c>
      <c r="E678">
        <v>1</v>
      </c>
      <c r="F678" t="s">
        <v>824</v>
      </c>
      <c r="G678" t="s">
        <v>910</v>
      </c>
      <c r="H678">
        <v>4932</v>
      </c>
      <c r="I678" t="s">
        <v>836</v>
      </c>
      <c r="J678" t="s">
        <v>844</v>
      </c>
      <c r="K678" s="2">
        <v>45474</v>
      </c>
      <c r="L678">
        <v>2024</v>
      </c>
      <c r="M678">
        <v>4932</v>
      </c>
      <c r="N678" t="s">
        <v>868</v>
      </c>
    </row>
    <row r="679" spans="1:14" x14ac:dyDescent="0.3">
      <c r="A679" t="s">
        <v>1237</v>
      </c>
      <c r="B679" t="s">
        <v>399</v>
      </c>
      <c r="C679" t="s">
        <v>805</v>
      </c>
      <c r="D679" t="s">
        <v>810</v>
      </c>
      <c r="E679">
        <v>8</v>
      </c>
      <c r="F679" t="s">
        <v>824</v>
      </c>
      <c r="G679" t="s">
        <v>859</v>
      </c>
      <c r="H679">
        <v>4609</v>
      </c>
      <c r="I679" t="s">
        <v>832</v>
      </c>
      <c r="J679" t="s">
        <v>844</v>
      </c>
      <c r="K679" s="2">
        <v>45108</v>
      </c>
      <c r="L679">
        <v>2023</v>
      </c>
      <c r="M679">
        <v>36872</v>
      </c>
      <c r="N679" t="s">
        <v>852</v>
      </c>
    </row>
    <row r="680" spans="1:14" x14ac:dyDescent="0.3">
      <c r="A680" t="s">
        <v>1237</v>
      </c>
      <c r="B680" t="s">
        <v>399</v>
      </c>
      <c r="C680" t="s">
        <v>806</v>
      </c>
      <c r="D680" t="s">
        <v>817</v>
      </c>
      <c r="E680">
        <v>4</v>
      </c>
      <c r="F680" t="s">
        <v>824</v>
      </c>
      <c r="G680" t="s">
        <v>859</v>
      </c>
      <c r="H680">
        <v>2328</v>
      </c>
      <c r="I680" t="s">
        <v>832</v>
      </c>
      <c r="J680" t="s">
        <v>842</v>
      </c>
      <c r="K680" s="2">
        <v>45108</v>
      </c>
      <c r="L680">
        <v>2023</v>
      </c>
      <c r="M680">
        <v>9312</v>
      </c>
      <c r="N680" t="s">
        <v>868</v>
      </c>
    </row>
    <row r="681" spans="1:14" x14ac:dyDescent="0.3">
      <c r="A681" t="s">
        <v>1237</v>
      </c>
      <c r="B681" t="s">
        <v>399</v>
      </c>
      <c r="C681" t="s">
        <v>805</v>
      </c>
      <c r="D681" t="s">
        <v>810</v>
      </c>
      <c r="E681">
        <v>7</v>
      </c>
      <c r="F681" t="s">
        <v>824</v>
      </c>
      <c r="G681" t="s">
        <v>859</v>
      </c>
      <c r="H681">
        <v>4734</v>
      </c>
      <c r="I681" t="s">
        <v>833</v>
      </c>
      <c r="J681" t="s">
        <v>844</v>
      </c>
      <c r="K681" s="2">
        <v>45108</v>
      </c>
      <c r="L681">
        <v>2023</v>
      </c>
      <c r="M681">
        <v>33138</v>
      </c>
      <c r="N681" t="s">
        <v>852</v>
      </c>
    </row>
    <row r="682" spans="1:14" x14ac:dyDescent="0.3">
      <c r="A682" t="s">
        <v>1238</v>
      </c>
      <c r="B682" t="s">
        <v>400</v>
      </c>
      <c r="C682" t="s">
        <v>807</v>
      </c>
      <c r="D682" t="s">
        <v>816</v>
      </c>
      <c r="E682">
        <v>5</v>
      </c>
      <c r="F682" t="s">
        <v>826</v>
      </c>
      <c r="G682" t="s">
        <v>865</v>
      </c>
      <c r="H682">
        <v>1388</v>
      </c>
      <c r="I682" t="s">
        <v>832</v>
      </c>
      <c r="J682" t="s">
        <v>840</v>
      </c>
      <c r="K682" s="2">
        <v>45566</v>
      </c>
      <c r="L682">
        <v>2024</v>
      </c>
      <c r="M682">
        <v>6940</v>
      </c>
      <c r="N682" t="s">
        <v>852</v>
      </c>
    </row>
    <row r="683" spans="1:14" x14ac:dyDescent="0.3">
      <c r="A683" t="s">
        <v>1238</v>
      </c>
      <c r="B683" t="s">
        <v>400</v>
      </c>
      <c r="C683" t="s">
        <v>805</v>
      </c>
      <c r="D683" t="s">
        <v>812</v>
      </c>
      <c r="E683">
        <v>8</v>
      </c>
      <c r="F683" t="s">
        <v>826</v>
      </c>
      <c r="G683" t="s">
        <v>865</v>
      </c>
      <c r="H683">
        <v>8555</v>
      </c>
      <c r="I683" t="s">
        <v>835</v>
      </c>
      <c r="J683" t="s">
        <v>843</v>
      </c>
      <c r="K683" s="2">
        <v>45566</v>
      </c>
      <c r="L683">
        <v>2024</v>
      </c>
      <c r="M683">
        <v>68440</v>
      </c>
      <c r="N683" t="s">
        <v>852</v>
      </c>
    </row>
    <row r="684" spans="1:14" x14ac:dyDescent="0.3">
      <c r="A684" t="s">
        <v>1239</v>
      </c>
      <c r="B684" t="s">
        <v>401</v>
      </c>
      <c r="C684" t="s">
        <v>807</v>
      </c>
      <c r="D684" t="s">
        <v>813</v>
      </c>
      <c r="E684">
        <v>4</v>
      </c>
      <c r="F684" t="s">
        <v>828</v>
      </c>
      <c r="G684" t="s">
        <v>874</v>
      </c>
      <c r="H684">
        <v>9024</v>
      </c>
      <c r="I684" t="s">
        <v>835</v>
      </c>
      <c r="J684" t="s">
        <v>843</v>
      </c>
      <c r="K684" s="2">
        <v>45323</v>
      </c>
      <c r="L684">
        <v>2024</v>
      </c>
      <c r="M684">
        <v>36096</v>
      </c>
      <c r="N684" t="s">
        <v>868</v>
      </c>
    </row>
    <row r="685" spans="1:14" x14ac:dyDescent="0.3">
      <c r="A685" t="s">
        <v>1239</v>
      </c>
      <c r="B685" t="s">
        <v>401</v>
      </c>
      <c r="C685" t="s">
        <v>805</v>
      </c>
      <c r="D685" t="s">
        <v>812</v>
      </c>
      <c r="E685">
        <v>4</v>
      </c>
      <c r="F685" t="s">
        <v>828</v>
      </c>
      <c r="G685" t="s">
        <v>874</v>
      </c>
      <c r="H685">
        <v>2468</v>
      </c>
      <c r="I685" t="s">
        <v>835</v>
      </c>
      <c r="J685" t="s">
        <v>842</v>
      </c>
      <c r="K685" s="2">
        <v>45323</v>
      </c>
      <c r="L685">
        <v>2024</v>
      </c>
      <c r="M685">
        <v>9872</v>
      </c>
      <c r="N685" t="s">
        <v>868</v>
      </c>
    </row>
    <row r="686" spans="1:14" x14ac:dyDescent="0.3">
      <c r="A686" t="s">
        <v>1240</v>
      </c>
      <c r="B686" t="s">
        <v>402</v>
      </c>
      <c r="C686" t="s">
        <v>805</v>
      </c>
      <c r="D686" t="s">
        <v>809</v>
      </c>
      <c r="E686">
        <v>4</v>
      </c>
      <c r="F686" t="s">
        <v>824</v>
      </c>
      <c r="G686" t="s">
        <v>859</v>
      </c>
      <c r="H686">
        <v>9438</v>
      </c>
      <c r="I686" t="s">
        <v>836</v>
      </c>
      <c r="J686" t="s">
        <v>843</v>
      </c>
      <c r="K686" s="2">
        <v>45017</v>
      </c>
      <c r="L686">
        <v>2023</v>
      </c>
      <c r="M686">
        <v>37752</v>
      </c>
      <c r="N686" t="s">
        <v>868</v>
      </c>
    </row>
    <row r="687" spans="1:14" x14ac:dyDescent="0.3">
      <c r="A687" t="s">
        <v>1241</v>
      </c>
      <c r="B687" t="s">
        <v>403</v>
      </c>
      <c r="C687" t="s">
        <v>805</v>
      </c>
      <c r="D687" t="s">
        <v>809</v>
      </c>
      <c r="E687">
        <v>4</v>
      </c>
      <c r="F687" t="s">
        <v>828</v>
      </c>
      <c r="G687" t="s">
        <v>880</v>
      </c>
      <c r="H687">
        <v>9438</v>
      </c>
      <c r="I687" t="s">
        <v>836</v>
      </c>
      <c r="J687" t="s">
        <v>843</v>
      </c>
      <c r="K687" s="2">
        <v>45200</v>
      </c>
      <c r="L687">
        <v>2023</v>
      </c>
      <c r="M687">
        <v>37752</v>
      </c>
      <c r="N687" t="s">
        <v>868</v>
      </c>
    </row>
    <row r="688" spans="1:14" x14ac:dyDescent="0.3">
      <c r="A688" t="s">
        <v>1242</v>
      </c>
      <c r="B688" t="s">
        <v>404</v>
      </c>
      <c r="C688" t="s">
        <v>805</v>
      </c>
      <c r="D688" t="s">
        <v>819</v>
      </c>
      <c r="E688">
        <v>18</v>
      </c>
      <c r="F688" t="s">
        <v>829</v>
      </c>
      <c r="G688" t="s">
        <v>894</v>
      </c>
      <c r="H688">
        <v>2685</v>
      </c>
      <c r="I688" t="s">
        <v>832</v>
      </c>
      <c r="J688" t="s">
        <v>842</v>
      </c>
      <c r="K688" s="2">
        <v>44621</v>
      </c>
      <c r="L688">
        <v>2022</v>
      </c>
      <c r="M688">
        <v>48330</v>
      </c>
      <c r="N688" t="s">
        <v>863</v>
      </c>
    </row>
    <row r="689" spans="1:14" x14ac:dyDescent="0.3">
      <c r="A689" t="s">
        <v>1046</v>
      </c>
      <c r="B689" t="s">
        <v>405</v>
      </c>
      <c r="C689" t="s">
        <v>805</v>
      </c>
      <c r="D689" t="s">
        <v>819</v>
      </c>
      <c r="E689">
        <v>18</v>
      </c>
      <c r="F689" t="s">
        <v>824</v>
      </c>
      <c r="G689" t="s">
        <v>910</v>
      </c>
      <c r="H689">
        <v>2685</v>
      </c>
      <c r="I689" t="s">
        <v>832</v>
      </c>
      <c r="J689" t="s">
        <v>842</v>
      </c>
      <c r="K689" s="2">
        <v>44896</v>
      </c>
      <c r="L689">
        <v>2022</v>
      </c>
      <c r="M689">
        <v>48330</v>
      </c>
      <c r="N689" t="s">
        <v>863</v>
      </c>
    </row>
    <row r="690" spans="1:14" x14ac:dyDescent="0.3">
      <c r="A690" t="s">
        <v>1242</v>
      </c>
      <c r="B690" t="s">
        <v>404</v>
      </c>
      <c r="C690" t="s">
        <v>807</v>
      </c>
      <c r="D690" t="s">
        <v>814</v>
      </c>
      <c r="E690">
        <v>14</v>
      </c>
      <c r="F690" t="s">
        <v>829</v>
      </c>
      <c r="G690" t="s">
        <v>894</v>
      </c>
      <c r="H690">
        <v>9916</v>
      </c>
      <c r="I690" t="s">
        <v>832</v>
      </c>
      <c r="J690" t="s">
        <v>843</v>
      </c>
      <c r="K690" s="2">
        <v>44621</v>
      </c>
      <c r="L690">
        <v>2022</v>
      </c>
      <c r="M690">
        <v>138824</v>
      </c>
      <c r="N690" t="s">
        <v>857</v>
      </c>
    </row>
    <row r="691" spans="1:14" x14ac:dyDescent="0.3">
      <c r="A691" t="s">
        <v>1046</v>
      </c>
      <c r="B691" t="s">
        <v>405</v>
      </c>
      <c r="C691" t="s">
        <v>807</v>
      </c>
      <c r="D691" t="s">
        <v>814</v>
      </c>
      <c r="E691">
        <v>14</v>
      </c>
      <c r="F691" t="s">
        <v>824</v>
      </c>
      <c r="G691" t="s">
        <v>910</v>
      </c>
      <c r="H691">
        <v>9916</v>
      </c>
      <c r="I691" t="s">
        <v>832</v>
      </c>
      <c r="J691" t="s">
        <v>843</v>
      </c>
      <c r="K691" s="2">
        <v>44896</v>
      </c>
      <c r="L691">
        <v>2022</v>
      </c>
      <c r="M691">
        <v>138824</v>
      </c>
      <c r="N691" t="s">
        <v>857</v>
      </c>
    </row>
    <row r="692" spans="1:14" x14ac:dyDescent="0.3">
      <c r="A692" t="s">
        <v>1242</v>
      </c>
      <c r="B692" t="s">
        <v>404</v>
      </c>
      <c r="C692" t="s">
        <v>805</v>
      </c>
      <c r="D692" t="s">
        <v>809</v>
      </c>
      <c r="E692">
        <v>14</v>
      </c>
      <c r="F692" t="s">
        <v>829</v>
      </c>
      <c r="G692" t="s">
        <v>894</v>
      </c>
      <c r="H692">
        <v>6184</v>
      </c>
      <c r="I692" t="s">
        <v>835</v>
      </c>
      <c r="J692" t="s">
        <v>841</v>
      </c>
      <c r="K692" s="2">
        <v>44621</v>
      </c>
      <c r="L692">
        <v>2022</v>
      </c>
      <c r="M692">
        <v>86576</v>
      </c>
      <c r="N692" t="s">
        <v>857</v>
      </c>
    </row>
    <row r="693" spans="1:14" x14ac:dyDescent="0.3">
      <c r="A693" t="s">
        <v>1046</v>
      </c>
      <c r="B693" t="s">
        <v>405</v>
      </c>
      <c r="C693" t="s">
        <v>805</v>
      </c>
      <c r="D693" t="s">
        <v>809</v>
      </c>
      <c r="E693">
        <v>14</v>
      </c>
      <c r="F693" t="s">
        <v>824</v>
      </c>
      <c r="G693" t="s">
        <v>910</v>
      </c>
      <c r="H693">
        <v>6184</v>
      </c>
      <c r="I693" t="s">
        <v>835</v>
      </c>
      <c r="J693" t="s">
        <v>841</v>
      </c>
      <c r="K693" s="2">
        <v>44896</v>
      </c>
      <c r="L693">
        <v>2022</v>
      </c>
      <c r="M693">
        <v>86576</v>
      </c>
      <c r="N693" t="s">
        <v>857</v>
      </c>
    </row>
    <row r="694" spans="1:14" x14ac:dyDescent="0.3">
      <c r="A694" t="s">
        <v>1242</v>
      </c>
      <c r="B694" t="s">
        <v>404</v>
      </c>
      <c r="C694" t="s">
        <v>806</v>
      </c>
      <c r="D694" t="s">
        <v>815</v>
      </c>
      <c r="E694">
        <v>8</v>
      </c>
      <c r="F694" t="s">
        <v>829</v>
      </c>
      <c r="G694" t="s">
        <v>894</v>
      </c>
      <c r="H694">
        <v>4548</v>
      </c>
      <c r="I694" t="s">
        <v>833</v>
      </c>
      <c r="J694" t="s">
        <v>844</v>
      </c>
      <c r="K694" s="2">
        <v>44621</v>
      </c>
      <c r="L694">
        <v>2022</v>
      </c>
      <c r="M694">
        <v>36384</v>
      </c>
      <c r="N694" t="s">
        <v>852</v>
      </c>
    </row>
    <row r="695" spans="1:14" x14ac:dyDescent="0.3">
      <c r="A695" t="s">
        <v>1046</v>
      </c>
      <c r="B695" t="s">
        <v>405</v>
      </c>
      <c r="C695" t="s">
        <v>806</v>
      </c>
      <c r="D695" t="s">
        <v>815</v>
      </c>
      <c r="E695">
        <v>8</v>
      </c>
      <c r="F695" t="s">
        <v>824</v>
      </c>
      <c r="G695" t="s">
        <v>910</v>
      </c>
      <c r="H695">
        <v>4548</v>
      </c>
      <c r="I695" t="s">
        <v>833</v>
      </c>
      <c r="J695" t="s">
        <v>844</v>
      </c>
      <c r="K695" s="2">
        <v>44896</v>
      </c>
      <c r="L695">
        <v>2022</v>
      </c>
      <c r="M695">
        <v>36384</v>
      </c>
      <c r="N695" t="s">
        <v>852</v>
      </c>
    </row>
    <row r="696" spans="1:14" x14ac:dyDescent="0.3">
      <c r="A696" t="s">
        <v>1243</v>
      </c>
      <c r="B696" t="s">
        <v>406</v>
      </c>
      <c r="C696" t="s">
        <v>806</v>
      </c>
      <c r="D696" t="s">
        <v>815</v>
      </c>
      <c r="E696">
        <v>7</v>
      </c>
      <c r="F696" t="s">
        <v>826</v>
      </c>
      <c r="G696" t="s">
        <v>872</v>
      </c>
      <c r="H696">
        <v>7195</v>
      </c>
      <c r="I696" t="s">
        <v>836</v>
      </c>
      <c r="J696" t="s">
        <v>841</v>
      </c>
      <c r="K696" s="2">
        <v>45474</v>
      </c>
      <c r="L696">
        <v>2024</v>
      </c>
      <c r="M696">
        <v>50365</v>
      </c>
      <c r="N696" t="s">
        <v>852</v>
      </c>
    </row>
    <row r="697" spans="1:14" x14ac:dyDescent="0.3">
      <c r="A697" t="s">
        <v>1244</v>
      </c>
      <c r="B697" t="s">
        <v>407</v>
      </c>
      <c r="C697" t="s">
        <v>806</v>
      </c>
      <c r="D697" t="s">
        <v>815</v>
      </c>
      <c r="E697">
        <v>7</v>
      </c>
      <c r="F697" t="s">
        <v>826</v>
      </c>
      <c r="G697" t="s">
        <v>856</v>
      </c>
      <c r="H697">
        <v>7195</v>
      </c>
      <c r="I697" t="s">
        <v>836</v>
      </c>
      <c r="J697" t="s">
        <v>841</v>
      </c>
      <c r="K697" s="2">
        <v>44743</v>
      </c>
      <c r="L697">
        <v>2022</v>
      </c>
      <c r="M697">
        <v>50365</v>
      </c>
      <c r="N697" t="s">
        <v>852</v>
      </c>
    </row>
    <row r="698" spans="1:14" x14ac:dyDescent="0.3">
      <c r="A698" t="s">
        <v>1245</v>
      </c>
      <c r="B698" t="s">
        <v>408</v>
      </c>
      <c r="C698" t="s">
        <v>807</v>
      </c>
      <c r="D698" t="s">
        <v>820</v>
      </c>
      <c r="E698">
        <v>18</v>
      </c>
      <c r="F698" t="s">
        <v>828</v>
      </c>
      <c r="G698" t="s">
        <v>880</v>
      </c>
      <c r="H698">
        <v>3098</v>
      </c>
      <c r="I698" t="s">
        <v>836</v>
      </c>
      <c r="J698" t="s">
        <v>842</v>
      </c>
      <c r="K698" s="2">
        <v>45474</v>
      </c>
      <c r="L698">
        <v>2024</v>
      </c>
      <c r="M698">
        <v>55764</v>
      </c>
      <c r="N698" t="s">
        <v>863</v>
      </c>
    </row>
    <row r="699" spans="1:14" x14ac:dyDescent="0.3">
      <c r="A699" t="s">
        <v>1246</v>
      </c>
      <c r="B699" t="s">
        <v>409</v>
      </c>
      <c r="C699" t="s">
        <v>807</v>
      </c>
      <c r="D699" t="s">
        <v>813</v>
      </c>
      <c r="E699">
        <v>18</v>
      </c>
      <c r="F699" t="s">
        <v>827</v>
      </c>
      <c r="G699" t="s">
        <v>876</v>
      </c>
      <c r="H699">
        <v>5412</v>
      </c>
      <c r="I699" t="s">
        <v>835</v>
      </c>
      <c r="J699" t="s">
        <v>844</v>
      </c>
      <c r="K699" s="2">
        <v>45323</v>
      </c>
      <c r="L699">
        <v>2024</v>
      </c>
      <c r="M699">
        <v>97416</v>
      </c>
      <c r="N699" t="s">
        <v>863</v>
      </c>
    </row>
    <row r="700" spans="1:14" x14ac:dyDescent="0.3">
      <c r="A700" t="s">
        <v>1247</v>
      </c>
      <c r="B700" t="s">
        <v>410</v>
      </c>
      <c r="C700" t="s">
        <v>807</v>
      </c>
      <c r="D700" t="s">
        <v>813</v>
      </c>
      <c r="E700">
        <v>18</v>
      </c>
      <c r="F700" t="s">
        <v>827</v>
      </c>
      <c r="G700" t="s">
        <v>862</v>
      </c>
      <c r="H700">
        <v>5412</v>
      </c>
      <c r="I700" t="s">
        <v>835</v>
      </c>
      <c r="J700" t="s">
        <v>844</v>
      </c>
      <c r="K700" s="2">
        <v>45658</v>
      </c>
      <c r="L700">
        <v>2025</v>
      </c>
      <c r="M700">
        <v>97416</v>
      </c>
      <c r="N700" t="s">
        <v>863</v>
      </c>
    </row>
    <row r="701" spans="1:14" x14ac:dyDescent="0.3">
      <c r="A701" t="s">
        <v>1248</v>
      </c>
      <c r="B701" t="s">
        <v>411</v>
      </c>
      <c r="C701" t="s">
        <v>807</v>
      </c>
      <c r="D701" t="s">
        <v>814</v>
      </c>
      <c r="E701">
        <v>11</v>
      </c>
      <c r="F701" t="s">
        <v>826</v>
      </c>
      <c r="G701" t="s">
        <v>865</v>
      </c>
      <c r="H701">
        <v>1397</v>
      </c>
      <c r="I701" t="s">
        <v>835</v>
      </c>
      <c r="J701" t="s">
        <v>840</v>
      </c>
      <c r="K701" s="2">
        <v>44531</v>
      </c>
      <c r="L701">
        <v>2021</v>
      </c>
      <c r="M701">
        <v>15367</v>
      </c>
      <c r="N701" t="s">
        <v>857</v>
      </c>
    </row>
    <row r="702" spans="1:14" x14ac:dyDescent="0.3">
      <c r="A702" t="s">
        <v>1249</v>
      </c>
      <c r="B702" t="s">
        <v>412</v>
      </c>
      <c r="C702" t="s">
        <v>807</v>
      </c>
      <c r="D702" t="s">
        <v>814</v>
      </c>
      <c r="E702">
        <v>14</v>
      </c>
      <c r="F702" t="s">
        <v>826</v>
      </c>
      <c r="G702" t="s">
        <v>856</v>
      </c>
      <c r="H702">
        <v>9279</v>
      </c>
      <c r="I702" t="s">
        <v>834</v>
      </c>
      <c r="J702" t="s">
        <v>843</v>
      </c>
      <c r="K702" s="2">
        <v>44531</v>
      </c>
      <c r="L702">
        <v>2021</v>
      </c>
      <c r="M702">
        <v>129906</v>
      </c>
      <c r="N702" t="s">
        <v>857</v>
      </c>
    </row>
    <row r="703" spans="1:14" x14ac:dyDescent="0.3">
      <c r="A703" t="s">
        <v>1250</v>
      </c>
      <c r="B703" t="s">
        <v>413</v>
      </c>
      <c r="C703" t="s">
        <v>807</v>
      </c>
      <c r="D703" t="s">
        <v>814</v>
      </c>
      <c r="E703">
        <v>14</v>
      </c>
      <c r="F703" t="s">
        <v>827</v>
      </c>
      <c r="G703" t="s">
        <v>883</v>
      </c>
      <c r="H703">
        <v>9279</v>
      </c>
      <c r="I703" t="s">
        <v>834</v>
      </c>
      <c r="J703" t="s">
        <v>843</v>
      </c>
      <c r="K703" s="2">
        <v>44136</v>
      </c>
      <c r="L703">
        <v>2020</v>
      </c>
      <c r="M703">
        <v>129906</v>
      </c>
      <c r="N703" t="s">
        <v>857</v>
      </c>
    </row>
    <row r="704" spans="1:14" x14ac:dyDescent="0.3">
      <c r="A704" t="s">
        <v>1249</v>
      </c>
      <c r="B704" t="s">
        <v>412</v>
      </c>
      <c r="C704" t="s">
        <v>806</v>
      </c>
      <c r="D704" t="s">
        <v>817</v>
      </c>
      <c r="E704">
        <v>19</v>
      </c>
      <c r="F704" t="s">
        <v>826</v>
      </c>
      <c r="G704" t="s">
        <v>856</v>
      </c>
      <c r="H704">
        <v>2596</v>
      </c>
      <c r="I704" t="s">
        <v>835</v>
      </c>
      <c r="J704" t="s">
        <v>842</v>
      </c>
      <c r="K704" s="2">
        <v>44531</v>
      </c>
      <c r="L704">
        <v>2021</v>
      </c>
      <c r="M704">
        <v>49324</v>
      </c>
      <c r="N704" t="s">
        <v>863</v>
      </c>
    </row>
    <row r="705" spans="1:14" x14ac:dyDescent="0.3">
      <c r="A705" t="s">
        <v>1250</v>
      </c>
      <c r="B705" t="s">
        <v>413</v>
      </c>
      <c r="C705" t="s">
        <v>806</v>
      </c>
      <c r="D705" t="s">
        <v>817</v>
      </c>
      <c r="E705">
        <v>19</v>
      </c>
      <c r="F705" t="s">
        <v>827</v>
      </c>
      <c r="G705" t="s">
        <v>883</v>
      </c>
      <c r="H705">
        <v>2596</v>
      </c>
      <c r="I705" t="s">
        <v>835</v>
      </c>
      <c r="J705" t="s">
        <v>842</v>
      </c>
      <c r="K705" s="2">
        <v>44136</v>
      </c>
      <c r="L705">
        <v>2020</v>
      </c>
      <c r="M705">
        <v>49324</v>
      </c>
      <c r="N705" t="s">
        <v>863</v>
      </c>
    </row>
    <row r="706" spans="1:14" x14ac:dyDescent="0.3">
      <c r="A706" t="s">
        <v>1251</v>
      </c>
      <c r="B706" t="s">
        <v>414</v>
      </c>
      <c r="C706" t="s">
        <v>807</v>
      </c>
      <c r="D706" t="s">
        <v>820</v>
      </c>
      <c r="E706">
        <v>19</v>
      </c>
      <c r="F706" t="s">
        <v>826</v>
      </c>
      <c r="G706" t="s">
        <v>856</v>
      </c>
      <c r="H706">
        <v>6732</v>
      </c>
      <c r="I706" t="s">
        <v>834</v>
      </c>
      <c r="J706" t="s">
        <v>841</v>
      </c>
      <c r="K706" s="2">
        <v>44531</v>
      </c>
      <c r="L706">
        <v>2021</v>
      </c>
      <c r="M706">
        <v>127908</v>
      </c>
      <c r="N706" t="s">
        <v>863</v>
      </c>
    </row>
    <row r="707" spans="1:14" x14ac:dyDescent="0.3">
      <c r="A707" t="s">
        <v>1251</v>
      </c>
      <c r="B707" t="s">
        <v>414</v>
      </c>
      <c r="C707" t="s">
        <v>806</v>
      </c>
      <c r="D707" t="s">
        <v>811</v>
      </c>
      <c r="E707">
        <v>14</v>
      </c>
      <c r="F707" t="s">
        <v>826</v>
      </c>
      <c r="G707" t="s">
        <v>856</v>
      </c>
      <c r="H707">
        <v>4495</v>
      </c>
      <c r="I707" t="s">
        <v>834</v>
      </c>
      <c r="J707" t="s">
        <v>844</v>
      </c>
      <c r="K707" s="2">
        <v>44531</v>
      </c>
      <c r="L707">
        <v>2021</v>
      </c>
      <c r="M707">
        <v>62930</v>
      </c>
      <c r="N707" t="s">
        <v>857</v>
      </c>
    </row>
    <row r="708" spans="1:14" x14ac:dyDescent="0.3">
      <c r="A708" t="s">
        <v>1252</v>
      </c>
      <c r="B708" t="s">
        <v>415</v>
      </c>
      <c r="C708" t="s">
        <v>806</v>
      </c>
      <c r="D708" t="s">
        <v>817</v>
      </c>
      <c r="E708">
        <v>6</v>
      </c>
      <c r="F708" t="s">
        <v>826</v>
      </c>
      <c r="G708" t="s">
        <v>856</v>
      </c>
      <c r="H708">
        <v>9653</v>
      </c>
      <c r="I708" t="s">
        <v>832</v>
      </c>
      <c r="J708" t="s">
        <v>843</v>
      </c>
      <c r="K708" s="2">
        <v>45474</v>
      </c>
      <c r="L708">
        <v>2024</v>
      </c>
      <c r="M708">
        <v>57918</v>
      </c>
      <c r="N708" t="s">
        <v>852</v>
      </c>
    </row>
    <row r="709" spans="1:14" x14ac:dyDescent="0.3">
      <c r="A709" t="s">
        <v>1253</v>
      </c>
      <c r="B709" t="s">
        <v>416</v>
      </c>
      <c r="C709" t="s">
        <v>807</v>
      </c>
      <c r="D709" t="s">
        <v>813</v>
      </c>
      <c r="E709">
        <v>10</v>
      </c>
      <c r="F709" t="s">
        <v>825</v>
      </c>
      <c r="G709" t="s">
        <v>921</v>
      </c>
      <c r="H709">
        <v>8945</v>
      </c>
      <c r="I709" t="s">
        <v>832</v>
      </c>
      <c r="J709" t="s">
        <v>843</v>
      </c>
      <c r="K709" s="2">
        <v>44228</v>
      </c>
      <c r="L709">
        <v>2021</v>
      </c>
      <c r="M709">
        <v>89450</v>
      </c>
      <c r="N709" t="s">
        <v>857</v>
      </c>
    </row>
    <row r="710" spans="1:14" x14ac:dyDescent="0.3">
      <c r="A710" t="s">
        <v>1171</v>
      </c>
      <c r="B710" t="s">
        <v>417</v>
      </c>
      <c r="C710" t="s">
        <v>807</v>
      </c>
      <c r="D710" t="s">
        <v>820</v>
      </c>
      <c r="E710">
        <v>13</v>
      </c>
      <c r="F710" t="s">
        <v>829</v>
      </c>
      <c r="G710" t="s">
        <v>886</v>
      </c>
      <c r="H710">
        <v>4007</v>
      </c>
      <c r="I710" t="s">
        <v>836</v>
      </c>
      <c r="J710" t="s">
        <v>844</v>
      </c>
      <c r="K710" s="2">
        <v>44105</v>
      </c>
      <c r="L710">
        <v>2020</v>
      </c>
      <c r="M710">
        <v>52091</v>
      </c>
      <c r="N710" t="s">
        <v>857</v>
      </c>
    </row>
    <row r="711" spans="1:14" x14ac:dyDescent="0.3">
      <c r="A711" t="s">
        <v>975</v>
      </c>
      <c r="B711" t="s">
        <v>418</v>
      </c>
      <c r="C711" t="s">
        <v>807</v>
      </c>
      <c r="D711" t="s">
        <v>820</v>
      </c>
      <c r="E711">
        <v>13</v>
      </c>
      <c r="F711" t="s">
        <v>828</v>
      </c>
      <c r="G711" t="s">
        <v>874</v>
      </c>
      <c r="H711">
        <v>4007</v>
      </c>
      <c r="I711" t="s">
        <v>836</v>
      </c>
      <c r="J711" t="s">
        <v>844</v>
      </c>
      <c r="K711" s="2">
        <v>45017</v>
      </c>
      <c r="L711">
        <v>2023</v>
      </c>
      <c r="M711">
        <v>52091</v>
      </c>
      <c r="N711" t="s">
        <v>857</v>
      </c>
    </row>
    <row r="712" spans="1:14" x14ac:dyDescent="0.3">
      <c r="A712" t="s">
        <v>1171</v>
      </c>
      <c r="B712" t="s">
        <v>419</v>
      </c>
      <c r="C712" t="s">
        <v>807</v>
      </c>
      <c r="D712" t="s">
        <v>820</v>
      </c>
      <c r="E712">
        <v>18</v>
      </c>
      <c r="F712" t="s">
        <v>824</v>
      </c>
      <c r="G712" t="s">
        <v>910</v>
      </c>
      <c r="H712">
        <v>810</v>
      </c>
      <c r="I712" t="s">
        <v>834</v>
      </c>
      <c r="J712" t="s">
        <v>840</v>
      </c>
      <c r="K712" s="2">
        <v>44105</v>
      </c>
      <c r="L712">
        <v>2020</v>
      </c>
      <c r="M712">
        <v>14580</v>
      </c>
      <c r="N712" t="s">
        <v>863</v>
      </c>
    </row>
    <row r="713" spans="1:14" x14ac:dyDescent="0.3">
      <c r="A713" t="s">
        <v>1254</v>
      </c>
      <c r="B713" t="s">
        <v>420</v>
      </c>
      <c r="C713" t="s">
        <v>807</v>
      </c>
      <c r="D713" t="s">
        <v>820</v>
      </c>
      <c r="E713">
        <v>18</v>
      </c>
      <c r="F713" t="s">
        <v>826</v>
      </c>
      <c r="G713" t="s">
        <v>872</v>
      </c>
      <c r="H713">
        <v>9789</v>
      </c>
      <c r="I713" t="s">
        <v>833</v>
      </c>
      <c r="J713" t="s">
        <v>843</v>
      </c>
      <c r="K713" s="2">
        <v>45261</v>
      </c>
      <c r="L713">
        <v>2023</v>
      </c>
      <c r="M713">
        <v>176202</v>
      </c>
      <c r="N713" t="s">
        <v>863</v>
      </c>
    </row>
    <row r="714" spans="1:14" x14ac:dyDescent="0.3">
      <c r="A714" t="s">
        <v>1254</v>
      </c>
      <c r="B714" t="s">
        <v>420</v>
      </c>
      <c r="C714" t="s">
        <v>805</v>
      </c>
      <c r="D714" t="s">
        <v>809</v>
      </c>
      <c r="E714">
        <v>8</v>
      </c>
      <c r="F714" t="s">
        <v>826</v>
      </c>
      <c r="G714" t="s">
        <v>872</v>
      </c>
      <c r="H714">
        <v>9229</v>
      </c>
      <c r="I714" t="s">
        <v>836</v>
      </c>
      <c r="J714" t="s">
        <v>843</v>
      </c>
      <c r="K714" s="2">
        <v>45261</v>
      </c>
      <c r="L714">
        <v>2023</v>
      </c>
      <c r="M714">
        <v>73832</v>
      </c>
      <c r="N714" t="s">
        <v>852</v>
      </c>
    </row>
    <row r="715" spans="1:14" x14ac:dyDescent="0.3">
      <c r="A715" t="s">
        <v>928</v>
      </c>
      <c r="B715" t="s">
        <v>421</v>
      </c>
      <c r="C715" t="s">
        <v>806</v>
      </c>
      <c r="D715" t="s">
        <v>815</v>
      </c>
      <c r="E715">
        <v>18</v>
      </c>
      <c r="F715" t="s">
        <v>826</v>
      </c>
      <c r="G715" t="s">
        <v>872</v>
      </c>
      <c r="H715">
        <v>8141</v>
      </c>
      <c r="I715" t="s">
        <v>833</v>
      </c>
      <c r="J715" t="s">
        <v>843</v>
      </c>
      <c r="K715" s="2">
        <v>44896</v>
      </c>
      <c r="L715">
        <v>2022</v>
      </c>
      <c r="M715">
        <v>146538</v>
      </c>
      <c r="N715" t="s">
        <v>863</v>
      </c>
    </row>
    <row r="716" spans="1:14" x14ac:dyDescent="0.3">
      <c r="A716" t="s">
        <v>1255</v>
      </c>
      <c r="B716" t="s">
        <v>422</v>
      </c>
      <c r="C716" t="s">
        <v>806</v>
      </c>
      <c r="D716" t="s">
        <v>815</v>
      </c>
      <c r="E716">
        <v>18</v>
      </c>
      <c r="F716" t="s">
        <v>825</v>
      </c>
      <c r="G716" t="s">
        <v>921</v>
      </c>
      <c r="H716">
        <v>8141</v>
      </c>
      <c r="I716" t="s">
        <v>833</v>
      </c>
      <c r="J716" t="s">
        <v>843</v>
      </c>
      <c r="K716" s="2">
        <v>44774</v>
      </c>
      <c r="L716">
        <v>2022</v>
      </c>
      <c r="M716">
        <v>146538</v>
      </c>
      <c r="N716" t="s">
        <v>863</v>
      </c>
    </row>
    <row r="717" spans="1:14" x14ac:dyDescent="0.3">
      <c r="A717" t="s">
        <v>928</v>
      </c>
      <c r="B717" t="s">
        <v>421</v>
      </c>
      <c r="C717" t="s">
        <v>807</v>
      </c>
      <c r="D717" t="s">
        <v>816</v>
      </c>
      <c r="E717">
        <v>14</v>
      </c>
      <c r="F717" t="s">
        <v>826</v>
      </c>
      <c r="G717" t="s">
        <v>872</v>
      </c>
      <c r="H717">
        <v>1067</v>
      </c>
      <c r="I717" t="s">
        <v>834</v>
      </c>
      <c r="J717" t="s">
        <v>840</v>
      </c>
      <c r="K717" s="2">
        <v>44896</v>
      </c>
      <c r="L717">
        <v>2022</v>
      </c>
      <c r="M717">
        <v>14938</v>
      </c>
      <c r="N717" t="s">
        <v>857</v>
      </c>
    </row>
    <row r="718" spans="1:14" x14ac:dyDescent="0.3">
      <c r="A718" t="s">
        <v>1255</v>
      </c>
      <c r="B718" t="s">
        <v>422</v>
      </c>
      <c r="C718" t="s">
        <v>807</v>
      </c>
      <c r="D718" t="s">
        <v>816</v>
      </c>
      <c r="E718">
        <v>14</v>
      </c>
      <c r="F718" t="s">
        <v>825</v>
      </c>
      <c r="G718" t="s">
        <v>921</v>
      </c>
      <c r="H718">
        <v>1067</v>
      </c>
      <c r="I718" t="s">
        <v>834</v>
      </c>
      <c r="J718" t="s">
        <v>840</v>
      </c>
      <c r="K718" s="2">
        <v>44774</v>
      </c>
      <c r="L718">
        <v>2022</v>
      </c>
      <c r="M718">
        <v>14938</v>
      </c>
      <c r="N718" t="s">
        <v>857</v>
      </c>
    </row>
    <row r="719" spans="1:14" x14ac:dyDescent="0.3">
      <c r="A719" t="s">
        <v>1256</v>
      </c>
      <c r="B719" t="s">
        <v>423</v>
      </c>
      <c r="C719" t="s">
        <v>806</v>
      </c>
      <c r="D719" t="s">
        <v>818</v>
      </c>
      <c r="E719">
        <v>10</v>
      </c>
      <c r="F719" t="s">
        <v>827</v>
      </c>
      <c r="G719" t="s">
        <v>862</v>
      </c>
      <c r="H719">
        <v>3839</v>
      </c>
      <c r="I719" t="s">
        <v>832</v>
      </c>
      <c r="J719" t="s">
        <v>842</v>
      </c>
      <c r="K719" s="2">
        <v>45200</v>
      </c>
      <c r="L719">
        <v>2023</v>
      </c>
      <c r="M719">
        <v>38390</v>
      </c>
      <c r="N719" t="s">
        <v>857</v>
      </c>
    </row>
    <row r="720" spans="1:14" x14ac:dyDescent="0.3">
      <c r="A720" t="s">
        <v>1232</v>
      </c>
      <c r="B720" t="s">
        <v>424</v>
      </c>
      <c r="C720" t="s">
        <v>806</v>
      </c>
      <c r="D720" t="s">
        <v>818</v>
      </c>
      <c r="E720">
        <v>10</v>
      </c>
      <c r="F720" t="s">
        <v>824</v>
      </c>
      <c r="G720" t="s">
        <v>859</v>
      </c>
      <c r="H720">
        <v>3839</v>
      </c>
      <c r="I720" t="s">
        <v>832</v>
      </c>
      <c r="J720" t="s">
        <v>842</v>
      </c>
      <c r="K720" s="2">
        <v>44593</v>
      </c>
      <c r="L720">
        <v>2022</v>
      </c>
      <c r="M720">
        <v>38390</v>
      </c>
      <c r="N720" t="s">
        <v>857</v>
      </c>
    </row>
    <row r="721" spans="1:14" x14ac:dyDescent="0.3">
      <c r="A721" t="s">
        <v>1257</v>
      </c>
      <c r="B721" t="s">
        <v>425</v>
      </c>
      <c r="C721" t="s">
        <v>805</v>
      </c>
      <c r="D721" t="s">
        <v>809</v>
      </c>
      <c r="E721">
        <v>13</v>
      </c>
      <c r="F721" t="s">
        <v>828</v>
      </c>
      <c r="G721" t="s">
        <v>880</v>
      </c>
      <c r="H721">
        <v>2858</v>
      </c>
      <c r="I721" t="s">
        <v>836</v>
      </c>
      <c r="J721" t="s">
        <v>842</v>
      </c>
      <c r="K721" s="2">
        <v>45413</v>
      </c>
      <c r="L721">
        <v>2024</v>
      </c>
      <c r="M721">
        <v>37154</v>
      </c>
      <c r="N721" t="s">
        <v>857</v>
      </c>
    </row>
    <row r="722" spans="1:14" x14ac:dyDescent="0.3">
      <c r="A722" t="s">
        <v>1090</v>
      </c>
      <c r="B722" t="s">
        <v>426</v>
      </c>
      <c r="C722" t="s">
        <v>807</v>
      </c>
      <c r="D722" t="s">
        <v>820</v>
      </c>
      <c r="E722">
        <v>12</v>
      </c>
      <c r="F722" t="s">
        <v>826</v>
      </c>
      <c r="G722" t="s">
        <v>865</v>
      </c>
      <c r="H722">
        <v>2137</v>
      </c>
      <c r="I722" t="s">
        <v>833</v>
      </c>
      <c r="J722" t="s">
        <v>842</v>
      </c>
      <c r="K722" s="2">
        <v>44105</v>
      </c>
      <c r="L722">
        <v>2020</v>
      </c>
      <c r="M722">
        <v>25644</v>
      </c>
      <c r="N722" t="s">
        <v>857</v>
      </c>
    </row>
    <row r="723" spans="1:14" x14ac:dyDescent="0.3">
      <c r="A723" t="s">
        <v>1090</v>
      </c>
      <c r="B723" t="s">
        <v>426</v>
      </c>
      <c r="C723" t="s">
        <v>807</v>
      </c>
      <c r="D723" t="s">
        <v>814</v>
      </c>
      <c r="E723">
        <v>12</v>
      </c>
      <c r="F723" t="s">
        <v>826</v>
      </c>
      <c r="G723" t="s">
        <v>865</v>
      </c>
      <c r="H723">
        <v>2831</v>
      </c>
      <c r="I723" t="s">
        <v>833</v>
      </c>
      <c r="J723" t="s">
        <v>842</v>
      </c>
      <c r="K723" s="2">
        <v>44105</v>
      </c>
      <c r="L723">
        <v>2020</v>
      </c>
      <c r="M723">
        <v>33972</v>
      </c>
      <c r="N723" t="s">
        <v>857</v>
      </c>
    </row>
    <row r="724" spans="1:14" x14ac:dyDescent="0.3">
      <c r="A724" t="s">
        <v>1258</v>
      </c>
      <c r="B724" t="s">
        <v>427</v>
      </c>
      <c r="C724" t="s">
        <v>807</v>
      </c>
      <c r="D724" t="s">
        <v>816</v>
      </c>
      <c r="E724">
        <v>15</v>
      </c>
      <c r="F724" t="s">
        <v>829</v>
      </c>
      <c r="G724" t="s">
        <v>886</v>
      </c>
      <c r="H724">
        <v>3913</v>
      </c>
      <c r="I724" t="s">
        <v>832</v>
      </c>
      <c r="J724" t="s">
        <v>842</v>
      </c>
      <c r="K724" s="2">
        <v>45323</v>
      </c>
      <c r="L724">
        <v>2024</v>
      </c>
      <c r="M724">
        <v>58695</v>
      </c>
      <c r="N724" t="s">
        <v>863</v>
      </c>
    </row>
    <row r="725" spans="1:14" x14ac:dyDescent="0.3">
      <c r="A725" t="s">
        <v>1259</v>
      </c>
      <c r="B725" t="s">
        <v>428</v>
      </c>
      <c r="C725" t="s">
        <v>807</v>
      </c>
      <c r="D725" t="s">
        <v>816</v>
      </c>
      <c r="E725">
        <v>15</v>
      </c>
      <c r="F725" t="s">
        <v>827</v>
      </c>
      <c r="G725" t="s">
        <v>883</v>
      </c>
      <c r="H725">
        <v>3913</v>
      </c>
      <c r="I725" t="s">
        <v>832</v>
      </c>
      <c r="J725" t="s">
        <v>842</v>
      </c>
      <c r="K725" s="2">
        <v>44228</v>
      </c>
      <c r="L725">
        <v>2021</v>
      </c>
      <c r="M725">
        <v>58695</v>
      </c>
      <c r="N725" t="s">
        <v>863</v>
      </c>
    </row>
    <row r="726" spans="1:14" x14ac:dyDescent="0.3">
      <c r="A726" t="s">
        <v>1260</v>
      </c>
      <c r="B726" t="s">
        <v>429</v>
      </c>
      <c r="C726" t="s">
        <v>806</v>
      </c>
      <c r="D726" t="s">
        <v>817</v>
      </c>
      <c r="E726">
        <v>9</v>
      </c>
      <c r="F726" t="s">
        <v>824</v>
      </c>
      <c r="G726" t="s">
        <v>910</v>
      </c>
      <c r="H726">
        <v>4468</v>
      </c>
      <c r="I726" t="s">
        <v>836</v>
      </c>
      <c r="J726" t="s">
        <v>844</v>
      </c>
      <c r="K726" s="2">
        <v>44621</v>
      </c>
      <c r="L726">
        <v>2022</v>
      </c>
      <c r="M726">
        <v>40212</v>
      </c>
      <c r="N726" t="s">
        <v>852</v>
      </c>
    </row>
    <row r="727" spans="1:14" x14ac:dyDescent="0.3">
      <c r="A727" t="s">
        <v>1261</v>
      </c>
      <c r="B727" t="s">
        <v>430</v>
      </c>
      <c r="C727" t="s">
        <v>805</v>
      </c>
      <c r="D727" t="s">
        <v>812</v>
      </c>
      <c r="E727">
        <v>9</v>
      </c>
      <c r="F727" t="s">
        <v>829</v>
      </c>
      <c r="G727" t="s">
        <v>890</v>
      </c>
      <c r="H727">
        <v>1579</v>
      </c>
      <c r="I727" t="s">
        <v>835</v>
      </c>
      <c r="J727" t="s">
        <v>840</v>
      </c>
      <c r="K727" s="2">
        <v>43952</v>
      </c>
      <c r="L727">
        <v>2020</v>
      </c>
      <c r="M727">
        <v>14211</v>
      </c>
      <c r="N727" t="s">
        <v>852</v>
      </c>
    </row>
    <row r="728" spans="1:14" x14ac:dyDescent="0.3">
      <c r="A728" t="s">
        <v>1262</v>
      </c>
      <c r="B728" t="s">
        <v>431</v>
      </c>
      <c r="C728" t="s">
        <v>805</v>
      </c>
      <c r="D728" t="s">
        <v>812</v>
      </c>
      <c r="E728">
        <v>9</v>
      </c>
      <c r="F728" t="s">
        <v>828</v>
      </c>
      <c r="G728" t="s">
        <v>874</v>
      </c>
      <c r="H728">
        <v>1579</v>
      </c>
      <c r="I728" t="s">
        <v>835</v>
      </c>
      <c r="J728" t="s">
        <v>840</v>
      </c>
      <c r="K728" s="2">
        <v>45689</v>
      </c>
      <c r="L728">
        <v>2025</v>
      </c>
      <c r="M728">
        <v>14211</v>
      </c>
      <c r="N728" t="s">
        <v>852</v>
      </c>
    </row>
    <row r="729" spans="1:14" x14ac:dyDescent="0.3">
      <c r="A729" t="s">
        <v>956</v>
      </c>
      <c r="B729" t="s">
        <v>432</v>
      </c>
      <c r="C729" t="s">
        <v>805</v>
      </c>
      <c r="D729" t="s">
        <v>812</v>
      </c>
      <c r="E729">
        <v>9</v>
      </c>
      <c r="F729" t="s">
        <v>829</v>
      </c>
      <c r="G729" t="s">
        <v>890</v>
      </c>
      <c r="H729">
        <v>1579</v>
      </c>
      <c r="I729" t="s">
        <v>835</v>
      </c>
      <c r="J729" t="s">
        <v>840</v>
      </c>
      <c r="K729" s="2">
        <v>44501</v>
      </c>
      <c r="L729">
        <v>2021</v>
      </c>
      <c r="M729">
        <v>14211</v>
      </c>
      <c r="N729" t="s">
        <v>852</v>
      </c>
    </row>
    <row r="730" spans="1:14" x14ac:dyDescent="0.3">
      <c r="A730" t="s">
        <v>1263</v>
      </c>
      <c r="B730" t="s">
        <v>433</v>
      </c>
      <c r="C730" t="s">
        <v>805</v>
      </c>
      <c r="D730" t="s">
        <v>812</v>
      </c>
      <c r="E730">
        <v>9</v>
      </c>
      <c r="F730" t="s">
        <v>826</v>
      </c>
      <c r="G730" t="s">
        <v>872</v>
      </c>
      <c r="H730">
        <v>1579</v>
      </c>
      <c r="I730" t="s">
        <v>835</v>
      </c>
      <c r="J730" t="s">
        <v>840</v>
      </c>
      <c r="K730" s="2">
        <v>45536</v>
      </c>
      <c r="L730">
        <v>2024</v>
      </c>
      <c r="M730">
        <v>14211</v>
      </c>
      <c r="N730" t="s">
        <v>852</v>
      </c>
    </row>
    <row r="731" spans="1:14" x14ac:dyDescent="0.3">
      <c r="A731" t="s">
        <v>1261</v>
      </c>
      <c r="B731" t="s">
        <v>430</v>
      </c>
      <c r="C731" t="s">
        <v>807</v>
      </c>
      <c r="D731" t="s">
        <v>814</v>
      </c>
      <c r="E731">
        <v>19</v>
      </c>
      <c r="F731" t="s">
        <v>829</v>
      </c>
      <c r="G731" t="s">
        <v>890</v>
      </c>
      <c r="H731">
        <v>3760</v>
      </c>
      <c r="I731" t="s">
        <v>834</v>
      </c>
      <c r="J731" t="s">
        <v>842</v>
      </c>
      <c r="K731" s="2">
        <v>43952</v>
      </c>
      <c r="L731">
        <v>2020</v>
      </c>
      <c r="M731">
        <v>71440</v>
      </c>
      <c r="N731" t="s">
        <v>863</v>
      </c>
    </row>
    <row r="732" spans="1:14" x14ac:dyDescent="0.3">
      <c r="A732" t="s">
        <v>1262</v>
      </c>
      <c r="B732" t="s">
        <v>431</v>
      </c>
      <c r="C732" t="s">
        <v>807</v>
      </c>
      <c r="D732" t="s">
        <v>814</v>
      </c>
      <c r="E732">
        <v>19</v>
      </c>
      <c r="F732" t="s">
        <v>828</v>
      </c>
      <c r="G732" t="s">
        <v>874</v>
      </c>
      <c r="H732">
        <v>3760</v>
      </c>
      <c r="I732" t="s">
        <v>834</v>
      </c>
      <c r="J732" t="s">
        <v>842</v>
      </c>
      <c r="K732" s="2">
        <v>45689</v>
      </c>
      <c r="L732">
        <v>2025</v>
      </c>
      <c r="M732">
        <v>71440</v>
      </c>
      <c r="N732" t="s">
        <v>863</v>
      </c>
    </row>
    <row r="733" spans="1:14" x14ac:dyDescent="0.3">
      <c r="A733" t="s">
        <v>956</v>
      </c>
      <c r="B733" t="s">
        <v>432</v>
      </c>
      <c r="C733" t="s">
        <v>807</v>
      </c>
      <c r="D733" t="s">
        <v>814</v>
      </c>
      <c r="E733">
        <v>19</v>
      </c>
      <c r="F733" t="s">
        <v>829</v>
      </c>
      <c r="G733" t="s">
        <v>890</v>
      </c>
      <c r="H733">
        <v>3760</v>
      </c>
      <c r="I733" t="s">
        <v>834</v>
      </c>
      <c r="J733" t="s">
        <v>842</v>
      </c>
      <c r="K733" s="2">
        <v>44501</v>
      </c>
      <c r="L733">
        <v>2021</v>
      </c>
      <c r="M733">
        <v>71440</v>
      </c>
      <c r="N733" t="s">
        <v>863</v>
      </c>
    </row>
    <row r="734" spans="1:14" x14ac:dyDescent="0.3">
      <c r="A734" t="s">
        <v>1263</v>
      </c>
      <c r="B734" t="s">
        <v>433</v>
      </c>
      <c r="C734" t="s">
        <v>807</v>
      </c>
      <c r="D734" t="s">
        <v>814</v>
      </c>
      <c r="E734">
        <v>19</v>
      </c>
      <c r="F734" t="s">
        <v>826</v>
      </c>
      <c r="G734" t="s">
        <v>872</v>
      </c>
      <c r="H734">
        <v>3760</v>
      </c>
      <c r="I734" t="s">
        <v>834</v>
      </c>
      <c r="J734" t="s">
        <v>842</v>
      </c>
      <c r="K734" s="2">
        <v>45536</v>
      </c>
      <c r="L734">
        <v>2024</v>
      </c>
      <c r="M734">
        <v>71440</v>
      </c>
      <c r="N734" t="s">
        <v>863</v>
      </c>
    </row>
    <row r="735" spans="1:14" x14ac:dyDescent="0.3">
      <c r="A735" t="s">
        <v>1264</v>
      </c>
      <c r="B735" t="s">
        <v>434</v>
      </c>
      <c r="C735" t="s">
        <v>806</v>
      </c>
      <c r="D735" t="s">
        <v>811</v>
      </c>
      <c r="E735">
        <v>14</v>
      </c>
      <c r="F735" t="s">
        <v>825</v>
      </c>
      <c r="G735" t="s">
        <v>854</v>
      </c>
      <c r="H735">
        <v>8706</v>
      </c>
      <c r="I735" t="s">
        <v>835</v>
      </c>
      <c r="J735" t="s">
        <v>843</v>
      </c>
      <c r="K735" s="2">
        <v>44713</v>
      </c>
      <c r="L735">
        <v>2022</v>
      </c>
      <c r="M735">
        <v>121884</v>
      </c>
      <c r="N735" t="s">
        <v>857</v>
      </c>
    </row>
    <row r="736" spans="1:14" x14ac:dyDescent="0.3">
      <c r="A736" t="s">
        <v>1264</v>
      </c>
      <c r="B736" t="s">
        <v>434</v>
      </c>
      <c r="C736" t="s">
        <v>805</v>
      </c>
      <c r="D736" t="s">
        <v>809</v>
      </c>
      <c r="E736">
        <v>14</v>
      </c>
      <c r="F736" t="s">
        <v>825</v>
      </c>
      <c r="G736" t="s">
        <v>854</v>
      </c>
      <c r="H736">
        <v>4708</v>
      </c>
      <c r="I736" t="s">
        <v>835</v>
      </c>
      <c r="J736" t="s">
        <v>844</v>
      </c>
      <c r="K736" s="2">
        <v>44713</v>
      </c>
      <c r="L736">
        <v>2022</v>
      </c>
      <c r="M736">
        <v>65912</v>
      </c>
      <c r="N736" t="s">
        <v>857</v>
      </c>
    </row>
    <row r="737" spans="1:14" x14ac:dyDescent="0.3">
      <c r="A737" t="s">
        <v>1264</v>
      </c>
      <c r="B737" t="s">
        <v>434</v>
      </c>
      <c r="C737" t="s">
        <v>807</v>
      </c>
      <c r="D737" t="s">
        <v>814</v>
      </c>
      <c r="E737">
        <v>17</v>
      </c>
      <c r="F737" t="s">
        <v>825</v>
      </c>
      <c r="G737" t="s">
        <v>854</v>
      </c>
      <c r="H737">
        <v>8089</v>
      </c>
      <c r="I737" t="s">
        <v>836</v>
      </c>
      <c r="J737" t="s">
        <v>843</v>
      </c>
      <c r="K737" s="2">
        <v>44713</v>
      </c>
      <c r="L737">
        <v>2022</v>
      </c>
      <c r="M737">
        <v>137513</v>
      </c>
      <c r="N737" t="s">
        <v>863</v>
      </c>
    </row>
    <row r="738" spans="1:14" x14ac:dyDescent="0.3">
      <c r="A738" t="s">
        <v>1265</v>
      </c>
      <c r="B738" t="s">
        <v>435</v>
      </c>
      <c r="C738" t="s">
        <v>805</v>
      </c>
      <c r="D738" t="s">
        <v>810</v>
      </c>
      <c r="E738">
        <v>12</v>
      </c>
      <c r="F738" t="s">
        <v>828</v>
      </c>
      <c r="G738" t="s">
        <v>880</v>
      </c>
      <c r="H738">
        <v>5462</v>
      </c>
      <c r="I738" t="s">
        <v>833</v>
      </c>
      <c r="J738" t="s">
        <v>844</v>
      </c>
      <c r="K738" s="2">
        <v>44866</v>
      </c>
      <c r="L738">
        <v>2022</v>
      </c>
      <c r="M738">
        <v>65544</v>
      </c>
      <c r="N738" t="s">
        <v>857</v>
      </c>
    </row>
    <row r="739" spans="1:14" x14ac:dyDescent="0.3">
      <c r="A739" t="s">
        <v>1266</v>
      </c>
      <c r="B739" t="s">
        <v>436</v>
      </c>
      <c r="C739" t="s">
        <v>805</v>
      </c>
      <c r="D739" t="s">
        <v>809</v>
      </c>
      <c r="E739">
        <v>18</v>
      </c>
      <c r="F739" t="s">
        <v>824</v>
      </c>
      <c r="G739" t="s">
        <v>910</v>
      </c>
      <c r="H739">
        <v>6392</v>
      </c>
      <c r="I739" t="s">
        <v>835</v>
      </c>
      <c r="J739" t="s">
        <v>841</v>
      </c>
      <c r="K739" s="2">
        <v>45231</v>
      </c>
      <c r="L739">
        <v>2023</v>
      </c>
      <c r="M739">
        <v>115056</v>
      </c>
      <c r="N739" t="s">
        <v>863</v>
      </c>
    </row>
    <row r="740" spans="1:14" x14ac:dyDescent="0.3">
      <c r="A740" t="s">
        <v>1267</v>
      </c>
      <c r="B740" t="s">
        <v>437</v>
      </c>
      <c r="C740" t="s">
        <v>805</v>
      </c>
      <c r="D740" t="s">
        <v>809</v>
      </c>
      <c r="E740">
        <v>3</v>
      </c>
      <c r="F740" t="s">
        <v>824</v>
      </c>
      <c r="G740" t="s">
        <v>859</v>
      </c>
      <c r="H740">
        <v>8706</v>
      </c>
      <c r="I740" t="s">
        <v>833</v>
      </c>
      <c r="J740" t="s">
        <v>843</v>
      </c>
      <c r="K740" s="2">
        <v>43922</v>
      </c>
      <c r="L740">
        <v>2020</v>
      </c>
      <c r="M740">
        <v>26118</v>
      </c>
      <c r="N740" t="s">
        <v>868</v>
      </c>
    </row>
    <row r="741" spans="1:14" x14ac:dyDescent="0.3">
      <c r="A741" t="s">
        <v>1010</v>
      </c>
      <c r="B741" t="s">
        <v>438</v>
      </c>
      <c r="C741" t="s">
        <v>806</v>
      </c>
      <c r="D741" t="s">
        <v>811</v>
      </c>
      <c r="E741">
        <v>4</v>
      </c>
      <c r="F741" t="s">
        <v>824</v>
      </c>
      <c r="G741" t="s">
        <v>851</v>
      </c>
      <c r="H741">
        <v>2349</v>
      </c>
      <c r="I741" t="s">
        <v>832</v>
      </c>
      <c r="J741" t="s">
        <v>842</v>
      </c>
      <c r="K741" s="2">
        <v>44562</v>
      </c>
      <c r="L741">
        <v>2022</v>
      </c>
      <c r="M741">
        <v>9396</v>
      </c>
      <c r="N741" t="s">
        <v>868</v>
      </c>
    </row>
    <row r="742" spans="1:14" x14ac:dyDescent="0.3">
      <c r="A742" t="s">
        <v>1010</v>
      </c>
      <c r="B742" t="s">
        <v>438</v>
      </c>
      <c r="C742" t="s">
        <v>807</v>
      </c>
      <c r="D742" t="s">
        <v>814</v>
      </c>
      <c r="E742">
        <v>14</v>
      </c>
      <c r="F742" t="s">
        <v>824</v>
      </c>
      <c r="G742" t="s">
        <v>851</v>
      </c>
      <c r="H742">
        <v>8220</v>
      </c>
      <c r="I742" t="s">
        <v>832</v>
      </c>
      <c r="J742" t="s">
        <v>843</v>
      </c>
      <c r="K742" s="2">
        <v>44562</v>
      </c>
      <c r="L742">
        <v>2022</v>
      </c>
      <c r="M742">
        <v>115080</v>
      </c>
      <c r="N742" t="s">
        <v>857</v>
      </c>
    </row>
    <row r="743" spans="1:14" x14ac:dyDescent="0.3">
      <c r="A743" t="s">
        <v>1010</v>
      </c>
      <c r="B743" t="s">
        <v>438</v>
      </c>
      <c r="C743" t="s">
        <v>807</v>
      </c>
      <c r="D743" t="s">
        <v>814</v>
      </c>
      <c r="E743">
        <v>7</v>
      </c>
      <c r="F743" t="s">
        <v>824</v>
      </c>
      <c r="G743" t="s">
        <v>851</v>
      </c>
      <c r="H743">
        <v>2379</v>
      </c>
      <c r="I743" t="s">
        <v>833</v>
      </c>
      <c r="J743" t="s">
        <v>842</v>
      </c>
      <c r="K743" s="2">
        <v>44562</v>
      </c>
      <c r="L743">
        <v>2022</v>
      </c>
      <c r="M743">
        <v>16653</v>
      </c>
      <c r="N743" t="s">
        <v>852</v>
      </c>
    </row>
    <row r="744" spans="1:14" x14ac:dyDescent="0.3">
      <c r="A744" t="s">
        <v>1010</v>
      </c>
      <c r="B744" t="s">
        <v>438</v>
      </c>
      <c r="C744" t="s">
        <v>806</v>
      </c>
      <c r="D744" t="s">
        <v>815</v>
      </c>
      <c r="E744">
        <v>4</v>
      </c>
      <c r="F744" t="s">
        <v>824</v>
      </c>
      <c r="G744" t="s">
        <v>851</v>
      </c>
      <c r="H744">
        <v>7377</v>
      </c>
      <c r="I744" t="s">
        <v>832</v>
      </c>
      <c r="J744" t="s">
        <v>841</v>
      </c>
      <c r="K744" s="2">
        <v>44562</v>
      </c>
      <c r="L744">
        <v>2022</v>
      </c>
      <c r="M744">
        <v>29508</v>
      </c>
      <c r="N744" t="s">
        <v>868</v>
      </c>
    </row>
    <row r="745" spans="1:14" x14ac:dyDescent="0.3">
      <c r="A745" t="s">
        <v>1268</v>
      </c>
      <c r="B745" t="s">
        <v>439</v>
      </c>
      <c r="C745" t="s">
        <v>807</v>
      </c>
      <c r="D745" t="s">
        <v>813</v>
      </c>
      <c r="E745">
        <v>16</v>
      </c>
      <c r="F745" t="s">
        <v>829</v>
      </c>
      <c r="G745" t="s">
        <v>894</v>
      </c>
      <c r="H745">
        <v>717</v>
      </c>
      <c r="I745" t="s">
        <v>835</v>
      </c>
      <c r="J745" t="s">
        <v>840</v>
      </c>
      <c r="K745" s="2">
        <v>44621</v>
      </c>
      <c r="L745">
        <v>2022</v>
      </c>
      <c r="M745">
        <v>11472</v>
      </c>
      <c r="N745" t="s">
        <v>863</v>
      </c>
    </row>
    <row r="746" spans="1:14" x14ac:dyDescent="0.3">
      <c r="A746" t="s">
        <v>1269</v>
      </c>
      <c r="B746" t="s">
        <v>440</v>
      </c>
      <c r="C746" t="s">
        <v>807</v>
      </c>
      <c r="D746" t="s">
        <v>813</v>
      </c>
      <c r="E746">
        <v>16</v>
      </c>
      <c r="F746" t="s">
        <v>824</v>
      </c>
      <c r="G746" t="s">
        <v>851</v>
      </c>
      <c r="H746">
        <v>717</v>
      </c>
      <c r="I746" t="s">
        <v>835</v>
      </c>
      <c r="J746" t="s">
        <v>840</v>
      </c>
      <c r="K746" s="2">
        <v>43983</v>
      </c>
      <c r="L746">
        <v>2020</v>
      </c>
      <c r="M746">
        <v>11472</v>
      </c>
      <c r="N746" t="s">
        <v>863</v>
      </c>
    </row>
    <row r="747" spans="1:14" x14ac:dyDescent="0.3">
      <c r="A747" t="s">
        <v>928</v>
      </c>
      <c r="B747" t="s">
        <v>441</v>
      </c>
      <c r="C747" t="s">
        <v>807</v>
      </c>
      <c r="D747" t="s">
        <v>813</v>
      </c>
      <c r="E747">
        <v>16</v>
      </c>
      <c r="F747" t="s">
        <v>826</v>
      </c>
      <c r="G747" t="s">
        <v>856</v>
      </c>
      <c r="H747">
        <v>717</v>
      </c>
      <c r="I747" t="s">
        <v>835</v>
      </c>
      <c r="J747" t="s">
        <v>840</v>
      </c>
      <c r="K747" s="2">
        <v>44896</v>
      </c>
      <c r="L747">
        <v>2022</v>
      </c>
      <c r="M747">
        <v>11472</v>
      </c>
      <c r="N747" t="s">
        <v>863</v>
      </c>
    </row>
    <row r="748" spans="1:14" x14ac:dyDescent="0.3">
      <c r="A748" t="s">
        <v>1270</v>
      </c>
      <c r="B748" t="s">
        <v>442</v>
      </c>
      <c r="C748" t="s">
        <v>807</v>
      </c>
      <c r="D748" t="s">
        <v>813</v>
      </c>
      <c r="E748">
        <v>16</v>
      </c>
      <c r="F748" t="s">
        <v>826</v>
      </c>
      <c r="G748" t="s">
        <v>865</v>
      </c>
      <c r="H748">
        <v>717</v>
      </c>
      <c r="I748" t="s">
        <v>835</v>
      </c>
      <c r="J748" t="s">
        <v>840</v>
      </c>
      <c r="K748" s="2">
        <v>45597</v>
      </c>
      <c r="L748">
        <v>2024</v>
      </c>
      <c r="M748">
        <v>11472</v>
      </c>
      <c r="N748" t="s">
        <v>863</v>
      </c>
    </row>
    <row r="749" spans="1:14" x14ac:dyDescent="0.3">
      <c r="A749" t="s">
        <v>1271</v>
      </c>
      <c r="B749" t="s">
        <v>443</v>
      </c>
      <c r="C749" t="s">
        <v>807</v>
      </c>
      <c r="D749" t="s">
        <v>813</v>
      </c>
      <c r="E749">
        <v>16</v>
      </c>
      <c r="F749" t="s">
        <v>824</v>
      </c>
      <c r="G749" t="s">
        <v>859</v>
      </c>
      <c r="H749">
        <v>717</v>
      </c>
      <c r="I749" t="s">
        <v>835</v>
      </c>
      <c r="J749" t="s">
        <v>840</v>
      </c>
      <c r="K749" s="2">
        <v>44136</v>
      </c>
      <c r="L749">
        <v>2020</v>
      </c>
      <c r="M749">
        <v>11472</v>
      </c>
      <c r="N749" t="s">
        <v>863</v>
      </c>
    </row>
    <row r="750" spans="1:14" x14ac:dyDescent="0.3">
      <c r="A750" t="s">
        <v>1272</v>
      </c>
      <c r="B750" t="s">
        <v>444</v>
      </c>
      <c r="C750" t="s">
        <v>807</v>
      </c>
      <c r="D750" t="s">
        <v>813</v>
      </c>
      <c r="E750">
        <v>16</v>
      </c>
      <c r="F750" t="s">
        <v>826</v>
      </c>
      <c r="G750" t="s">
        <v>872</v>
      </c>
      <c r="H750">
        <v>717</v>
      </c>
      <c r="I750" t="s">
        <v>835</v>
      </c>
      <c r="J750" t="s">
        <v>840</v>
      </c>
      <c r="K750" s="2">
        <v>45200</v>
      </c>
      <c r="L750">
        <v>2023</v>
      </c>
      <c r="M750">
        <v>11472</v>
      </c>
      <c r="N750" t="s">
        <v>863</v>
      </c>
    </row>
    <row r="751" spans="1:14" x14ac:dyDescent="0.3">
      <c r="A751" t="s">
        <v>1268</v>
      </c>
      <c r="B751" t="s">
        <v>439</v>
      </c>
      <c r="C751" t="s">
        <v>807</v>
      </c>
      <c r="D751" t="s">
        <v>816</v>
      </c>
      <c r="E751">
        <v>17</v>
      </c>
      <c r="F751" t="s">
        <v>829</v>
      </c>
      <c r="G751" t="s">
        <v>894</v>
      </c>
      <c r="H751">
        <v>508</v>
      </c>
      <c r="I751" t="s">
        <v>832</v>
      </c>
      <c r="J751" t="s">
        <v>840</v>
      </c>
      <c r="K751" s="2">
        <v>44621</v>
      </c>
      <c r="L751">
        <v>2022</v>
      </c>
      <c r="M751">
        <v>8636</v>
      </c>
      <c r="N751" t="s">
        <v>863</v>
      </c>
    </row>
    <row r="752" spans="1:14" x14ac:dyDescent="0.3">
      <c r="A752" t="s">
        <v>1269</v>
      </c>
      <c r="B752" t="s">
        <v>440</v>
      </c>
      <c r="C752" t="s">
        <v>807</v>
      </c>
      <c r="D752" t="s">
        <v>816</v>
      </c>
      <c r="E752">
        <v>17</v>
      </c>
      <c r="F752" t="s">
        <v>824</v>
      </c>
      <c r="G752" t="s">
        <v>851</v>
      </c>
      <c r="H752">
        <v>508</v>
      </c>
      <c r="I752" t="s">
        <v>832</v>
      </c>
      <c r="J752" t="s">
        <v>840</v>
      </c>
      <c r="K752" s="2">
        <v>43983</v>
      </c>
      <c r="L752">
        <v>2020</v>
      </c>
      <c r="M752">
        <v>8636</v>
      </c>
      <c r="N752" t="s">
        <v>863</v>
      </c>
    </row>
    <row r="753" spans="1:14" x14ac:dyDescent="0.3">
      <c r="A753" t="s">
        <v>928</v>
      </c>
      <c r="B753" t="s">
        <v>441</v>
      </c>
      <c r="C753" t="s">
        <v>807</v>
      </c>
      <c r="D753" t="s">
        <v>816</v>
      </c>
      <c r="E753">
        <v>17</v>
      </c>
      <c r="F753" t="s">
        <v>826</v>
      </c>
      <c r="G753" t="s">
        <v>856</v>
      </c>
      <c r="H753">
        <v>508</v>
      </c>
      <c r="I753" t="s">
        <v>832</v>
      </c>
      <c r="J753" t="s">
        <v>840</v>
      </c>
      <c r="K753" s="2">
        <v>44896</v>
      </c>
      <c r="L753">
        <v>2022</v>
      </c>
      <c r="M753">
        <v>8636</v>
      </c>
      <c r="N753" t="s">
        <v>863</v>
      </c>
    </row>
    <row r="754" spans="1:14" x14ac:dyDescent="0.3">
      <c r="A754" t="s">
        <v>1270</v>
      </c>
      <c r="B754" t="s">
        <v>442</v>
      </c>
      <c r="C754" t="s">
        <v>807</v>
      </c>
      <c r="D754" t="s">
        <v>816</v>
      </c>
      <c r="E754">
        <v>17</v>
      </c>
      <c r="F754" t="s">
        <v>826</v>
      </c>
      <c r="G754" t="s">
        <v>865</v>
      </c>
      <c r="H754">
        <v>508</v>
      </c>
      <c r="I754" t="s">
        <v>832</v>
      </c>
      <c r="J754" t="s">
        <v>840</v>
      </c>
      <c r="K754" s="2">
        <v>45597</v>
      </c>
      <c r="L754">
        <v>2024</v>
      </c>
      <c r="M754">
        <v>8636</v>
      </c>
      <c r="N754" t="s">
        <v>863</v>
      </c>
    </row>
    <row r="755" spans="1:14" x14ac:dyDescent="0.3">
      <c r="A755" t="s">
        <v>1271</v>
      </c>
      <c r="B755" t="s">
        <v>443</v>
      </c>
      <c r="C755" t="s">
        <v>807</v>
      </c>
      <c r="D755" t="s">
        <v>816</v>
      </c>
      <c r="E755">
        <v>17</v>
      </c>
      <c r="F755" t="s">
        <v>824</v>
      </c>
      <c r="G755" t="s">
        <v>859</v>
      </c>
      <c r="H755">
        <v>508</v>
      </c>
      <c r="I755" t="s">
        <v>832</v>
      </c>
      <c r="J755" t="s">
        <v>840</v>
      </c>
      <c r="K755" s="2">
        <v>44136</v>
      </c>
      <c r="L755">
        <v>2020</v>
      </c>
      <c r="M755">
        <v>8636</v>
      </c>
      <c r="N755" t="s">
        <v>863</v>
      </c>
    </row>
    <row r="756" spans="1:14" x14ac:dyDescent="0.3">
      <c r="A756" t="s">
        <v>1272</v>
      </c>
      <c r="B756" t="s">
        <v>444</v>
      </c>
      <c r="C756" t="s">
        <v>807</v>
      </c>
      <c r="D756" t="s">
        <v>816</v>
      </c>
      <c r="E756">
        <v>17</v>
      </c>
      <c r="F756" t="s">
        <v>826</v>
      </c>
      <c r="G756" t="s">
        <v>872</v>
      </c>
      <c r="H756">
        <v>508</v>
      </c>
      <c r="I756" t="s">
        <v>832</v>
      </c>
      <c r="J756" t="s">
        <v>840</v>
      </c>
      <c r="K756" s="2">
        <v>45200</v>
      </c>
      <c r="L756">
        <v>2023</v>
      </c>
      <c r="M756">
        <v>8636</v>
      </c>
      <c r="N756" t="s">
        <v>863</v>
      </c>
    </row>
    <row r="757" spans="1:14" x14ac:dyDescent="0.3">
      <c r="A757" t="s">
        <v>1273</v>
      </c>
      <c r="B757" t="s">
        <v>445</v>
      </c>
      <c r="C757" t="s">
        <v>805</v>
      </c>
      <c r="D757" t="s">
        <v>810</v>
      </c>
      <c r="E757">
        <v>3</v>
      </c>
      <c r="F757" t="s">
        <v>825</v>
      </c>
      <c r="G757" t="s">
        <v>854</v>
      </c>
      <c r="H757">
        <v>9382</v>
      </c>
      <c r="I757" t="s">
        <v>833</v>
      </c>
      <c r="J757" t="s">
        <v>843</v>
      </c>
      <c r="K757" s="2">
        <v>45108</v>
      </c>
      <c r="L757">
        <v>2023</v>
      </c>
      <c r="M757">
        <v>28146</v>
      </c>
      <c r="N757" t="s">
        <v>868</v>
      </c>
    </row>
    <row r="758" spans="1:14" x14ac:dyDescent="0.3">
      <c r="A758" t="s">
        <v>924</v>
      </c>
      <c r="B758" t="s">
        <v>446</v>
      </c>
      <c r="C758" t="s">
        <v>805</v>
      </c>
      <c r="D758" t="s">
        <v>810</v>
      </c>
      <c r="E758">
        <v>3</v>
      </c>
      <c r="F758" t="s">
        <v>826</v>
      </c>
      <c r="G758" t="s">
        <v>872</v>
      </c>
      <c r="H758">
        <v>9382</v>
      </c>
      <c r="I758" t="s">
        <v>833</v>
      </c>
      <c r="J758" t="s">
        <v>843</v>
      </c>
      <c r="K758" s="2">
        <v>44682</v>
      </c>
      <c r="L758">
        <v>2022</v>
      </c>
      <c r="M758">
        <v>28146</v>
      </c>
      <c r="N758" t="s">
        <v>868</v>
      </c>
    </row>
    <row r="759" spans="1:14" x14ac:dyDescent="0.3">
      <c r="A759" t="s">
        <v>1273</v>
      </c>
      <c r="B759" t="s">
        <v>445</v>
      </c>
      <c r="C759" t="s">
        <v>807</v>
      </c>
      <c r="D759" t="s">
        <v>813</v>
      </c>
      <c r="E759">
        <v>19</v>
      </c>
      <c r="F759" t="s">
        <v>825</v>
      </c>
      <c r="G759" t="s">
        <v>854</v>
      </c>
      <c r="H759">
        <v>4936</v>
      </c>
      <c r="I759" t="s">
        <v>836</v>
      </c>
      <c r="J759" t="s">
        <v>844</v>
      </c>
      <c r="K759" s="2">
        <v>45108</v>
      </c>
      <c r="L759">
        <v>2023</v>
      </c>
      <c r="M759">
        <v>93784</v>
      </c>
      <c r="N759" t="s">
        <v>863</v>
      </c>
    </row>
    <row r="760" spans="1:14" x14ac:dyDescent="0.3">
      <c r="A760" t="s">
        <v>924</v>
      </c>
      <c r="B760" t="s">
        <v>446</v>
      </c>
      <c r="C760" t="s">
        <v>807</v>
      </c>
      <c r="D760" t="s">
        <v>813</v>
      </c>
      <c r="E760">
        <v>19</v>
      </c>
      <c r="F760" t="s">
        <v>826</v>
      </c>
      <c r="G760" t="s">
        <v>872</v>
      </c>
      <c r="H760">
        <v>4936</v>
      </c>
      <c r="I760" t="s">
        <v>836</v>
      </c>
      <c r="J760" t="s">
        <v>844</v>
      </c>
      <c r="K760" s="2">
        <v>44682</v>
      </c>
      <c r="L760">
        <v>2022</v>
      </c>
      <c r="M760">
        <v>93784</v>
      </c>
      <c r="N760" t="s">
        <v>863</v>
      </c>
    </row>
    <row r="761" spans="1:14" x14ac:dyDescent="0.3">
      <c r="A761" t="s">
        <v>1066</v>
      </c>
      <c r="B761" t="s">
        <v>447</v>
      </c>
      <c r="C761" t="s">
        <v>807</v>
      </c>
      <c r="D761" t="s">
        <v>816</v>
      </c>
      <c r="E761">
        <v>19</v>
      </c>
      <c r="F761" t="s">
        <v>827</v>
      </c>
      <c r="G761" t="s">
        <v>883</v>
      </c>
      <c r="H761">
        <v>2663</v>
      </c>
      <c r="I761" t="s">
        <v>836</v>
      </c>
      <c r="J761" t="s">
        <v>842</v>
      </c>
      <c r="K761" s="2">
        <v>45444</v>
      </c>
      <c r="L761">
        <v>2024</v>
      </c>
      <c r="M761">
        <v>50597</v>
      </c>
      <c r="N761" t="s">
        <v>863</v>
      </c>
    </row>
    <row r="762" spans="1:14" x14ac:dyDescent="0.3">
      <c r="A762" t="s">
        <v>1076</v>
      </c>
      <c r="B762" t="s">
        <v>448</v>
      </c>
      <c r="C762" t="s">
        <v>807</v>
      </c>
      <c r="D762" t="s">
        <v>816</v>
      </c>
      <c r="E762">
        <v>19</v>
      </c>
      <c r="F762" t="s">
        <v>829</v>
      </c>
      <c r="G762" t="s">
        <v>894</v>
      </c>
      <c r="H762">
        <v>2663</v>
      </c>
      <c r="I762" t="s">
        <v>836</v>
      </c>
      <c r="J762" t="s">
        <v>842</v>
      </c>
      <c r="K762" s="2">
        <v>44470</v>
      </c>
      <c r="L762">
        <v>2021</v>
      </c>
      <c r="M762">
        <v>50597</v>
      </c>
      <c r="N762" t="s">
        <v>863</v>
      </c>
    </row>
    <row r="763" spans="1:14" x14ac:dyDescent="0.3">
      <c r="A763" t="s">
        <v>1274</v>
      </c>
      <c r="B763" t="s">
        <v>449</v>
      </c>
      <c r="C763" t="s">
        <v>805</v>
      </c>
      <c r="D763" t="s">
        <v>810</v>
      </c>
      <c r="E763">
        <v>5</v>
      </c>
      <c r="F763" t="s">
        <v>828</v>
      </c>
      <c r="G763" t="s">
        <v>904</v>
      </c>
      <c r="H763">
        <v>5151</v>
      </c>
      <c r="I763" t="s">
        <v>834</v>
      </c>
      <c r="J763" t="s">
        <v>844</v>
      </c>
      <c r="K763" s="2">
        <v>44835</v>
      </c>
      <c r="L763">
        <v>2022</v>
      </c>
      <c r="M763">
        <v>25755</v>
      </c>
      <c r="N763" t="s">
        <v>852</v>
      </c>
    </row>
    <row r="764" spans="1:14" x14ac:dyDescent="0.3">
      <c r="A764" t="s">
        <v>1275</v>
      </c>
      <c r="B764" t="s">
        <v>450</v>
      </c>
      <c r="C764" t="s">
        <v>806</v>
      </c>
      <c r="D764" t="s">
        <v>811</v>
      </c>
      <c r="E764">
        <v>8</v>
      </c>
      <c r="F764" t="s">
        <v>826</v>
      </c>
      <c r="G764" t="s">
        <v>872</v>
      </c>
      <c r="H764">
        <v>2514</v>
      </c>
      <c r="I764" t="s">
        <v>832</v>
      </c>
      <c r="J764" t="s">
        <v>842</v>
      </c>
      <c r="K764" s="2">
        <v>45108</v>
      </c>
      <c r="L764">
        <v>2023</v>
      </c>
      <c r="M764">
        <v>20112</v>
      </c>
      <c r="N764" t="s">
        <v>852</v>
      </c>
    </row>
    <row r="765" spans="1:14" x14ac:dyDescent="0.3">
      <c r="A765" t="s">
        <v>1276</v>
      </c>
      <c r="B765" t="s">
        <v>451</v>
      </c>
      <c r="C765" t="s">
        <v>805</v>
      </c>
      <c r="D765" t="s">
        <v>812</v>
      </c>
      <c r="E765">
        <v>2</v>
      </c>
      <c r="F765" t="s">
        <v>826</v>
      </c>
      <c r="G765" t="s">
        <v>865</v>
      </c>
      <c r="H765">
        <v>6129</v>
      </c>
      <c r="I765" t="s">
        <v>834</v>
      </c>
      <c r="J765" t="s">
        <v>841</v>
      </c>
      <c r="K765" s="2">
        <v>45689</v>
      </c>
      <c r="L765">
        <v>2025</v>
      </c>
      <c r="M765">
        <v>12258</v>
      </c>
      <c r="N765" t="s">
        <v>868</v>
      </c>
    </row>
    <row r="766" spans="1:14" x14ac:dyDescent="0.3">
      <c r="A766" t="s">
        <v>1276</v>
      </c>
      <c r="B766" t="s">
        <v>451</v>
      </c>
      <c r="C766" t="s">
        <v>807</v>
      </c>
      <c r="D766" t="s">
        <v>820</v>
      </c>
      <c r="E766">
        <v>3</v>
      </c>
      <c r="F766" t="s">
        <v>826</v>
      </c>
      <c r="G766" t="s">
        <v>865</v>
      </c>
      <c r="H766">
        <v>4395</v>
      </c>
      <c r="I766" t="s">
        <v>836</v>
      </c>
      <c r="J766" t="s">
        <v>844</v>
      </c>
      <c r="K766" s="2">
        <v>45689</v>
      </c>
      <c r="L766">
        <v>2025</v>
      </c>
      <c r="M766">
        <v>13185</v>
      </c>
      <c r="N766" t="s">
        <v>868</v>
      </c>
    </row>
    <row r="767" spans="1:14" x14ac:dyDescent="0.3">
      <c r="A767" t="s">
        <v>1277</v>
      </c>
      <c r="B767" t="s">
        <v>452</v>
      </c>
      <c r="C767" t="s">
        <v>807</v>
      </c>
      <c r="D767" t="s">
        <v>814</v>
      </c>
      <c r="E767">
        <v>8</v>
      </c>
      <c r="F767" t="s">
        <v>829</v>
      </c>
      <c r="G767" t="s">
        <v>890</v>
      </c>
      <c r="H767">
        <v>5393</v>
      </c>
      <c r="I767" t="s">
        <v>832</v>
      </c>
      <c r="J767" t="s">
        <v>844</v>
      </c>
      <c r="K767" s="2">
        <v>44256</v>
      </c>
      <c r="L767">
        <v>2021</v>
      </c>
      <c r="M767">
        <v>43144</v>
      </c>
      <c r="N767" t="s">
        <v>852</v>
      </c>
    </row>
    <row r="768" spans="1:14" x14ac:dyDescent="0.3">
      <c r="A768" t="s">
        <v>997</v>
      </c>
      <c r="B768" t="s">
        <v>453</v>
      </c>
      <c r="C768" t="s">
        <v>805</v>
      </c>
      <c r="D768" t="s">
        <v>819</v>
      </c>
      <c r="E768">
        <v>8</v>
      </c>
      <c r="F768" t="s">
        <v>826</v>
      </c>
      <c r="G768" t="s">
        <v>856</v>
      </c>
      <c r="H768">
        <v>2280</v>
      </c>
      <c r="I768" t="s">
        <v>835</v>
      </c>
      <c r="J768" t="s">
        <v>842</v>
      </c>
      <c r="K768" s="2">
        <v>44197</v>
      </c>
      <c r="L768">
        <v>2021</v>
      </c>
      <c r="M768">
        <v>18240</v>
      </c>
      <c r="N768" t="s">
        <v>852</v>
      </c>
    </row>
    <row r="769" spans="1:14" x14ac:dyDescent="0.3">
      <c r="A769" t="s">
        <v>1227</v>
      </c>
      <c r="B769" t="s">
        <v>454</v>
      </c>
      <c r="C769" t="s">
        <v>806</v>
      </c>
      <c r="D769" t="s">
        <v>817</v>
      </c>
      <c r="E769">
        <v>9</v>
      </c>
      <c r="F769" t="s">
        <v>829</v>
      </c>
      <c r="G769" t="s">
        <v>890</v>
      </c>
      <c r="H769">
        <v>6596</v>
      </c>
      <c r="I769" t="s">
        <v>833</v>
      </c>
      <c r="J769" t="s">
        <v>841</v>
      </c>
      <c r="K769" s="2">
        <v>45047</v>
      </c>
      <c r="L769">
        <v>2023</v>
      </c>
      <c r="M769">
        <v>59364</v>
      </c>
      <c r="N769" t="s">
        <v>852</v>
      </c>
    </row>
    <row r="770" spans="1:14" x14ac:dyDescent="0.3">
      <c r="A770" t="s">
        <v>1278</v>
      </c>
      <c r="B770" t="s">
        <v>455</v>
      </c>
      <c r="C770" t="s">
        <v>806</v>
      </c>
      <c r="D770" t="s">
        <v>817</v>
      </c>
      <c r="E770">
        <v>5</v>
      </c>
      <c r="F770" t="s">
        <v>827</v>
      </c>
      <c r="G770" t="s">
        <v>862</v>
      </c>
      <c r="H770">
        <v>4510</v>
      </c>
      <c r="I770" t="s">
        <v>834</v>
      </c>
      <c r="J770" t="s">
        <v>844</v>
      </c>
      <c r="K770" s="2">
        <v>45200</v>
      </c>
      <c r="L770">
        <v>2023</v>
      </c>
      <c r="M770">
        <v>22550</v>
      </c>
      <c r="N770" t="s">
        <v>852</v>
      </c>
    </row>
    <row r="771" spans="1:14" x14ac:dyDescent="0.3">
      <c r="A771" t="s">
        <v>1104</v>
      </c>
      <c r="B771" t="s">
        <v>456</v>
      </c>
      <c r="C771" t="s">
        <v>805</v>
      </c>
      <c r="D771" t="s">
        <v>819</v>
      </c>
      <c r="E771">
        <v>18</v>
      </c>
      <c r="F771" t="s">
        <v>826</v>
      </c>
      <c r="G771" t="s">
        <v>865</v>
      </c>
      <c r="H771">
        <v>6077</v>
      </c>
      <c r="I771" t="s">
        <v>836</v>
      </c>
      <c r="J771" t="s">
        <v>841</v>
      </c>
      <c r="K771" s="2">
        <v>44774</v>
      </c>
      <c r="L771">
        <v>2022</v>
      </c>
      <c r="M771">
        <v>109386</v>
      </c>
      <c r="N771" t="s">
        <v>863</v>
      </c>
    </row>
    <row r="772" spans="1:14" x14ac:dyDescent="0.3">
      <c r="A772" t="s">
        <v>1083</v>
      </c>
      <c r="B772" t="s">
        <v>457</v>
      </c>
      <c r="C772" t="s">
        <v>805</v>
      </c>
      <c r="D772" t="s">
        <v>810</v>
      </c>
      <c r="E772">
        <v>17</v>
      </c>
      <c r="F772" t="s">
        <v>829</v>
      </c>
      <c r="G772" t="s">
        <v>886</v>
      </c>
      <c r="H772">
        <v>5379</v>
      </c>
      <c r="I772" t="s">
        <v>836</v>
      </c>
      <c r="J772" t="s">
        <v>844</v>
      </c>
      <c r="K772" s="2">
        <v>44652</v>
      </c>
      <c r="L772">
        <v>2022</v>
      </c>
      <c r="M772">
        <v>91443</v>
      </c>
      <c r="N772" t="s">
        <v>863</v>
      </c>
    </row>
    <row r="773" spans="1:14" x14ac:dyDescent="0.3">
      <c r="A773" t="s">
        <v>1279</v>
      </c>
      <c r="B773" t="s">
        <v>458</v>
      </c>
      <c r="C773" t="s">
        <v>806</v>
      </c>
      <c r="D773" t="s">
        <v>815</v>
      </c>
      <c r="E773">
        <v>16</v>
      </c>
      <c r="F773" t="s">
        <v>827</v>
      </c>
      <c r="G773" t="s">
        <v>876</v>
      </c>
      <c r="H773">
        <v>4629</v>
      </c>
      <c r="I773" t="s">
        <v>834</v>
      </c>
      <c r="J773" t="s">
        <v>844</v>
      </c>
      <c r="K773" s="2">
        <v>45017</v>
      </c>
      <c r="L773">
        <v>2023</v>
      </c>
      <c r="M773">
        <v>74064</v>
      </c>
      <c r="N773" t="s">
        <v>863</v>
      </c>
    </row>
    <row r="774" spans="1:14" x14ac:dyDescent="0.3">
      <c r="A774" t="s">
        <v>1280</v>
      </c>
      <c r="B774" t="s">
        <v>459</v>
      </c>
      <c r="C774" t="s">
        <v>805</v>
      </c>
      <c r="D774" t="s">
        <v>812</v>
      </c>
      <c r="E774">
        <v>20</v>
      </c>
      <c r="F774" t="s">
        <v>825</v>
      </c>
      <c r="G774" t="s">
        <v>854</v>
      </c>
      <c r="H774">
        <v>2710</v>
      </c>
      <c r="I774" t="s">
        <v>833</v>
      </c>
      <c r="J774" t="s">
        <v>842</v>
      </c>
      <c r="K774" s="2">
        <v>45566</v>
      </c>
      <c r="L774">
        <v>2024</v>
      </c>
      <c r="M774">
        <v>54200</v>
      </c>
      <c r="N774" t="s">
        <v>863</v>
      </c>
    </row>
    <row r="775" spans="1:14" x14ac:dyDescent="0.3">
      <c r="A775" t="s">
        <v>1280</v>
      </c>
      <c r="B775" t="s">
        <v>459</v>
      </c>
      <c r="C775" t="s">
        <v>806</v>
      </c>
      <c r="D775" t="s">
        <v>818</v>
      </c>
      <c r="E775">
        <v>14</v>
      </c>
      <c r="F775" t="s">
        <v>825</v>
      </c>
      <c r="G775" t="s">
        <v>854</v>
      </c>
      <c r="H775">
        <v>3224</v>
      </c>
      <c r="I775" t="s">
        <v>832</v>
      </c>
      <c r="J775" t="s">
        <v>842</v>
      </c>
      <c r="K775" s="2">
        <v>45566</v>
      </c>
      <c r="L775">
        <v>2024</v>
      </c>
      <c r="M775">
        <v>45136</v>
      </c>
      <c r="N775" t="s">
        <v>857</v>
      </c>
    </row>
    <row r="776" spans="1:14" x14ac:dyDescent="0.3">
      <c r="A776" t="s">
        <v>1281</v>
      </c>
      <c r="B776" t="s">
        <v>460</v>
      </c>
      <c r="C776" t="s">
        <v>806</v>
      </c>
      <c r="D776" t="s">
        <v>815</v>
      </c>
      <c r="E776">
        <v>15</v>
      </c>
      <c r="F776" t="s">
        <v>825</v>
      </c>
      <c r="G776" t="s">
        <v>870</v>
      </c>
      <c r="H776">
        <v>8042</v>
      </c>
      <c r="I776" t="s">
        <v>834</v>
      </c>
      <c r="J776" t="s">
        <v>843</v>
      </c>
      <c r="K776" s="2">
        <v>44378</v>
      </c>
      <c r="L776">
        <v>2021</v>
      </c>
      <c r="M776">
        <v>120630</v>
      </c>
      <c r="N776" t="s">
        <v>863</v>
      </c>
    </row>
    <row r="777" spans="1:14" x14ac:dyDescent="0.3">
      <c r="A777" t="s">
        <v>1282</v>
      </c>
      <c r="B777" t="s">
        <v>461</v>
      </c>
      <c r="C777" t="s">
        <v>806</v>
      </c>
      <c r="D777" t="s">
        <v>815</v>
      </c>
      <c r="E777">
        <v>15</v>
      </c>
      <c r="F777" t="s">
        <v>827</v>
      </c>
      <c r="G777" t="s">
        <v>862</v>
      </c>
      <c r="H777">
        <v>8042</v>
      </c>
      <c r="I777" t="s">
        <v>834</v>
      </c>
      <c r="J777" t="s">
        <v>843</v>
      </c>
      <c r="K777" s="2">
        <v>44652</v>
      </c>
      <c r="L777">
        <v>2022</v>
      </c>
      <c r="M777">
        <v>120630</v>
      </c>
      <c r="N777" t="s">
        <v>863</v>
      </c>
    </row>
    <row r="778" spans="1:14" x14ac:dyDescent="0.3">
      <c r="A778" t="s">
        <v>1283</v>
      </c>
      <c r="B778" t="s">
        <v>462</v>
      </c>
      <c r="C778" t="s">
        <v>806</v>
      </c>
      <c r="D778" t="s">
        <v>818</v>
      </c>
      <c r="E778">
        <v>10</v>
      </c>
      <c r="F778" t="s">
        <v>828</v>
      </c>
      <c r="G778" t="s">
        <v>880</v>
      </c>
      <c r="H778">
        <v>3957</v>
      </c>
      <c r="I778" t="s">
        <v>834</v>
      </c>
      <c r="J778" t="s">
        <v>842</v>
      </c>
      <c r="K778" s="2">
        <v>44652</v>
      </c>
      <c r="L778">
        <v>2022</v>
      </c>
      <c r="M778">
        <v>39570</v>
      </c>
      <c r="N778" t="s">
        <v>857</v>
      </c>
    </row>
    <row r="779" spans="1:14" x14ac:dyDescent="0.3">
      <c r="A779" t="s">
        <v>1284</v>
      </c>
      <c r="B779" t="s">
        <v>463</v>
      </c>
      <c r="C779" t="s">
        <v>806</v>
      </c>
      <c r="D779" t="s">
        <v>815</v>
      </c>
      <c r="E779">
        <v>16</v>
      </c>
      <c r="F779" t="s">
        <v>825</v>
      </c>
      <c r="G779" t="s">
        <v>854</v>
      </c>
      <c r="H779">
        <v>8769</v>
      </c>
      <c r="I779" t="s">
        <v>833</v>
      </c>
      <c r="J779" t="s">
        <v>843</v>
      </c>
      <c r="K779" s="2">
        <v>44927</v>
      </c>
      <c r="L779">
        <v>2023</v>
      </c>
      <c r="M779">
        <v>140304</v>
      </c>
      <c r="N779" t="s">
        <v>863</v>
      </c>
    </row>
    <row r="780" spans="1:14" x14ac:dyDescent="0.3">
      <c r="A780" t="s">
        <v>1285</v>
      </c>
      <c r="B780" t="s">
        <v>464</v>
      </c>
      <c r="C780" t="s">
        <v>806</v>
      </c>
      <c r="D780" t="s">
        <v>811</v>
      </c>
      <c r="E780">
        <v>16</v>
      </c>
      <c r="F780" t="s">
        <v>825</v>
      </c>
      <c r="G780" t="s">
        <v>854</v>
      </c>
      <c r="H780">
        <v>2957</v>
      </c>
      <c r="I780" t="s">
        <v>833</v>
      </c>
      <c r="J780" t="s">
        <v>842</v>
      </c>
      <c r="K780" s="2">
        <v>45597</v>
      </c>
      <c r="L780">
        <v>2024</v>
      </c>
      <c r="M780">
        <v>47312</v>
      </c>
      <c r="N780" t="s">
        <v>863</v>
      </c>
    </row>
    <row r="781" spans="1:14" x14ac:dyDescent="0.3">
      <c r="A781" t="s">
        <v>1286</v>
      </c>
      <c r="B781" t="s">
        <v>465</v>
      </c>
      <c r="C781" t="s">
        <v>806</v>
      </c>
      <c r="D781" t="s">
        <v>817</v>
      </c>
      <c r="E781">
        <v>6</v>
      </c>
      <c r="F781" t="s">
        <v>828</v>
      </c>
      <c r="G781" t="s">
        <v>874</v>
      </c>
      <c r="H781">
        <v>5344</v>
      </c>
      <c r="I781" t="s">
        <v>833</v>
      </c>
      <c r="J781" t="s">
        <v>844</v>
      </c>
      <c r="K781" s="2">
        <v>44652</v>
      </c>
      <c r="L781">
        <v>2022</v>
      </c>
      <c r="M781">
        <v>32064</v>
      </c>
      <c r="N781" t="s">
        <v>852</v>
      </c>
    </row>
    <row r="782" spans="1:14" x14ac:dyDescent="0.3">
      <c r="A782" t="s">
        <v>1287</v>
      </c>
      <c r="B782" t="s">
        <v>466</v>
      </c>
      <c r="C782" t="s">
        <v>806</v>
      </c>
      <c r="D782" t="s">
        <v>817</v>
      </c>
      <c r="E782">
        <v>6</v>
      </c>
      <c r="F782" t="s">
        <v>826</v>
      </c>
      <c r="G782" t="s">
        <v>872</v>
      </c>
      <c r="H782">
        <v>5344</v>
      </c>
      <c r="I782" t="s">
        <v>833</v>
      </c>
      <c r="J782" t="s">
        <v>844</v>
      </c>
      <c r="K782" s="2">
        <v>45689</v>
      </c>
      <c r="L782">
        <v>2025</v>
      </c>
      <c r="M782">
        <v>32064</v>
      </c>
      <c r="N782" t="s">
        <v>852</v>
      </c>
    </row>
    <row r="783" spans="1:14" x14ac:dyDescent="0.3">
      <c r="A783" t="s">
        <v>1288</v>
      </c>
      <c r="B783" t="s">
        <v>467</v>
      </c>
      <c r="C783" t="s">
        <v>805</v>
      </c>
      <c r="D783" t="s">
        <v>812</v>
      </c>
      <c r="E783">
        <v>19</v>
      </c>
      <c r="F783" t="s">
        <v>829</v>
      </c>
      <c r="G783" t="s">
        <v>894</v>
      </c>
      <c r="H783">
        <v>6061</v>
      </c>
      <c r="I783" t="s">
        <v>834</v>
      </c>
      <c r="J783" t="s">
        <v>841</v>
      </c>
      <c r="K783" s="2">
        <v>44317</v>
      </c>
      <c r="L783">
        <v>2021</v>
      </c>
      <c r="M783">
        <v>115159</v>
      </c>
      <c r="N783" t="s">
        <v>863</v>
      </c>
    </row>
    <row r="784" spans="1:14" x14ac:dyDescent="0.3">
      <c r="A784" t="s">
        <v>1289</v>
      </c>
      <c r="B784" t="s">
        <v>468</v>
      </c>
      <c r="C784" t="s">
        <v>805</v>
      </c>
      <c r="D784" t="s">
        <v>812</v>
      </c>
      <c r="E784">
        <v>19</v>
      </c>
      <c r="F784" t="s">
        <v>827</v>
      </c>
      <c r="G784" t="s">
        <v>876</v>
      </c>
      <c r="H784">
        <v>6061</v>
      </c>
      <c r="I784" t="s">
        <v>834</v>
      </c>
      <c r="J784" t="s">
        <v>841</v>
      </c>
      <c r="K784" s="2">
        <v>44562</v>
      </c>
      <c r="L784">
        <v>2022</v>
      </c>
      <c r="M784">
        <v>115159</v>
      </c>
      <c r="N784" t="s">
        <v>863</v>
      </c>
    </row>
    <row r="785" spans="1:14" x14ac:dyDescent="0.3">
      <c r="A785" t="s">
        <v>1290</v>
      </c>
      <c r="B785" t="s">
        <v>469</v>
      </c>
      <c r="C785" t="s">
        <v>807</v>
      </c>
      <c r="D785" t="s">
        <v>813</v>
      </c>
      <c r="E785">
        <v>7</v>
      </c>
      <c r="F785" t="s">
        <v>826</v>
      </c>
      <c r="G785" t="s">
        <v>865</v>
      </c>
      <c r="H785">
        <v>5376</v>
      </c>
      <c r="I785" t="s">
        <v>835</v>
      </c>
      <c r="J785" t="s">
        <v>844</v>
      </c>
      <c r="K785" s="2">
        <v>45658</v>
      </c>
      <c r="L785">
        <v>2025</v>
      </c>
      <c r="M785">
        <v>37632</v>
      </c>
      <c r="N785" t="s">
        <v>852</v>
      </c>
    </row>
    <row r="786" spans="1:14" x14ac:dyDescent="0.3">
      <c r="A786" t="s">
        <v>1291</v>
      </c>
      <c r="B786" t="s">
        <v>470</v>
      </c>
      <c r="C786" t="s">
        <v>805</v>
      </c>
      <c r="D786" t="s">
        <v>810</v>
      </c>
      <c r="E786">
        <v>8</v>
      </c>
      <c r="F786" t="s">
        <v>824</v>
      </c>
      <c r="G786" t="s">
        <v>851</v>
      </c>
      <c r="H786">
        <v>2792</v>
      </c>
      <c r="I786" t="s">
        <v>836</v>
      </c>
      <c r="J786" t="s">
        <v>842</v>
      </c>
      <c r="K786" s="2">
        <v>44228</v>
      </c>
      <c r="L786">
        <v>2021</v>
      </c>
      <c r="M786">
        <v>22336</v>
      </c>
      <c r="N786" t="s">
        <v>852</v>
      </c>
    </row>
    <row r="787" spans="1:14" x14ac:dyDescent="0.3">
      <c r="A787" t="s">
        <v>1292</v>
      </c>
      <c r="B787" t="s">
        <v>471</v>
      </c>
      <c r="C787" t="s">
        <v>806</v>
      </c>
      <c r="D787" t="s">
        <v>818</v>
      </c>
      <c r="E787">
        <v>5</v>
      </c>
      <c r="F787" t="s">
        <v>829</v>
      </c>
      <c r="G787" t="s">
        <v>886</v>
      </c>
      <c r="H787">
        <v>2944</v>
      </c>
      <c r="I787" t="s">
        <v>835</v>
      </c>
      <c r="J787" t="s">
        <v>842</v>
      </c>
      <c r="K787" s="2">
        <v>45505</v>
      </c>
      <c r="L787">
        <v>2024</v>
      </c>
      <c r="M787">
        <v>14720</v>
      </c>
      <c r="N787" t="s">
        <v>852</v>
      </c>
    </row>
    <row r="788" spans="1:14" x14ac:dyDescent="0.3">
      <c r="A788" t="s">
        <v>1293</v>
      </c>
      <c r="B788" t="s">
        <v>472</v>
      </c>
      <c r="C788" t="s">
        <v>806</v>
      </c>
      <c r="D788" t="s">
        <v>818</v>
      </c>
      <c r="E788">
        <v>5</v>
      </c>
      <c r="F788" t="s">
        <v>828</v>
      </c>
      <c r="G788" t="s">
        <v>874</v>
      </c>
      <c r="H788">
        <v>2944</v>
      </c>
      <c r="I788" t="s">
        <v>835</v>
      </c>
      <c r="J788" t="s">
        <v>842</v>
      </c>
      <c r="K788" s="2">
        <v>44896</v>
      </c>
      <c r="L788">
        <v>2022</v>
      </c>
      <c r="M788">
        <v>14720</v>
      </c>
      <c r="N788" t="s">
        <v>852</v>
      </c>
    </row>
    <row r="789" spans="1:14" x14ac:dyDescent="0.3">
      <c r="A789" t="s">
        <v>1294</v>
      </c>
      <c r="B789" t="s">
        <v>473</v>
      </c>
      <c r="C789" t="s">
        <v>806</v>
      </c>
      <c r="D789" t="s">
        <v>815</v>
      </c>
      <c r="E789">
        <v>13</v>
      </c>
      <c r="F789" t="s">
        <v>825</v>
      </c>
      <c r="G789" t="s">
        <v>870</v>
      </c>
      <c r="H789">
        <v>4220</v>
      </c>
      <c r="I789" t="s">
        <v>834</v>
      </c>
      <c r="J789" t="s">
        <v>844</v>
      </c>
      <c r="K789" s="2">
        <v>45352</v>
      </c>
      <c r="L789">
        <v>2024</v>
      </c>
      <c r="M789">
        <v>54860</v>
      </c>
      <c r="N789" t="s">
        <v>857</v>
      </c>
    </row>
    <row r="790" spans="1:14" x14ac:dyDescent="0.3">
      <c r="A790" t="s">
        <v>1167</v>
      </c>
      <c r="B790" t="s">
        <v>474</v>
      </c>
      <c r="C790" t="s">
        <v>806</v>
      </c>
      <c r="D790" t="s">
        <v>815</v>
      </c>
      <c r="E790">
        <v>13</v>
      </c>
      <c r="F790" t="s">
        <v>825</v>
      </c>
      <c r="G790" t="s">
        <v>921</v>
      </c>
      <c r="H790">
        <v>4220</v>
      </c>
      <c r="I790" t="s">
        <v>834</v>
      </c>
      <c r="J790" t="s">
        <v>844</v>
      </c>
      <c r="K790" s="2">
        <v>44166</v>
      </c>
      <c r="L790">
        <v>2020</v>
      </c>
      <c r="M790">
        <v>54860</v>
      </c>
      <c r="N790" t="s">
        <v>857</v>
      </c>
    </row>
    <row r="791" spans="1:14" x14ac:dyDescent="0.3">
      <c r="A791" t="s">
        <v>1022</v>
      </c>
      <c r="B791" t="s">
        <v>475</v>
      </c>
      <c r="C791" t="s">
        <v>806</v>
      </c>
      <c r="D791" t="s">
        <v>818</v>
      </c>
      <c r="E791">
        <v>4</v>
      </c>
      <c r="F791" t="s">
        <v>828</v>
      </c>
      <c r="G791" t="s">
        <v>880</v>
      </c>
      <c r="H791">
        <v>8526</v>
      </c>
      <c r="I791" t="s">
        <v>833</v>
      </c>
      <c r="J791" t="s">
        <v>843</v>
      </c>
      <c r="K791" s="2">
        <v>44986</v>
      </c>
      <c r="L791">
        <v>2023</v>
      </c>
      <c r="M791">
        <v>34104</v>
      </c>
      <c r="N791" t="s">
        <v>868</v>
      </c>
    </row>
    <row r="792" spans="1:14" x14ac:dyDescent="0.3">
      <c r="A792" t="s">
        <v>995</v>
      </c>
      <c r="B792" t="s">
        <v>476</v>
      </c>
      <c r="C792" t="s">
        <v>807</v>
      </c>
      <c r="D792" t="s">
        <v>820</v>
      </c>
      <c r="E792">
        <v>19</v>
      </c>
      <c r="F792" t="s">
        <v>827</v>
      </c>
      <c r="G792" t="s">
        <v>883</v>
      </c>
      <c r="H792">
        <v>8218</v>
      </c>
      <c r="I792" t="s">
        <v>835</v>
      </c>
      <c r="J792" t="s">
        <v>843</v>
      </c>
      <c r="K792" s="2">
        <v>45078</v>
      </c>
      <c r="L792">
        <v>2023</v>
      </c>
      <c r="M792">
        <v>156142</v>
      </c>
      <c r="N792" t="s">
        <v>863</v>
      </c>
    </row>
    <row r="793" spans="1:14" x14ac:dyDescent="0.3">
      <c r="A793" t="s">
        <v>1295</v>
      </c>
      <c r="B793" t="s">
        <v>477</v>
      </c>
      <c r="C793" t="s">
        <v>805</v>
      </c>
      <c r="D793" t="s">
        <v>819</v>
      </c>
      <c r="E793">
        <v>4</v>
      </c>
      <c r="F793" t="s">
        <v>826</v>
      </c>
      <c r="G793" t="s">
        <v>856</v>
      </c>
      <c r="H793">
        <v>599</v>
      </c>
      <c r="I793" t="s">
        <v>835</v>
      </c>
      <c r="J793" t="s">
        <v>840</v>
      </c>
      <c r="K793" s="2">
        <v>44743</v>
      </c>
      <c r="L793">
        <v>2022</v>
      </c>
      <c r="M793">
        <v>2396</v>
      </c>
      <c r="N793" t="s">
        <v>868</v>
      </c>
    </row>
    <row r="794" spans="1:14" x14ac:dyDescent="0.3">
      <c r="A794" t="s">
        <v>1296</v>
      </c>
      <c r="B794" t="s">
        <v>478</v>
      </c>
      <c r="C794" t="s">
        <v>805</v>
      </c>
      <c r="D794" t="s">
        <v>819</v>
      </c>
      <c r="E794">
        <v>4</v>
      </c>
      <c r="F794" t="s">
        <v>826</v>
      </c>
      <c r="G794" t="s">
        <v>872</v>
      </c>
      <c r="H794">
        <v>599</v>
      </c>
      <c r="I794" t="s">
        <v>835</v>
      </c>
      <c r="J794" t="s">
        <v>840</v>
      </c>
      <c r="K794" s="2">
        <v>45627</v>
      </c>
      <c r="L794">
        <v>2024</v>
      </c>
      <c r="M794">
        <v>2396</v>
      </c>
      <c r="N794" t="s">
        <v>868</v>
      </c>
    </row>
    <row r="795" spans="1:14" x14ac:dyDescent="0.3">
      <c r="A795" t="s">
        <v>1295</v>
      </c>
      <c r="B795" t="s">
        <v>477</v>
      </c>
      <c r="C795" t="s">
        <v>807</v>
      </c>
      <c r="D795" t="s">
        <v>820</v>
      </c>
      <c r="E795">
        <v>10</v>
      </c>
      <c r="F795" t="s">
        <v>826</v>
      </c>
      <c r="G795" t="s">
        <v>856</v>
      </c>
      <c r="H795">
        <v>2727</v>
      </c>
      <c r="I795" t="s">
        <v>835</v>
      </c>
      <c r="J795" t="s">
        <v>842</v>
      </c>
      <c r="K795" s="2">
        <v>44743</v>
      </c>
      <c r="L795">
        <v>2022</v>
      </c>
      <c r="M795">
        <v>27270</v>
      </c>
      <c r="N795" t="s">
        <v>857</v>
      </c>
    </row>
    <row r="796" spans="1:14" x14ac:dyDescent="0.3">
      <c r="A796" t="s">
        <v>1296</v>
      </c>
      <c r="B796" t="s">
        <v>478</v>
      </c>
      <c r="C796" t="s">
        <v>807</v>
      </c>
      <c r="D796" t="s">
        <v>820</v>
      </c>
      <c r="E796">
        <v>10</v>
      </c>
      <c r="F796" t="s">
        <v>826</v>
      </c>
      <c r="G796" t="s">
        <v>872</v>
      </c>
      <c r="H796">
        <v>2727</v>
      </c>
      <c r="I796" t="s">
        <v>835</v>
      </c>
      <c r="J796" t="s">
        <v>842</v>
      </c>
      <c r="K796" s="2">
        <v>45627</v>
      </c>
      <c r="L796">
        <v>2024</v>
      </c>
      <c r="M796">
        <v>27270</v>
      </c>
      <c r="N796" t="s">
        <v>857</v>
      </c>
    </row>
    <row r="797" spans="1:14" x14ac:dyDescent="0.3">
      <c r="A797" t="s">
        <v>1297</v>
      </c>
      <c r="B797" t="s">
        <v>479</v>
      </c>
      <c r="C797" t="s">
        <v>806</v>
      </c>
      <c r="D797" t="s">
        <v>811</v>
      </c>
      <c r="E797">
        <v>11</v>
      </c>
      <c r="F797" t="s">
        <v>827</v>
      </c>
      <c r="G797" t="s">
        <v>883</v>
      </c>
      <c r="H797">
        <v>2589</v>
      </c>
      <c r="I797" t="s">
        <v>834</v>
      </c>
      <c r="J797" t="s">
        <v>842</v>
      </c>
      <c r="K797" s="2">
        <v>45231</v>
      </c>
      <c r="L797">
        <v>2023</v>
      </c>
      <c r="M797">
        <v>28479</v>
      </c>
      <c r="N797" t="s">
        <v>857</v>
      </c>
    </row>
    <row r="798" spans="1:14" x14ac:dyDescent="0.3">
      <c r="A798" t="s">
        <v>1238</v>
      </c>
      <c r="B798" t="s">
        <v>480</v>
      </c>
      <c r="C798" t="s">
        <v>806</v>
      </c>
      <c r="D798" t="s">
        <v>811</v>
      </c>
      <c r="E798">
        <v>11</v>
      </c>
      <c r="F798" t="s">
        <v>829</v>
      </c>
      <c r="G798" t="s">
        <v>894</v>
      </c>
      <c r="H798">
        <v>2589</v>
      </c>
      <c r="I798" t="s">
        <v>834</v>
      </c>
      <c r="J798" t="s">
        <v>842</v>
      </c>
      <c r="K798" s="2">
        <v>45566</v>
      </c>
      <c r="L798">
        <v>2024</v>
      </c>
      <c r="M798">
        <v>28479</v>
      </c>
      <c r="N798" t="s">
        <v>857</v>
      </c>
    </row>
    <row r="799" spans="1:14" x14ac:dyDescent="0.3">
      <c r="A799" t="s">
        <v>1298</v>
      </c>
      <c r="B799" t="s">
        <v>481</v>
      </c>
      <c r="C799" t="s">
        <v>805</v>
      </c>
      <c r="D799" t="s">
        <v>809</v>
      </c>
      <c r="E799">
        <v>9</v>
      </c>
      <c r="F799" t="s">
        <v>828</v>
      </c>
      <c r="G799" t="s">
        <v>880</v>
      </c>
      <c r="H799">
        <v>3776</v>
      </c>
      <c r="I799" t="s">
        <v>834</v>
      </c>
      <c r="J799" t="s">
        <v>842</v>
      </c>
      <c r="K799" s="2">
        <v>44866</v>
      </c>
      <c r="L799">
        <v>2022</v>
      </c>
      <c r="M799">
        <v>33984</v>
      </c>
      <c r="N799" t="s">
        <v>852</v>
      </c>
    </row>
    <row r="800" spans="1:14" x14ac:dyDescent="0.3">
      <c r="A800" t="s">
        <v>1299</v>
      </c>
      <c r="B800" t="s">
        <v>482</v>
      </c>
      <c r="C800" t="s">
        <v>805</v>
      </c>
      <c r="D800" t="s">
        <v>809</v>
      </c>
      <c r="E800">
        <v>9</v>
      </c>
      <c r="F800" t="s">
        <v>825</v>
      </c>
      <c r="G800" t="s">
        <v>921</v>
      </c>
      <c r="H800">
        <v>3776</v>
      </c>
      <c r="I800" t="s">
        <v>834</v>
      </c>
      <c r="J800" t="s">
        <v>842</v>
      </c>
      <c r="K800" s="2">
        <v>44896</v>
      </c>
      <c r="L800">
        <v>2022</v>
      </c>
      <c r="M800">
        <v>33984</v>
      </c>
      <c r="N800" t="s">
        <v>852</v>
      </c>
    </row>
    <row r="801" spans="1:14" x14ac:dyDescent="0.3">
      <c r="A801" t="s">
        <v>1300</v>
      </c>
      <c r="B801" t="s">
        <v>483</v>
      </c>
      <c r="C801" t="s">
        <v>807</v>
      </c>
      <c r="D801" t="s">
        <v>820</v>
      </c>
      <c r="E801">
        <v>12</v>
      </c>
      <c r="F801" t="s">
        <v>829</v>
      </c>
      <c r="G801" t="s">
        <v>894</v>
      </c>
      <c r="H801">
        <v>5402</v>
      </c>
      <c r="I801" t="s">
        <v>834</v>
      </c>
      <c r="J801" t="s">
        <v>844</v>
      </c>
      <c r="K801" s="2">
        <v>45689</v>
      </c>
      <c r="L801">
        <v>2025</v>
      </c>
      <c r="M801">
        <v>64824</v>
      </c>
      <c r="N801" t="s">
        <v>857</v>
      </c>
    </row>
    <row r="802" spans="1:14" x14ac:dyDescent="0.3">
      <c r="A802" t="s">
        <v>1301</v>
      </c>
      <c r="B802" t="s">
        <v>484</v>
      </c>
      <c r="C802" t="s">
        <v>806</v>
      </c>
      <c r="D802" t="s">
        <v>811</v>
      </c>
      <c r="E802">
        <v>16</v>
      </c>
      <c r="F802" t="s">
        <v>825</v>
      </c>
      <c r="G802" t="s">
        <v>921</v>
      </c>
      <c r="H802">
        <v>5165</v>
      </c>
      <c r="I802" t="s">
        <v>834</v>
      </c>
      <c r="J802" t="s">
        <v>844</v>
      </c>
      <c r="K802" s="2">
        <v>44866</v>
      </c>
      <c r="L802">
        <v>2022</v>
      </c>
      <c r="M802">
        <v>82640</v>
      </c>
      <c r="N802" t="s">
        <v>863</v>
      </c>
    </row>
    <row r="803" spans="1:14" x14ac:dyDescent="0.3">
      <c r="A803" t="s">
        <v>1301</v>
      </c>
      <c r="B803" t="s">
        <v>484</v>
      </c>
      <c r="C803" t="s">
        <v>807</v>
      </c>
      <c r="D803" t="s">
        <v>820</v>
      </c>
      <c r="E803">
        <v>4</v>
      </c>
      <c r="F803" t="s">
        <v>825</v>
      </c>
      <c r="G803" t="s">
        <v>921</v>
      </c>
      <c r="H803">
        <v>4863</v>
      </c>
      <c r="I803" t="s">
        <v>834</v>
      </c>
      <c r="J803" t="s">
        <v>844</v>
      </c>
      <c r="K803" s="2">
        <v>44866</v>
      </c>
      <c r="L803">
        <v>2022</v>
      </c>
      <c r="M803">
        <v>19452</v>
      </c>
      <c r="N803" t="s">
        <v>868</v>
      </c>
    </row>
    <row r="804" spans="1:14" x14ac:dyDescent="0.3">
      <c r="A804" t="s">
        <v>1302</v>
      </c>
      <c r="B804" t="s">
        <v>485</v>
      </c>
      <c r="C804" t="s">
        <v>806</v>
      </c>
      <c r="D804" t="s">
        <v>811</v>
      </c>
      <c r="E804">
        <v>15</v>
      </c>
      <c r="F804" t="s">
        <v>824</v>
      </c>
      <c r="G804" t="s">
        <v>859</v>
      </c>
      <c r="H804">
        <v>1626</v>
      </c>
      <c r="I804" t="s">
        <v>834</v>
      </c>
      <c r="J804" t="s">
        <v>840</v>
      </c>
      <c r="K804" s="2">
        <v>44348</v>
      </c>
      <c r="L804">
        <v>2021</v>
      </c>
      <c r="M804">
        <v>24390</v>
      </c>
      <c r="N804" t="s">
        <v>863</v>
      </c>
    </row>
    <row r="805" spans="1:14" x14ac:dyDescent="0.3">
      <c r="A805" t="s">
        <v>1033</v>
      </c>
      <c r="B805" t="s">
        <v>486</v>
      </c>
      <c r="C805" t="s">
        <v>807</v>
      </c>
      <c r="D805" t="s">
        <v>813</v>
      </c>
      <c r="E805">
        <v>7</v>
      </c>
      <c r="F805" t="s">
        <v>824</v>
      </c>
      <c r="G805" t="s">
        <v>851</v>
      </c>
      <c r="H805">
        <v>8851</v>
      </c>
      <c r="I805" t="s">
        <v>834</v>
      </c>
      <c r="J805" t="s">
        <v>843</v>
      </c>
      <c r="K805" s="2">
        <v>44075</v>
      </c>
      <c r="L805">
        <v>2020</v>
      </c>
      <c r="M805">
        <v>61957</v>
      </c>
      <c r="N805" t="s">
        <v>852</v>
      </c>
    </row>
    <row r="806" spans="1:14" x14ac:dyDescent="0.3">
      <c r="A806" t="s">
        <v>953</v>
      </c>
      <c r="B806" t="s">
        <v>487</v>
      </c>
      <c r="C806" t="s">
        <v>807</v>
      </c>
      <c r="D806" t="s">
        <v>813</v>
      </c>
      <c r="E806">
        <v>9</v>
      </c>
      <c r="F806" t="s">
        <v>826</v>
      </c>
      <c r="G806" t="s">
        <v>872</v>
      </c>
      <c r="H806">
        <v>9680</v>
      </c>
      <c r="I806" t="s">
        <v>836</v>
      </c>
      <c r="J806" t="s">
        <v>843</v>
      </c>
      <c r="K806" s="2">
        <v>45383</v>
      </c>
      <c r="L806">
        <v>2024</v>
      </c>
      <c r="M806">
        <v>87120</v>
      </c>
      <c r="N806" t="s">
        <v>852</v>
      </c>
    </row>
    <row r="807" spans="1:14" x14ac:dyDescent="0.3">
      <c r="A807" t="s">
        <v>953</v>
      </c>
      <c r="B807" t="s">
        <v>487</v>
      </c>
      <c r="C807" t="s">
        <v>806</v>
      </c>
      <c r="D807" t="s">
        <v>811</v>
      </c>
      <c r="E807">
        <v>8</v>
      </c>
      <c r="F807" t="s">
        <v>826</v>
      </c>
      <c r="G807" t="s">
        <v>872</v>
      </c>
      <c r="H807">
        <v>8468</v>
      </c>
      <c r="I807" t="s">
        <v>832</v>
      </c>
      <c r="J807" t="s">
        <v>843</v>
      </c>
      <c r="K807" s="2">
        <v>45383</v>
      </c>
      <c r="L807">
        <v>2024</v>
      </c>
      <c r="M807">
        <v>67744</v>
      </c>
      <c r="N807" t="s">
        <v>852</v>
      </c>
    </row>
    <row r="808" spans="1:14" x14ac:dyDescent="0.3">
      <c r="A808" t="s">
        <v>953</v>
      </c>
      <c r="B808" t="s">
        <v>487</v>
      </c>
      <c r="C808" t="s">
        <v>807</v>
      </c>
      <c r="D808" t="s">
        <v>814</v>
      </c>
      <c r="E808">
        <v>14</v>
      </c>
      <c r="F808" t="s">
        <v>826</v>
      </c>
      <c r="G808" t="s">
        <v>872</v>
      </c>
      <c r="H808">
        <v>4441</v>
      </c>
      <c r="I808" t="s">
        <v>833</v>
      </c>
      <c r="J808" t="s">
        <v>844</v>
      </c>
      <c r="K808" s="2">
        <v>45383</v>
      </c>
      <c r="L808">
        <v>2024</v>
      </c>
      <c r="M808">
        <v>62174</v>
      </c>
      <c r="N808" t="s">
        <v>857</v>
      </c>
    </row>
    <row r="809" spans="1:14" x14ac:dyDescent="0.3">
      <c r="A809" t="s">
        <v>1303</v>
      </c>
      <c r="B809" t="s">
        <v>488</v>
      </c>
      <c r="C809" t="s">
        <v>807</v>
      </c>
      <c r="D809" t="s">
        <v>816</v>
      </c>
      <c r="E809">
        <v>8</v>
      </c>
      <c r="F809" t="s">
        <v>826</v>
      </c>
      <c r="G809" t="s">
        <v>865</v>
      </c>
      <c r="H809">
        <v>6622</v>
      </c>
      <c r="I809" t="s">
        <v>836</v>
      </c>
      <c r="J809" t="s">
        <v>841</v>
      </c>
      <c r="K809" s="2">
        <v>45383</v>
      </c>
      <c r="L809">
        <v>2024</v>
      </c>
      <c r="M809">
        <v>52976</v>
      </c>
      <c r="N809" t="s">
        <v>852</v>
      </c>
    </row>
    <row r="810" spans="1:14" x14ac:dyDescent="0.3">
      <c r="A810" t="s">
        <v>1304</v>
      </c>
      <c r="B810" t="s">
        <v>489</v>
      </c>
      <c r="C810" t="s">
        <v>807</v>
      </c>
      <c r="D810" t="s">
        <v>813</v>
      </c>
      <c r="E810">
        <v>17</v>
      </c>
      <c r="F810" t="s">
        <v>827</v>
      </c>
      <c r="G810" t="s">
        <v>876</v>
      </c>
      <c r="H810">
        <v>3260</v>
      </c>
      <c r="I810" t="s">
        <v>832</v>
      </c>
      <c r="J810" t="s">
        <v>842</v>
      </c>
      <c r="K810" s="2">
        <v>45261</v>
      </c>
      <c r="L810">
        <v>2023</v>
      </c>
      <c r="M810">
        <v>55420</v>
      </c>
      <c r="N810" t="s">
        <v>863</v>
      </c>
    </row>
    <row r="811" spans="1:14" x14ac:dyDescent="0.3">
      <c r="A811" t="s">
        <v>1208</v>
      </c>
      <c r="B811" t="s">
        <v>490</v>
      </c>
      <c r="C811" t="s">
        <v>807</v>
      </c>
      <c r="D811" t="s">
        <v>813</v>
      </c>
      <c r="E811">
        <v>8</v>
      </c>
      <c r="F811" t="s">
        <v>828</v>
      </c>
      <c r="G811" t="s">
        <v>880</v>
      </c>
      <c r="H811">
        <v>8709</v>
      </c>
      <c r="I811" t="s">
        <v>833</v>
      </c>
      <c r="J811" t="s">
        <v>843</v>
      </c>
      <c r="K811" s="2">
        <v>45413</v>
      </c>
      <c r="L811">
        <v>2024</v>
      </c>
      <c r="M811">
        <v>69672</v>
      </c>
      <c r="N811" t="s">
        <v>852</v>
      </c>
    </row>
    <row r="812" spans="1:14" x14ac:dyDescent="0.3">
      <c r="A812" t="s">
        <v>1305</v>
      </c>
      <c r="B812" t="s">
        <v>491</v>
      </c>
      <c r="C812" t="s">
        <v>807</v>
      </c>
      <c r="D812" t="s">
        <v>813</v>
      </c>
      <c r="E812">
        <v>8</v>
      </c>
      <c r="F812" t="s">
        <v>827</v>
      </c>
      <c r="G812" t="s">
        <v>883</v>
      </c>
      <c r="H812">
        <v>8709</v>
      </c>
      <c r="I812" t="s">
        <v>833</v>
      </c>
      <c r="J812" t="s">
        <v>843</v>
      </c>
      <c r="K812" s="2">
        <v>45597</v>
      </c>
      <c r="L812">
        <v>2024</v>
      </c>
      <c r="M812">
        <v>69672</v>
      </c>
      <c r="N812" t="s">
        <v>852</v>
      </c>
    </row>
    <row r="813" spans="1:14" x14ac:dyDescent="0.3">
      <c r="A813" t="s">
        <v>1306</v>
      </c>
      <c r="B813" t="s">
        <v>492</v>
      </c>
      <c r="C813" t="s">
        <v>806</v>
      </c>
      <c r="D813" t="s">
        <v>818</v>
      </c>
      <c r="E813">
        <v>1</v>
      </c>
      <c r="F813" t="s">
        <v>829</v>
      </c>
      <c r="G813" t="s">
        <v>890</v>
      </c>
      <c r="H813">
        <v>5250</v>
      </c>
      <c r="I813" t="s">
        <v>836</v>
      </c>
      <c r="J813" t="s">
        <v>844</v>
      </c>
      <c r="K813" s="2">
        <v>44621</v>
      </c>
      <c r="L813">
        <v>2022</v>
      </c>
      <c r="M813">
        <v>5250</v>
      </c>
      <c r="N813" t="s">
        <v>868</v>
      </c>
    </row>
    <row r="814" spans="1:14" x14ac:dyDescent="0.3">
      <c r="A814" t="s">
        <v>1307</v>
      </c>
      <c r="B814" t="s">
        <v>493</v>
      </c>
      <c r="C814" t="s">
        <v>806</v>
      </c>
      <c r="D814" t="s">
        <v>818</v>
      </c>
      <c r="E814">
        <v>1</v>
      </c>
      <c r="F814" t="s">
        <v>828</v>
      </c>
      <c r="G814" t="s">
        <v>904</v>
      </c>
      <c r="H814">
        <v>5250</v>
      </c>
      <c r="I814" t="s">
        <v>836</v>
      </c>
      <c r="J814" t="s">
        <v>844</v>
      </c>
      <c r="K814" s="2">
        <v>45047</v>
      </c>
      <c r="L814">
        <v>2023</v>
      </c>
      <c r="M814">
        <v>5250</v>
      </c>
      <c r="N814" t="s">
        <v>868</v>
      </c>
    </row>
    <row r="815" spans="1:14" x14ac:dyDescent="0.3">
      <c r="A815" t="s">
        <v>1308</v>
      </c>
      <c r="B815" t="s">
        <v>494</v>
      </c>
      <c r="C815" t="s">
        <v>806</v>
      </c>
      <c r="D815" t="s">
        <v>817</v>
      </c>
      <c r="E815">
        <v>20</v>
      </c>
      <c r="F815" t="s">
        <v>827</v>
      </c>
      <c r="G815" t="s">
        <v>862</v>
      </c>
      <c r="H815">
        <v>4116</v>
      </c>
      <c r="I815" t="s">
        <v>832</v>
      </c>
      <c r="J815" t="s">
        <v>844</v>
      </c>
      <c r="K815" s="2">
        <v>45566</v>
      </c>
      <c r="L815">
        <v>2024</v>
      </c>
      <c r="M815">
        <v>82320</v>
      </c>
      <c r="N815" t="s">
        <v>863</v>
      </c>
    </row>
    <row r="816" spans="1:14" x14ac:dyDescent="0.3">
      <c r="A816" t="s">
        <v>1309</v>
      </c>
      <c r="B816" t="s">
        <v>495</v>
      </c>
      <c r="C816" t="s">
        <v>806</v>
      </c>
      <c r="D816" t="s">
        <v>817</v>
      </c>
      <c r="E816">
        <v>20</v>
      </c>
      <c r="F816" t="s">
        <v>825</v>
      </c>
      <c r="G816" t="s">
        <v>870</v>
      </c>
      <c r="H816">
        <v>4116</v>
      </c>
      <c r="I816" t="s">
        <v>832</v>
      </c>
      <c r="J816" t="s">
        <v>844</v>
      </c>
      <c r="K816" s="2">
        <v>44075</v>
      </c>
      <c r="L816">
        <v>2020</v>
      </c>
      <c r="M816">
        <v>82320</v>
      </c>
      <c r="N816" t="s">
        <v>863</v>
      </c>
    </row>
    <row r="817" spans="1:14" x14ac:dyDescent="0.3">
      <c r="A817" t="s">
        <v>1310</v>
      </c>
      <c r="B817" t="s">
        <v>496</v>
      </c>
      <c r="C817" t="s">
        <v>806</v>
      </c>
      <c r="D817" t="s">
        <v>817</v>
      </c>
      <c r="E817">
        <v>15</v>
      </c>
      <c r="F817" t="s">
        <v>827</v>
      </c>
      <c r="G817" t="s">
        <v>862</v>
      </c>
      <c r="H817">
        <v>1109</v>
      </c>
      <c r="I817" t="s">
        <v>832</v>
      </c>
      <c r="J817" t="s">
        <v>840</v>
      </c>
      <c r="K817" s="2">
        <v>44409</v>
      </c>
      <c r="L817">
        <v>2021</v>
      </c>
      <c r="M817">
        <v>16635</v>
      </c>
      <c r="N817" t="s">
        <v>863</v>
      </c>
    </row>
    <row r="818" spans="1:14" x14ac:dyDescent="0.3">
      <c r="A818" t="s">
        <v>1224</v>
      </c>
      <c r="B818" t="s">
        <v>203</v>
      </c>
      <c r="C818" t="s">
        <v>806</v>
      </c>
      <c r="D818" t="s">
        <v>811</v>
      </c>
      <c r="E818">
        <v>7</v>
      </c>
      <c r="F818" t="s">
        <v>826</v>
      </c>
      <c r="G818" t="s">
        <v>872</v>
      </c>
      <c r="H818">
        <v>3573</v>
      </c>
      <c r="I818" t="s">
        <v>834</v>
      </c>
      <c r="J818" t="s">
        <v>842</v>
      </c>
      <c r="K818" s="2">
        <v>44835</v>
      </c>
      <c r="L818">
        <v>2022</v>
      </c>
      <c r="M818">
        <v>25011</v>
      </c>
      <c r="N818" t="s">
        <v>852</v>
      </c>
    </row>
    <row r="819" spans="1:14" x14ac:dyDescent="0.3">
      <c r="A819" t="s">
        <v>1311</v>
      </c>
      <c r="B819" t="s">
        <v>497</v>
      </c>
      <c r="C819" t="s">
        <v>806</v>
      </c>
      <c r="D819" t="s">
        <v>811</v>
      </c>
      <c r="E819">
        <v>7</v>
      </c>
      <c r="F819" t="s">
        <v>827</v>
      </c>
      <c r="G819" t="s">
        <v>876</v>
      </c>
      <c r="H819">
        <v>3573</v>
      </c>
      <c r="I819" t="s">
        <v>834</v>
      </c>
      <c r="J819" t="s">
        <v>842</v>
      </c>
      <c r="K819" s="2">
        <v>43952</v>
      </c>
      <c r="L819">
        <v>2020</v>
      </c>
      <c r="M819">
        <v>25011</v>
      </c>
      <c r="N819" t="s">
        <v>852</v>
      </c>
    </row>
    <row r="820" spans="1:14" x14ac:dyDescent="0.3">
      <c r="A820" t="s">
        <v>1312</v>
      </c>
      <c r="B820" t="s">
        <v>498</v>
      </c>
      <c r="C820" t="s">
        <v>806</v>
      </c>
      <c r="D820" t="s">
        <v>811</v>
      </c>
      <c r="E820">
        <v>7</v>
      </c>
      <c r="F820" t="s">
        <v>824</v>
      </c>
      <c r="G820" t="s">
        <v>910</v>
      </c>
      <c r="H820">
        <v>3573</v>
      </c>
      <c r="I820" t="s">
        <v>834</v>
      </c>
      <c r="J820" t="s">
        <v>842</v>
      </c>
      <c r="K820" s="2">
        <v>43922</v>
      </c>
      <c r="L820">
        <v>2020</v>
      </c>
      <c r="M820">
        <v>25011</v>
      </c>
      <c r="N820" t="s">
        <v>852</v>
      </c>
    </row>
    <row r="821" spans="1:14" x14ac:dyDescent="0.3">
      <c r="A821" t="s">
        <v>1224</v>
      </c>
      <c r="B821" t="s">
        <v>203</v>
      </c>
      <c r="C821" t="s">
        <v>805</v>
      </c>
      <c r="D821" t="s">
        <v>819</v>
      </c>
      <c r="E821">
        <v>10</v>
      </c>
      <c r="F821" t="s">
        <v>826</v>
      </c>
      <c r="G821" t="s">
        <v>872</v>
      </c>
      <c r="H821">
        <v>8055</v>
      </c>
      <c r="I821" t="s">
        <v>834</v>
      </c>
      <c r="J821" t="s">
        <v>843</v>
      </c>
      <c r="K821" s="2">
        <v>44835</v>
      </c>
      <c r="L821">
        <v>2022</v>
      </c>
      <c r="M821">
        <v>80550</v>
      </c>
      <c r="N821" t="s">
        <v>857</v>
      </c>
    </row>
    <row r="822" spans="1:14" x14ac:dyDescent="0.3">
      <c r="A822" t="s">
        <v>1311</v>
      </c>
      <c r="B822" t="s">
        <v>497</v>
      </c>
      <c r="C822" t="s">
        <v>805</v>
      </c>
      <c r="D822" t="s">
        <v>819</v>
      </c>
      <c r="E822">
        <v>10</v>
      </c>
      <c r="F822" t="s">
        <v>827</v>
      </c>
      <c r="G822" t="s">
        <v>876</v>
      </c>
      <c r="H822">
        <v>8055</v>
      </c>
      <c r="I822" t="s">
        <v>834</v>
      </c>
      <c r="J822" t="s">
        <v>843</v>
      </c>
      <c r="K822" s="2">
        <v>43952</v>
      </c>
      <c r="L822">
        <v>2020</v>
      </c>
      <c r="M822">
        <v>80550</v>
      </c>
      <c r="N822" t="s">
        <v>857</v>
      </c>
    </row>
    <row r="823" spans="1:14" x14ac:dyDescent="0.3">
      <c r="A823" t="s">
        <v>1312</v>
      </c>
      <c r="B823" t="s">
        <v>498</v>
      </c>
      <c r="C823" t="s">
        <v>805</v>
      </c>
      <c r="D823" t="s">
        <v>819</v>
      </c>
      <c r="E823">
        <v>10</v>
      </c>
      <c r="F823" t="s">
        <v>824</v>
      </c>
      <c r="G823" t="s">
        <v>910</v>
      </c>
      <c r="H823">
        <v>8055</v>
      </c>
      <c r="I823" t="s">
        <v>834</v>
      </c>
      <c r="J823" t="s">
        <v>843</v>
      </c>
      <c r="K823" s="2">
        <v>43922</v>
      </c>
      <c r="L823">
        <v>2020</v>
      </c>
      <c r="M823">
        <v>80550</v>
      </c>
      <c r="N823" t="s">
        <v>857</v>
      </c>
    </row>
    <row r="824" spans="1:14" x14ac:dyDescent="0.3">
      <c r="A824" t="s">
        <v>1313</v>
      </c>
      <c r="B824" t="s">
        <v>499</v>
      </c>
      <c r="C824" t="s">
        <v>805</v>
      </c>
      <c r="D824" t="s">
        <v>812</v>
      </c>
      <c r="E824">
        <v>2</v>
      </c>
      <c r="F824" t="s">
        <v>827</v>
      </c>
      <c r="G824" t="s">
        <v>883</v>
      </c>
      <c r="H824">
        <v>6829</v>
      </c>
      <c r="I824" t="s">
        <v>834</v>
      </c>
      <c r="J824" t="s">
        <v>841</v>
      </c>
      <c r="K824" s="2">
        <v>44713</v>
      </c>
      <c r="L824">
        <v>2022</v>
      </c>
      <c r="M824">
        <v>13658</v>
      </c>
      <c r="N824" t="s">
        <v>868</v>
      </c>
    </row>
    <row r="825" spans="1:14" x14ac:dyDescent="0.3">
      <c r="A825" t="s">
        <v>1313</v>
      </c>
      <c r="B825" t="s">
        <v>499</v>
      </c>
      <c r="C825" t="s">
        <v>806</v>
      </c>
      <c r="D825" t="s">
        <v>817</v>
      </c>
      <c r="E825">
        <v>12</v>
      </c>
      <c r="F825" t="s">
        <v>827</v>
      </c>
      <c r="G825" t="s">
        <v>883</v>
      </c>
      <c r="H825">
        <v>6390</v>
      </c>
      <c r="I825" t="s">
        <v>836</v>
      </c>
      <c r="J825" t="s">
        <v>841</v>
      </c>
      <c r="K825" s="2">
        <v>44713</v>
      </c>
      <c r="L825">
        <v>2022</v>
      </c>
      <c r="M825">
        <v>76680</v>
      </c>
      <c r="N825" t="s">
        <v>857</v>
      </c>
    </row>
    <row r="826" spans="1:14" x14ac:dyDescent="0.3">
      <c r="A826" t="s">
        <v>1314</v>
      </c>
      <c r="B826" t="s">
        <v>500</v>
      </c>
      <c r="C826" t="s">
        <v>806</v>
      </c>
      <c r="D826" t="s">
        <v>811</v>
      </c>
      <c r="E826">
        <v>17</v>
      </c>
      <c r="F826" t="s">
        <v>827</v>
      </c>
      <c r="G826" t="s">
        <v>883</v>
      </c>
      <c r="H826">
        <v>5831</v>
      </c>
      <c r="I826" t="s">
        <v>833</v>
      </c>
      <c r="J826" t="s">
        <v>844</v>
      </c>
      <c r="K826" s="2">
        <v>44866</v>
      </c>
      <c r="L826">
        <v>2022</v>
      </c>
      <c r="M826">
        <v>99127</v>
      </c>
      <c r="N826" t="s">
        <v>863</v>
      </c>
    </row>
    <row r="827" spans="1:14" x14ac:dyDescent="0.3">
      <c r="A827" t="s">
        <v>986</v>
      </c>
      <c r="B827" t="s">
        <v>501</v>
      </c>
      <c r="C827" t="s">
        <v>806</v>
      </c>
      <c r="D827" t="s">
        <v>811</v>
      </c>
      <c r="E827">
        <v>17</v>
      </c>
      <c r="F827" t="s">
        <v>827</v>
      </c>
      <c r="G827" t="s">
        <v>876</v>
      </c>
      <c r="H827">
        <v>5831</v>
      </c>
      <c r="I827" t="s">
        <v>833</v>
      </c>
      <c r="J827" t="s">
        <v>844</v>
      </c>
      <c r="K827" s="2">
        <v>45474</v>
      </c>
      <c r="L827">
        <v>2024</v>
      </c>
      <c r="M827">
        <v>99127</v>
      </c>
      <c r="N827" t="s">
        <v>863</v>
      </c>
    </row>
    <row r="828" spans="1:14" x14ac:dyDescent="0.3">
      <c r="A828" t="s">
        <v>925</v>
      </c>
      <c r="B828" t="s">
        <v>502</v>
      </c>
      <c r="C828" t="s">
        <v>806</v>
      </c>
      <c r="D828" t="s">
        <v>811</v>
      </c>
      <c r="E828">
        <v>17</v>
      </c>
      <c r="F828" t="s">
        <v>824</v>
      </c>
      <c r="G828" t="s">
        <v>851</v>
      </c>
      <c r="H828">
        <v>5831</v>
      </c>
      <c r="I828" t="s">
        <v>833</v>
      </c>
      <c r="J828" t="s">
        <v>844</v>
      </c>
      <c r="K828" s="2">
        <v>45108</v>
      </c>
      <c r="L828">
        <v>2023</v>
      </c>
      <c r="M828">
        <v>99127</v>
      </c>
      <c r="N828" t="s">
        <v>863</v>
      </c>
    </row>
    <row r="829" spans="1:14" x14ac:dyDescent="0.3">
      <c r="A829" t="s">
        <v>1315</v>
      </c>
      <c r="B829" t="s">
        <v>503</v>
      </c>
      <c r="C829" t="s">
        <v>807</v>
      </c>
      <c r="D829" t="s">
        <v>816</v>
      </c>
      <c r="E829">
        <v>8</v>
      </c>
      <c r="F829" t="s">
        <v>825</v>
      </c>
      <c r="G829" t="s">
        <v>921</v>
      </c>
      <c r="H829">
        <v>7952</v>
      </c>
      <c r="I829" t="s">
        <v>833</v>
      </c>
      <c r="J829" t="s">
        <v>841</v>
      </c>
      <c r="K829" s="2">
        <v>44044</v>
      </c>
      <c r="L829">
        <v>2020</v>
      </c>
      <c r="M829">
        <v>63616</v>
      </c>
      <c r="N829" t="s">
        <v>852</v>
      </c>
    </row>
    <row r="830" spans="1:14" x14ac:dyDescent="0.3">
      <c r="A830" t="s">
        <v>1316</v>
      </c>
      <c r="B830" t="s">
        <v>504</v>
      </c>
      <c r="C830" t="s">
        <v>807</v>
      </c>
      <c r="D830" t="s">
        <v>820</v>
      </c>
      <c r="E830">
        <v>5</v>
      </c>
      <c r="F830" t="s">
        <v>827</v>
      </c>
      <c r="G830" t="s">
        <v>862</v>
      </c>
      <c r="H830">
        <v>3659</v>
      </c>
      <c r="I830" t="s">
        <v>832</v>
      </c>
      <c r="J830" t="s">
        <v>842</v>
      </c>
      <c r="K830" s="2">
        <v>45444</v>
      </c>
      <c r="L830">
        <v>2024</v>
      </c>
      <c r="M830">
        <v>18295</v>
      </c>
      <c r="N830" t="s">
        <v>852</v>
      </c>
    </row>
    <row r="831" spans="1:14" x14ac:dyDescent="0.3">
      <c r="A831" t="s">
        <v>1317</v>
      </c>
      <c r="B831" t="s">
        <v>505</v>
      </c>
      <c r="C831" t="s">
        <v>806</v>
      </c>
      <c r="D831" t="s">
        <v>811</v>
      </c>
      <c r="E831">
        <v>4</v>
      </c>
      <c r="F831" t="s">
        <v>825</v>
      </c>
      <c r="G831" t="s">
        <v>870</v>
      </c>
      <c r="H831">
        <v>4183</v>
      </c>
      <c r="I831" t="s">
        <v>833</v>
      </c>
      <c r="J831" t="s">
        <v>844</v>
      </c>
      <c r="K831" s="2">
        <v>44013</v>
      </c>
      <c r="L831">
        <v>2020</v>
      </c>
      <c r="M831">
        <v>16732</v>
      </c>
      <c r="N831" t="s">
        <v>868</v>
      </c>
    </row>
    <row r="832" spans="1:14" x14ac:dyDescent="0.3">
      <c r="A832" t="s">
        <v>1070</v>
      </c>
      <c r="B832" t="s">
        <v>506</v>
      </c>
      <c r="C832" t="s">
        <v>805</v>
      </c>
      <c r="D832" t="s">
        <v>819</v>
      </c>
      <c r="E832">
        <v>11</v>
      </c>
      <c r="F832" t="s">
        <v>828</v>
      </c>
      <c r="G832" t="s">
        <v>904</v>
      </c>
      <c r="H832">
        <v>7478</v>
      </c>
      <c r="I832" t="s">
        <v>834</v>
      </c>
      <c r="J832" t="s">
        <v>841</v>
      </c>
      <c r="K832" s="2">
        <v>45383</v>
      </c>
      <c r="L832">
        <v>2024</v>
      </c>
      <c r="M832">
        <v>82258</v>
      </c>
      <c r="N832" t="s">
        <v>857</v>
      </c>
    </row>
    <row r="833" spans="1:14" x14ac:dyDescent="0.3">
      <c r="A833" t="s">
        <v>1318</v>
      </c>
      <c r="B833" t="s">
        <v>507</v>
      </c>
      <c r="C833" t="s">
        <v>805</v>
      </c>
      <c r="D833" t="s">
        <v>819</v>
      </c>
      <c r="E833">
        <v>9</v>
      </c>
      <c r="F833" t="s">
        <v>824</v>
      </c>
      <c r="G833" t="s">
        <v>910</v>
      </c>
      <c r="H833">
        <v>702</v>
      </c>
      <c r="I833" t="s">
        <v>836</v>
      </c>
      <c r="J833" t="s">
        <v>840</v>
      </c>
      <c r="K833" s="2">
        <v>44256</v>
      </c>
      <c r="L833">
        <v>2021</v>
      </c>
      <c r="M833">
        <v>6318</v>
      </c>
      <c r="N833" t="s">
        <v>852</v>
      </c>
    </row>
    <row r="834" spans="1:14" x14ac:dyDescent="0.3">
      <c r="A834" t="s">
        <v>1319</v>
      </c>
      <c r="B834" t="s">
        <v>508</v>
      </c>
      <c r="C834" t="s">
        <v>807</v>
      </c>
      <c r="D834" t="s">
        <v>814</v>
      </c>
      <c r="E834">
        <v>15</v>
      </c>
      <c r="F834" t="s">
        <v>827</v>
      </c>
      <c r="G834" t="s">
        <v>883</v>
      </c>
      <c r="H834">
        <v>4037</v>
      </c>
      <c r="I834" t="s">
        <v>834</v>
      </c>
      <c r="J834" t="s">
        <v>844</v>
      </c>
      <c r="K834" s="2">
        <v>45017</v>
      </c>
      <c r="L834">
        <v>2023</v>
      </c>
      <c r="M834">
        <v>60555</v>
      </c>
      <c r="N834" t="s">
        <v>863</v>
      </c>
    </row>
    <row r="835" spans="1:14" x14ac:dyDescent="0.3">
      <c r="A835" t="s">
        <v>1320</v>
      </c>
      <c r="B835" t="s">
        <v>509</v>
      </c>
      <c r="C835" t="s">
        <v>807</v>
      </c>
      <c r="D835" t="s">
        <v>814</v>
      </c>
      <c r="E835">
        <v>2</v>
      </c>
      <c r="F835" t="s">
        <v>825</v>
      </c>
      <c r="G835" t="s">
        <v>854</v>
      </c>
      <c r="H835">
        <v>5014</v>
      </c>
      <c r="I835" t="s">
        <v>836</v>
      </c>
      <c r="J835" t="s">
        <v>844</v>
      </c>
      <c r="K835" s="2">
        <v>44136</v>
      </c>
      <c r="L835">
        <v>2020</v>
      </c>
      <c r="M835">
        <v>10028</v>
      </c>
      <c r="N835" t="s">
        <v>868</v>
      </c>
    </row>
    <row r="836" spans="1:14" x14ac:dyDescent="0.3">
      <c r="A836" t="s">
        <v>995</v>
      </c>
      <c r="B836" t="s">
        <v>510</v>
      </c>
      <c r="C836" t="s">
        <v>805</v>
      </c>
      <c r="D836" t="s">
        <v>812</v>
      </c>
      <c r="E836">
        <v>15</v>
      </c>
      <c r="F836" t="s">
        <v>826</v>
      </c>
      <c r="G836" t="s">
        <v>872</v>
      </c>
      <c r="H836">
        <v>9879</v>
      </c>
      <c r="I836" t="s">
        <v>833</v>
      </c>
      <c r="J836" t="s">
        <v>843</v>
      </c>
      <c r="K836" s="2">
        <v>45078</v>
      </c>
      <c r="L836">
        <v>2023</v>
      </c>
      <c r="M836">
        <v>148185</v>
      </c>
      <c r="N836" t="s">
        <v>863</v>
      </c>
    </row>
    <row r="837" spans="1:14" x14ac:dyDescent="0.3">
      <c r="A837" t="s">
        <v>923</v>
      </c>
      <c r="B837" t="s">
        <v>511</v>
      </c>
      <c r="C837" t="s">
        <v>805</v>
      </c>
      <c r="D837" t="s">
        <v>819</v>
      </c>
      <c r="E837">
        <v>1</v>
      </c>
      <c r="F837" t="s">
        <v>824</v>
      </c>
      <c r="G837" t="s">
        <v>910</v>
      </c>
      <c r="H837">
        <v>8762</v>
      </c>
      <c r="I837" t="s">
        <v>833</v>
      </c>
      <c r="J837" t="s">
        <v>843</v>
      </c>
      <c r="K837" s="2">
        <v>44409</v>
      </c>
      <c r="L837">
        <v>2021</v>
      </c>
      <c r="M837">
        <v>8762</v>
      </c>
      <c r="N837" t="s">
        <v>868</v>
      </c>
    </row>
    <row r="838" spans="1:14" x14ac:dyDescent="0.3">
      <c r="A838" t="s">
        <v>1261</v>
      </c>
      <c r="B838" t="s">
        <v>512</v>
      </c>
      <c r="C838" t="s">
        <v>806</v>
      </c>
      <c r="D838" t="s">
        <v>811</v>
      </c>
      <c r="E838">
        <v>1</v>
      </c>
      <c r="F838" t="s">
        <v>826</v>
      </c>
      <c r="G838" t="s">
        <v>865</v>
      </c>
      <c r="H838">
        <v>8490</v>
      </c>
      <c r="I838" t="s">
        <v>834</v>
      </c>
      <c r="J838" t="s">
        <v>843</v>
      </c>
      <c r="K838" s="2">
        <v>43952</v>
      </c>
      <c r="L838">
        <v>2020</v>
      </c>
      <c r="M838">
        <v>8490</v>
      </c>
      <c r="N838" t="s">
        <v>868</v>
      </c>
    </row>
    <row r="839" spans="1:14" x14ac:dyDescent="0.3">
      <c r="A839" t="s">
        <v>978</v>
      </c>
      <c r="B839" t="s">
        <v>513</v>
      </c>
      <c r="C839" t="s">
        <v>807</v>
      </c>
      <c r="D839" t="s">
        <v>816</v>
      </c>
      <c r="E839">
        <v>10</v>
      </c>
      <c r="F839" t="s">
        <v>826</v>
      </c>
      <c r="G839" t="s">
        <v>856</v>
      </c>
      <c r="H839">
        <v>6951</v>
      </c>
      <c r="I839" t="s">
        <v>832</v>
      </c>
      <c r="J839" t="s">
        <v>841</v>
      </c>
      <c r="K839" s="2">
        <v>44409</v>
      </c>
      <c r="L839">
        <v>2021</v>
      </c>
      <c r="M839">
        <v>69510</v>
      </c>
      <c r="N839" t="s">
        <v>857</v>
      </c>
    </row>
    <row r="840" spans="1:14" x14ac:dyDescent="0.3">
      <c r="A840" t="s">
        <v>1321</v>
      </c>
      <c r="B840" t="s">
        <v>514</v>
      </c>
      <c r="C840" t="s">
        <v>805</v>
      </c>
      <c r="D840" t="s">
        <v>819</v>
      </c>
      <c r="E840">
        <v>3</v>
      </c>
      <c r="F840" t="s">
        <v>829</v>
      </c>
      <c r="G840" t="s">
        <v>894</v>
      </c>
      <c r="H840">
        <v>1078</v>
      </c>
      <c r="I840" t="s">
        <v>835</v>
      </c>
      <c r="J840" t="s">
        <v>840</v>
      </c>
      <c r="K840" s="2">
        <v>44805</v>
      </c>
      <c r="L840">
        <v>2022</v>
      </c>
      <c r="M840">
        <v>3234</v>
      </c>
      <c r="N840" t="s">
        <v>868</v>
      </c>
    </row>
    <row r="841" spans="1:14" x14ac:dyDescent="0.3">
      <c r="A841" t="s">
        <v>1322</v>
      </c>
      <c r="B841" t="s">
        <v>515</v>
      </c>
      <c r="C841" t="s">
        <v>805</v>
      </c>
      <c r="D841" t="s">
        <v>819</v>
      </c>
      <c r="E841">
        <v>3</v>
      </c>
      <c r="F841" t="s">
        <v>825</v>
      </c>
      <c r="G841" t="s">
        <v>854</v>
      </c>
      <c r="H841">
        <v>1078</v>
      </c>
      <c r="I841" t="s">
        <v>835</v>
      </c>
      <c r="J841" t="s">
        <v>840</v>
      </c>
      <c r="K841" s="2">
        <v>44105</v>
      </c>
      <c r="L841">
        <v>2020</v>
      </c>
      <c r="M841">
        <v>3234</v>
      </c>
      <c r="N841" t="s">
        <v>868</v>
      </c>
    </row>
    <row r="842" spans="1:14" x14ac:dyDescent="0.3">
      <c r="A842" t="s">
        <v>1323</v>
      </c>
      <c r="B842" t="s">
        <v>516</v>
      </c>
      <c r="C842" t="s">
        <v>806</v>
      </c>
      <c r="D842" t="s">
        <v>818</v>
      </c>
      <c r="E842">
        <v>19</v>
      </c>
      <c r="F842" t="s">
        <v>824</v>
      </c>
      <c r="G842" t="s">
        <v>910</v>
      </c>
      <c r="H842">
        <v>8560</v>
      </c>
      <c r="I842" t="s">
        <v>834</v>
      </c>
      <c r="J842" t="s">
        <v>843</v>
      </c>
      <c r="K842" s="2">
        <v>44682</v>
      </c>
      <c r="L842">
        <v>2022</v>
      </c>
      <c r="M842">
        <v>162640</v>
      </c>
      <c r="N842" t="s">
        <v>863</v>
      </c>
    </row>
    <row r="843" spans="1:14" x14ac:dyDescent="0.3">
      <c r="A843" t="s">
        <v>1323</v>
      </c>
      <c r="B843" t="s">
        <v>516</v>
      </c>
      <c r="C843" t="s">
        <v>805</v>
      </c>
      <c r="D843" t="s">
        <v>809</v>
      </c>
      <c r="E843">
        <v>20</v>
      </c>
      <c r="F843" t="s">
        <v>824</v>
      </c>
      <c r="G843" t="s">
        <v>910</v>
      </c>
      <c r="H843">
        <v>1031</v>
      </c>
      <c r="I843" t="s">
        <v>832</v>
      </c>
      <c r="J843" t="s">
        <v>840</v>
      </c>
      <c r="K843" s="2">
        <v>44682</v>
      </c>
      <c r="L843">
        <v>2022</v>
      </c>
      <c r="M843">
        <v>20620</v>
      </c>
      <c r="N843" t="s">
        <v>863</v>
      </c>
    </row>
    <row r="844" spans="1:14" x14ac:dyDescent="0.3">
      <c r="A844" t="s">
        <v>1324</v>
      </c>
      <c r="B844" t="s">
        <v>517</v>
      </c>
      <c r="C844" t="s">
        <v>806</v>
      </c>
      <c r="D844" t="s">
        <v>815</v>
      </c>
      <c r="E844">
        <v>19</v>
      </c>
      <c r="F844" t="s">
        <v>824</v>
      </c>
      <c r="G844" t="s">
        <v>859</v>
      </c>
      <c r="H844">
        <v>6402</v>
      </c>
      <c r="I844" t="s">
        <v>833</v>
      </c>
      <c r="J844" t="s">
        <v>841</v>
      </c>
      <c r="K844" s="2">
        <v>45352</v>
      </c>
      <c r="L844">
        <v>2024</v>
      </c>
      <c r="M844">
        <v>121638</v>
      </c>
      <c r="N844" t="s">
        <v>863</v>
      </c>
    </row>
    <row r="845" spans="1:14" x14ac:dyDescent="0.3">
      <c r="A845" t="s">
        <v>1219</v>
      </c>
      <c r="B845" t="s">
        <v>518</v>
      </c>
      <c r="C845" t="s">
        <v>806</v>
      </c>
      <c r="D845" t="s">
        <v>815</v>
      </c>
      <c r="E845">
        <v>19</v>
      </c>
      <c r="F845" t="s">
        <v>824</v>
      </c>
      <c r="G845" t="s">
        <v>859</v>
      </c>
      <c r="H845">
        <v>6402</v>
      </c>
      <c r="I845" t="s">
        <v>833</v>
      </c>
      <c r="J845" t="s">
        <v>841</v>
      </c>
      <c r="K845" s="2">
        <v>45200</v>
      </c>
      <c r="L845">
        <v>2023</v>
      </c>
      <c r="M845">
        <v>121638</v>
      </c>
      <c r="N845" t="s">
        <v>863</v>
      </c>
    </row>
    <row r="846" spans="1:14" x14ac:dyDescent="0.3">
      <c r="A846" t="s">
        <v>1324</v>
      </c>
      <c r="B846" t="s">
        <v>517</v>
      </c>
      <c r="C846" t="s">
        <v>805</v>
      </c>
      <c r="D846" t="s">
        <v>810</v>
      </c>
      <c r="E846">
        <v>19</v>
      </c>
      <c r="F846" t="s">
        <v>824</v>
      </c>
      <c r="G846" t="s">
        <v>859</v>
      </c>
      <c r="H846">
        <v>5916</v>
      </c>
      <c r="I846" t="s">
        <v>833</v>
      </c>
      <c r="J846" t="s">
        <v>844</v>
      </c>
      <c r="K846" s="2">
        <v>45352</v>
      </c>
      <c r="L846">
        <v>2024</v>
      </c>
      <c r="M846">
        <v>112404</v>
      </c>
      <c r="N846" t="s">
        <v>863</v>
      </c>
    </row>
    <row r="847" spans="1:14" x14ac:dyDescent="0.3">
      <c r="A847" t="s">
        <v>1219</v>
      </c>
      <c r="B847" t="s">
        <v>518</v>
      </c>
      <c r="C847" t="s">
        <v>805</v>
      </c>
      <c r="D847" t="s">
        <v>810</v>
      </c>
      <c r="E847">
        <v>19</v>
      </c>
      <c r="F847" t="s">
        <v>824</v>
      </c>
      <c r="G847" t="s">
        <v>859</v>
      </c>
      <c r="H847">
        <v>5916</v>
      </c>
      <c r="I847" t="s">
        <v>833</v>
      </c>
      <c r="J847" t="s">
        <v>844</v>
      </c>
      <c r="K847" s="2">
        <v>45200</v>
      </c>
      <c r="L847">
        <v>2023</v>
      </c>
      <c r="M847">
        <v>112404</v>
      </c>
      <c r="N847" t="s">
        <v>863</v>
      </c>
    </row>
    <row r="848" spans="1:14" x14ac:dyDescent="0.3">
      <c r="A848" t="s">
        <v>1325</v>
      </c>
      <c r="B848" t="s">
        <v>519</v>
      </c>
      <c r="C848" t="s">
        <v>807</v>
      </c>
      <c r="D848" t="s">
        <v>814</v>
      </c>
      <c r="E848">
        <v>15</v>
      </c>
      <c r="F848" t="s">
        <v>827</v>
      </c>
      <c r="G848" t="s">
        <v>883</v>
      </c>
      <c r="H848">
        <v>4015</v>
      </c>
      <c r="I848" t="s">
        <v>833</v>
      </c>
      <c r="J848" t="s">
        <v>844</v>
      </c>
      <c r="K848" s="2">
        <v>44774</v>
      </c>
      <c r="L848">
        <v>2022</v>
      </c>
      <c r="M848">
        <v>60225</v>
      </c>
      <c r="N848" t="s">
        <v>863</v>
      </c>
    </row>
    <row r="849" spans="1:14" x14ac:dyDescent="0.3">
      <c r="A849" t="s">
        <v>1309</v>
      </c>
      <c r="B849" t="s">
        <v>520</v>
      </c>
      <c r="C849" t="s">
        <v>807</v>
      </c>
      <c r="D849" t="s">
        <v>814</v>
      </c>
      <c r="E849">
        <v>15</v>
      </c>
      <c r="F849" t="s">
        <v>826</v>
      </c>
      <c r="G849" t="s">
        <v>865</v>
      </c>
      <c r="H849">
        <v>4015</v>
      </c>
      <c r="I849" t="s">
        <v>833</v>
      </c>
      <c r="J849" t="s">
        <v>844</v>
      </c>
      <c r="K849" s="2">
        <v>44075</v>
      </c>
      <c r="L849">
        <v>2020</v>
      </c>
      <c r="M849">
        <v>60225</v>
      </c>
      <c r="N849" t="s">
        <v>863</v>
      </c>
    </row>
    <row r="850" spans="1:14" x14ac:dyDescent="0.3">
      <c r="A850" t="s">
        <v>1326</v>
      </c>
      <c r="B850" t="s">
        <v>521</v>
      </c>
      <c r="C850" t="s">
        <v>805</v>
      </c>
      <c r="D850" t="s">
        <v>809</v>
      </c>
      <c r="E850">
        <v>11</v>
      </c>
      <c r="F850" t="s">
        <v>827</v>
      </c>
      <c r="G850" t="s">
        <v>862</v>
      </c>
      <c r="H850">
        <v>9335</v>
      </c>
      <c r="I850" t="s">
        <v>836</v>
      </c>
      <c r="J850" t="s">
        <v>843</v>
      </c>
      <c r="K850" s="2">
        <v>44287</v>
      </c>
      <c r="L850">
        <v>2021</v>
      </c>
      <c r="M850">
        <v>102685</v>
      </c>
      <c r="N850" t="s">
        <v>857</v>
      </c>
    </row>
    <row r="851" spans="1:14" x14ac:dyDescent="0.3">
      <c r="A851" t="s">
        <v>1327</v>
      </c>
      <c r="B851" t="s">
        <v>522</v>
      </c>
      <c r="C851" t="s">
        <v>806</v>
      </c>
      <c r="D851" t="s">
        <v>818</v>
      </c>
      <c r="E851">
        <v>11</v>
      </c>
      <c r="F851" t="s">
        <v>829</v>
      </c>
      <c r="G851" t="s">
        <v>894</v>
      </c>
      <c r="H851">
        <v>4706</v>
      </c>
      <c r="I851" t="s">
        <v>836</v>
      </c>
      <c r="J851" t="s">
        <v>844</v>
      </c>
      <c r="K851" s="2">
        <v>44409</v>
      </c>
      <c r="L851">
        <v>2021</v>
      </c>
      <c r="M851">
        <v>51766</v>
      </c>
      <c r="N851" t="s">
        <v>857</v>
      </c>
    </row>
    <row r="852" spans="1:14" x14ac:dyDescent="0.3">
      <c r="A852" t="s">
        <v>1328</v>
      </c>
      <c r="B852" t="s">
        <v>523</v>
      </c>
      <c r="C852" t="s">
        <v>806</v>
      </c>
      <c r="D852" t="s">
        <v>818</v>
      </c>
      <c r="E852">
        <v>11</v>
      </c>
      <c r="F852" t="s">
        <v>829</v>
      </c>
      <c r="G852" t="s">
        <v>886</v>
      </c>
      <c r="H852">
        <v>4706</v>
      </c>
      <c r="I852" t="s">
        <v>836</v>
      </c>
      <c r="J852" t="s">
        <v>844</v>
      </c>
      <c r="K852" s="2">
        <v>44317</v>
      </c>
      <c r="L852">
        <v>2021</v>
      </c>
      <c r="M852">
        <v>51766</v>
      </c>
      <c r="N852" t="s">
        <v>857</v>
      </c>
    </row>
    <row r="853" spans="1:14" x14ac:dyDescent="0.3">
      <c r="A853" t="s">
        <v>1327</v>
      </c>
      <c r="B853" t="s">
        <v>522</v>
      </c>
      <c r="C853" t="s">
        <v>806</v>
      </c>
      <c r="D853" t="s">
        <v>815</v>
      </c>
      <c r="E853">
        <v>6</v>
      </c>
      <c r="F853" t="s">
        <v>829</v>
      </c>
      <c r="G853" t="s">
        <v>894</v>
      </c>
      <c r="H853">
        <v>6584</v>
      </c>
      <c r="I853" t="s">
        <v>832</v>
      </c>
      <c r="J853" t="s">
        <v>841</v>
      </c>
      <c r="K853" s="2">
        <v>44409</v>
      </c>
      <c r="L853">
        <v>2021</v>
      </c>
      <c r="M853">
        <v>39504</v>
      </c>
      <c r="N853" t="s">
        <v>852</v>
      </c>
    </row>
    <row r="854" spans="1:14" x14ac:dyDescent="0.3">
      <c r="A854" t="s">
        <v>1328</v>
      </c>
      <c r="B854" t="s">
        <v>523</v>
      </c>
      <c r="C854" t="s">
        <v>806</v>
      </c>
      <c r="D854" t="s">
        <v>815</v>
      </c>
      <c r="E854">
        <v>6</v>
      </c>
      <c r="F854" t="s">
        <v>829</v>
      </c>
      <c r="G854" t="s">
        <v>886</v>
      </c>
      <c r="H854">
        <v>6584</v>
      </c>
      <c r="I854" t="s">
        <v>832</v>
      </c>
      <c r="J854" t="s">
        <v>841</v>
      </c>
      <c r="K854" s="2">
        <v>44317</v>
      </c>
      <c r="L854">
        <v>2021</v>
      </c>
      <c r="M854">
        <v>39504</v>
      </c>
      <c r="N854" t="s">
        <v>852</v>
      </c>
    </row>
    <row r="855" spans="1:14" x14ac:dyDescent="0.3">
      <c r="A855" t="s">
        <v>885</v>
      </c>
      <c r="B855" t="s">
        <v>524</v>
      </c>
      <c r="C855" t="s">
        <v>807</v>
      </c>
      <c r="D855" t="s">
        <v>816</v>
      </c>
      <c r="E855">
        <v>1</v>
      </c>
      <c r="F855" t="s">
        <v>828</v>
      </c>
      <c r="G855" t="s">
        <v>874</v>
      </c>
      <c r="H855">
        <v>6389</v>
      </c>
      <c r="I855" t="s">
        <v>834</v>
      </c>
      <c r="J855" t="s">
        <v>841</v>
      </c>
      <c r="K855" s="2">
        <v>44562</v>
      </c>
      <c r="L855">
        <v>2022</v>
      </c>
      <c r="M855">
        <v>6389</v>
      </c>
      <c r="N855" t="s">
        <v>868</v>
      </c>
    </row>
    <row r="856" spans="1:14" x14ac:dyDescent="0.3">
      <c r="A856" t="s">
        <v>1022</v>
      </c>
      <c r="B856" t="s">
        <v>525</v>
      </c>
      <c r="C856" t="s">
        <v>805</v>
      </c>
      <c r="D856" t="s">
        <v>810</v>
      </c>
      <c r="E856">
        <v>12</v>
      </c>
      <c r="F856" t="s">
        <v>827</v>
      </c>
      <c r="G856" t="s">
        <v>876</v>
      </c>
      <c r="H856">
        <v>9869</v>
      </c>
      <c r="I856" t="s">
        <v>833</v>
      </c>
      <c r="J856" t="s">
        <v>843</v>
      </c>
      <c r="K856" s="2">
        <v>44986</v>
      </c>
      <c r="L856">
        <v>2023</v>
      </c>
      <c r="M856">
        <v>118428</v>
      </c>
      <c r="N856" t="s">
        <v>857</v>
      </c>
    </row>
    <row r="857" spans="1:14" x14ac:dyDescent="0.3">
      <c r="A857" t="s">
        <v>1254</v>
      </c>
      <c r="B857" t="s">
        <v>526</v>
      </c>
      <c r="C857" t="s">
        <v>805</v>
      </c>
      <c r="D857" t="s">
        <v>810</v>
      </c>
      <c r="E857">
        <v>12</v>
      </c>
      <c r="F857" t="s">
        <v>826</v>
      </c>
      <c r="G857" t="s">
        <v>856</v>
      </c>
      <c r="H857">
        <v>9869</v>
      </c>
      <c r="I857" t="s">
        <v>833</v>
      </c>
      <c r="J857" t="s">
        <v>843</v>
      </c>
      <c r="K857" s="2">
        <v>45261</v>
      </c>
      <c r="L857">
        <v>2023</v>
      </c>
      <c r="M857">
        <v>118428</v>
      </c>
      <c r="N857" t="s">
        <v>857</v>
      </c>
    </row>
    <row r="858" spans="1:14" x14ac:dyDescent="0.3">
      <c r="A858" t="s">
        <v>1329</v>
      </c>
      <c r="B858" t="s">
        <v>527</v>
      </c>
      <c r="C858" t="s">
        <v>806</v>
      </c>
      <c r="D858" t="s">
        <v>815</v>
      </c>
      <c r="E858">
        <v>4</v>
      </c>
      <c r="F858" t="s">
        <v>826</v>
      </c>
      <c r="G858" t="s">
        <v>856</v>
      </c>
      <c r="H858">
        <v>655</v>
      </c>
      <c r="I858" t="s">
        <v>833</v>
      </c>
      <c r="J858" t="s">
        <v>840</v>
      </c>
      <c r="K858" s="2">
        <v>44593</v>
      </c>
      <c r="L858">
        <v>2022</v>
      </c>
      <c r="M858">
        <v>2620</v>
      </c>
      <c r="N858" t="s">
        <v>868</v>
      </c>
    </row>
    <row r="859" spans="1:14" x14ac:dyDescent="0.3">
      <c r="A859" t="s">
        <v>1330</v>
      </c>
      <c r="B859" t="s">
        <v>528</v>
      </c>
      <c r="C859" t="s">
        <v>806</v>
      </c>
      <c r="D859" t="s">
        <v>815</v>
      </c>
      <c r="E859">
        <v>4</v>
      </c>
      <c r="F859" t="s">
        <v>824</v>
      </c>
      <c r="G859" t="s">
        <v>859</v>
      </c>
      <c r="H859">
        <v>655</v>
      </c>
      <c r="I859" t="s">
        <v>833</v>
      </c>
      <c r="J859" t="s">
        <v>840</v>
      </c>
      <c r="K859" s="2">
        <v>45231</v>
      </c>
      <c r="L859">
        <v>2023</v>
      </c>
      <c r="M859">
        <v>2620</v>
      </c>
      <c r="N859" t="s">
        <v>868</v>
      </c>
    </row>
    <row r="860" spans="1:14" x14ac:dyDescent="0.3">
      <c r="A860" t="s">
        <v>1331</v>
      </c>
      <c r="B860" t="s">
        <v>529</v>
      </c>
      <c r="C860" t="s">
        <v>805</v>
      </c>
      <c r="D860" t="s">
        <v>819</v>
      </c>
      <c r="E860">
        <v>10</v>
      </c>
      <c r="F860" t="s">
        <v>826</v>
      </c>
      <c r="G860" t="s">
        <v>856</v>
      </c>
      <c r="H860">
        <v>798</v>
      </c>
      <c r="I860" t="s">
        <v>833</v>
      </c>
      <c r="J860" t="s">
        <v>840</v>
      </c>
      <c r="K860" s="2">
        <v>44927</v>
      </c>
      <c r="L860">
        <v>2023</v>
      </c>
      <c r="M860">
        <v>7980</v>
      </c>
      <c r="N860" t="s">
        <v>857</v>
      </c>
    </row>
    <row r="861" spans="1:14" x14ac:dyDescent="0.3">
      <c r="A861" t="s">
        <v>1332</v>
      </c>
      <c r="B861" t="s">
        <v>530</v>
      </c>
      <c r="C861" t="s">
        <v>805</v>
      </c>
      <c r="D861" t="s">
        <v>819</v>
      </c>
      <c r="E861">
        <v>10</v>
      </c>
      <c r="F861" t="s">
        <v>829</v>
      </c>
      <c r="G861" t="s">
        <v>894</v>
      </c>
      <c r="H861">
        <v>798</v>
      </c>
      <c r="I861" t="s">
        <v>833</v>
      </c>
      <c r="J861" t="s">
        <v>840</v>
      </c>
      <c r="K861" s="2">
        <v>45047</v>
      </c>
      <c r="L861">
        <v>2023</v>
      </c>
      <c r="M861">
        <v>7980</v>
      </c>
      <c r="N861" t="s">
        <v>857</v>
      </c>
    </row>
    <row r="862" spans="1:14" x14ac:dyDescent="0.3">
      <c r="A862" t="s">
        <v>1331</v>
      </c>
      <c r="B862" t="s">
        <v>529</v>
      </c>
      <c r="C862" t="s">
        <v>805</v>
      </c>
      <c r="D862" t="s">
        <v>810</v>
      </c>
      <c r="E862">
        <v>13</v>
      </c>
      <c r="F862" t="s">
        <v>826</v>
      </c>
      <c r="G862" t="s">
        <v>856</v>
      </c>
      <c r="H862">
        <v>7967</v>
      </c>
      <c r="I862" t="s">
        <v>834</v>
      </c>
      <c r="J862" t="s">
        <v>841</v>
      </c>
      <c r="K862" s="2">
        <v>44927</v>
      </c>
      <c r="L862">
        <v>2023</v>
      </c>
      <c r="M862">
        <v>103571</v>
      </c>
      <c r="N862" t="s">
        <v>857</v>
      </c>
    </row>
    <row r="863" spans="1:14" x14ac:dyDescent="0.3">
      <c r="A863" t="s">
        <v>1332</v>
      </c>
      <c r="B863" t="s">
        <v>530</v>
      </c>
      <c r="C863" t="s">
        <v>805</v>
      </c>
      <c r="D863" t="s">
        <v>810</v>
      </c>
      <c r="E863">
        <v>13</v>
      </c>
      <c r="F863" t="s">
        <v>829</v>
      </c>
      <c r="G863" t="s">
        <v>894</v>
      </c>
      <c r="H863">
        <v>7967</v>
      </c>
      <c r="I863" t="s">
        <v>834</v>
      </c>
      <c r="J863" t="s">
        <v>841</v>
      </c>
      <c r="K863" s="2">
        <v>45047</v>
      </c>
      <c r="L863">
        <v>2023</v>
      </c>
      <c r="M863">
        <v>103571</v>
      </c>
      <c r="N863" t="s">
        <v>857</v>
      </c>
    </row>
    <row r="864" spans="1:14" x14ac:dyDescent="0.3">
      <c r="A864" t="s">
        <v>1333</v>
      </c>
      <c r="B864" t="s">
        <v>531</v>
      </c>
      <c r="C864" t="s">
        <v>807</v>
      </c>
      <c r="D864" t="s">
        <v>813</v>
      </c>
      <c r="E864">
        <v>5</v>
      </c>
      <c r="F864" t="s">
        <v>824</v>
      </c>
      <c r="G864" t="s">
        <v>851</v>
      </c>
      <c r="H864">
        <v>3756</v>
      </c>
      <c r="I864" t="s">
        <v>832</v>
      </c>
      <c r="J864" t="s">
        <v>842</v>
      </c>
      <c r="K864" s="2">
        <v>45323</v>
      </c>
      <c r="L864">
        <v>2024</v>
      </c>
      <c r="M864">
        <v>18780</v>
      </c>
      <c r="N864" t="s">
        <v>852</v>
      </c>
    </row>
    <row r="865" spans="1:14" x14ac:dyDescent="0.3">
      <c r="A865" t="s">
        <v>1334</v>
      </c>
      <c r="B865" t="s">
        <v>532</v>
      </c>
      <c r="C865" t="s">
        <v>806</v>
      </c>
      <c r="D865" t="s">
        <v>815</v>
      </c>
      <c r="E865">
        <v>1</v>
      </c>
      <c r="F865" t="s">
        <v>828</v>
      </c>
      <c r="G865" t="s">
        <v>880</v>
      </c>
      <c r="H865">
        <v>5196</v>
      </c>
      <c r="I865" t="s">
        <v>832</v>
      </c>
      <c r="J865" t="s">
        <v>844</v>
      </c>
      <c r="K865" s="2">
        <v>44531</v>
      </c>
      <c r="L865">
        <v>2021</v>
      </c>
      <c r="M865">
        <v>5196</v>
      </c>
      <c r="N865" t="s">
        <v>868</v>
      </c>
    </row>
    <row r="866" spans="1:14" x14ac:dyDescent="0.3">
      <c r="A866" t="s">
        <v>1334</v>
      </c>
      <c r="B866" t="s">
        <v>532</v>
      </c>
      <c r="C866" t="s">
        <v>807</v>
      </c>
      <c r="D866" t="s">
        <v>820</v>
      </c>
      <c r="E866">
        <v>19</v>
      </c>
      <c r="F866" t="s">
        <v>828</v>
      </c>
      <c r="G866" t="s">
        <v>880</v>
      </c>
      <c r="H866">
        <v>6586</v>
      </c>
      <c r="I866" t="s">
        <v>833</v>
      </c>
      <c r="J866" t="s">
        <v>841</v>
      </c>
      <c r="K866" s="2">
        <v>44531</v>
      </c>
      <c r="L866">
        <v>2021</v>
      </c>
      <c r="M866">
        <v>125134</v>
      </c>
      <c r="N866" t="s">
        <v>863</v>
      </c>
    </row>
    <row r="867" spans="1:14" x14ac:dyDescent="0.3">
      <c r="A867" t="s">
        <v>1081</v>
      </c>
      <c r="B867" t="s">
        <v>533</v>
      </c>
      <c r="C867" t="s">
        <v>806</v>
      </c>
      <c r="D867" t="s">
        <v>815</v>
      </c>
      <c r="E867">
        <v>19</v>
      </c>
      <c r="F867" t="s">
        <v>826</v>
      </c>
      <c r="G867" t="s">
        <v>856</v>
      </c>
      <c r="H867">
        <v>6673</v>
      </c>
      <c r="I867" t="s">
        <v>834</v>
      </c>
      <c r="J867" t="s">
        <v>841</v>
      </c>
      <c r="K867" s="2">
        <v>45627</v>
      </c>
      <c r="L867">
        <v>2024</v>
      </c>
      <c r="M867">
        <v>126787</v>
      </c>
      <c r="N867" t="s">
        <v>863</v>
      </c>
    </row>
    <row r="868" spans="1:14" x14ac:dyDescent="0.3">
      <c r="A868" t="s">
        <v>1335</v>
      </c>
      <c r="B868" t="s">
        <v>534</v>
      </c>
      <c r="C868" t="s">
        <v>807</v>
      </c>
      <c r="D868" t="s">
        <v>813</v>
      </c>
      <c r="E868">
        <v>14</v>
      </c>
      <c r="F868" t="s">
        <v>829</v>
      </c>
      <c r="G868" t="s">
        <v>886</v>
      </c>
      <c r="H868">
        <v>714</v>
      </c>
      <c r="I868" t="s">
        <v>832</v>
      </c>
      <c r="J868" t="s">
        <v>840</v>
      </c>
      <c r="K868" s="2">
        <v>44927</v>
      </c>
      <c r="L868">
        <v>2023</v>
      </c>
      <c r="M868">
        <v>9996</v>
      </c>
      <c r="N868" t="s">
        <v>857</v>
      </c>
    </row>
    <row r="869" spans="1:14" x14ac:dyDescent="0.3">
      <c r="A869" t="s">
        <v>1336</v>
      </c>
      <c r="B869" t="s">
        <v>535</v>
      </c>
      <c r="C869" t="s">
        <v>807</v>
      </c>
      <c r="D869" t="s">
        <v>813</v>
      </c>
      <c r="E869">
        <v>14</v>
      </c>
      <c r="F869" t="s">
        <v>828</v>
      </c>
      <c r="G869" t="s">
        <v>880</v>
      </c>
      <c r="H869">
        <v>714</v>
      </c>
      <c r="I869" t="s">
        <v>832</v>
      </c>
      <c r="J869" t="s">
        <v>840</v>
      </c>
      <c r="K869" s="2">
        <v>44166</v>
      </c>
      <c r="L869">
        <v>2020</v>
      </c>
      <c r="M869">
        <v>9996</v>
      </c>
      <c r="N869" t="s">
        <v>857</v>
      </c>
    </row>
    <row r="870" spans="1:14" x14ac:dyDescent="0.3">
      <c r="A870" t="s">
        <v>1337</v>
      </c>
      <c r="B870" t="s">
        <v>536</v>
      </c>
      <c r="C870" t="s">
        <v>806</v>
      </c>
      <c r="D870" t="s">
        <v>811</v>
      </c>
      <c r="E870">
        <v>6</v>
      </c>
      <c r="F870" t="s">
        <v>828</v>
      </c>
      <c r="G870" t="s">
        <v>880</v>
      </c>
      <c r="H870">
        <v>1083</v>
      </c>
      <c r="I870" t="s">
        <v>836</v>
      </c>
      <c r="J870" t="s">
        <v>840</v>
      </c>
      <c r="K870" s="2">
        <v>44228</v>
      </c>
      <c r="L870">
        <v>2021</v>
      </c>
      <c r="M870">
        <v>6498</v>
      </c>
      <c r="N870" t="s">
        <v>852</v>
      </c>
    </row>
    <row r="871" spans="1:14" x14ac:dyDescent="0.3">
      <c r="A871" t="s">
        <v>1102</v>
      </c>
      <c r="B871" t="s">
        <v>537</v>
      </c>
      <c r="C871" t="s">
        <v>807</v>
      </c>
      <c r="D871" t="s">
        <v>820</v>
      </c>
      <c r="E871">
        <v>10</v>
      </c>
      <c r="F871" t="s">
        <v>829</v>
      </c>
      <c r="G871" t="s">
        <v>894</v>
      </c>
      <c r="H871">
        <v>2401</v>
      </c>
      <c r="I871" t="s">
        <v>832</v>
      </c>
      <c r="J871" t="s">
        <v>842</v>
      </c>
      <c r="K871" s="2">
        <v>45047</v>
      </c>
      <c r="L871">
        <v>2023</v>
      </c>
      <c r="M871">
        <v>24010</v>
      </c>
      <c r="N871" t="s">
        <v>857</v>
      </c>
    </row>
    <row r="872" spans="1:14" x14ac:dyDescent="0.3">
      <c r="A872" t="s">
        <v>1338</v>
      </c>
      <c r="B872" t="s">
        <v>538</v>
      </c>
      <c r="C872" t="s">
        <v>807</v>
      </c>
      <c r="D872" t="s">
        <v>820</v>
      </c>
      <c r="E872">
        <v>10</v>
      </c>
      <c r="F872" t="s">
        <v>827</v>
      </c>
      <c r="G872" t="s">
        <v>862</v>
      </c>
      <c r="H872">
        <v>2401</v>
      </c>
      <c r="I872" t="s">
        <v>832</v>
      </c>
      <c r="J872" t="s">
        <v>842</v>
      </c>
      <c r="K872" s="2">
        <v>43922</v>
      </c>
      <c r="L872">
        <v>2020</v>
      </c>
      <c r="M872">
        <v>24010</v>
      </c>
      <c r="N872" t="s">
        <v>857</v>
      </c>
    </row>
    <row r="873" spans="1:14" x14ac:dyDescent="0.3">
      <c r="A873" t="s">
        <v>1339</v>
      </c>
      <c r="B873" t="s">
        <v>539</v>
      </c>
      <c r="C873" t="s">
        <v>807</v>
      </c>
      <c r="D873" t="s">
        <v>820</v>
      </c>
      <c r="E873">
        <v>10</v>
      </c>
      <c r="F873" t="s">
        <v>826</v>
      </c>
      <c r="G873" t="s">
        <v>872</v>
      </c>
      <c r="H873">
        <v>2401</v>
      </c>
      <c r="I873" t="s">
        <v>832</v>
      </c>
      <c r="J873" t="s">
        <v>842</v>
      </c>
      <c r="K873" s="2">
        <v>44409</v>
      </c>
      <c r="L873">
        <v>2021</v>
      </c>
      <c r="M873">
        <v>24010</v>
      </c>
      <c r="N873" t="s">
        <v>857</v>
      </c>
    </row>
    <row r="874" spans="1:14" x14ac:dyDescent="0.3">
      <c r="A874" t="s">
        <v>1102</v>
      </c>
      <c r="B874" t="s">
        <v>537</v>
      </c>
      <c r="C874" t="s">
        <v>805</v>
      </c>
      <c r="D874" t="s">
        <v>819</v>
      </c>
      <c r="E874">
        <v>11</v>
      </c>
      <c r="F874" t="s">
        <v>829</v>
      </c>
      <c r="G874" t="s">
        <v>894</v>
      </c>
      <c r="H874">
        <v>1045</v>
      </c>
      <c r="I874" t="s">
        <v>833</v>
      </c>
      <c r="J874" t="s">
        <v>840</v>
      </c>
      <c r="K874" s="2">
        <v>45047</v>
      </c>
      <c r="L874">
        <v>2023</v>
      </c>
      <c r="M874">
        <v>11495</v>
      </c>
      <c r="N874" t="s">
        <v>857</v>
      </c>
    </row>
    <row r="875" spans="1:14" x14ac:dyDescent="0.3">
      <c r="A875" t="s">
        <v>1338</v>
      </c>
      <c r="B875" t="s">
        <v>538</v>
      </c>
      <c r="C875" t="s">
        <v>805</v>
      </c>
      <c r="D875" t="s">
        <v>819</v>
      </c>
      <c r="E875">
        <v>11</v>
      </c>
      <c r="F875" t="s">
        <v>827</v>
      </c>
      <c r="G875" t="s">
        <v>862</v>
      </c>
      <c r="H875">
        <v>1045</v>
      </c>
      <c r="I875" t="s">
        <v>833</v>
      </c>
      <c r="J875" t="s">
        <v>840</v>
      </c>
      <c r="K875" s="2">
        <v>43922</v>
      </c>
      <c r="L875">
        <v>2020</v>
      </c>
      <c r="M875">
        <v>11495</v>
      </c>
      <c r="N875" t="s">
        <v>857</v>
      </c>
    </row>
    <row r="876" spans="1:14" x14ac:dyDescent="0.3">
      <c r="A876" t="s">
        <v>1339</v>
      </c>
      <c r="B876" t="s">
        <v>539</v>
      </c>
      <c r="C876" t="s">
        <v>805</v>
      </c>
      <c r="D876" t="s">
        <v>819</v>
      </c>
      <c r="E876">
        <v>11</v>
      </c>
      <c r="F876" t="s">
        <v>826</v>
      </c>
      <c r="G876" t="s">
        <v>872</v>
      </c>
      <c r="H876">
        <v>1045</v>
      </c>
      <c r="I876" t="s">
        <v>833</v>
      </c>
      <c r="J876" t="s">
        <v>840</v>
      </c>
      <c r="K876" s="2">
        <v>44409</v>
      </c>
      <c r="L876">
        <v>2021</v>
      </c>
      <c r="M876">
        <v>11495</v>
      </c>
      <c r="N876" t="s">
        <v>857</v>
      </c>
    </row>
    <row r="877" spans="1:14" x14ac:dyDescent="0.3">
      <c r="A877" t="s">
        <v>1340</v>
      </c>
      <c r="B877" t="s">
        <v>540</v>
      </c>
      <c r="C877" t="s">
        <v>806</v>
      </c>
      <c r="D877" t="s">
        <v>815</v>
      </c>
      <c r="E877">
        <v>1</v>
      </c>
      <c r="F877" t="s">
        <v>828</v>
      </c>
      <c r="G877" t="s">
        <v>874</v>
      </c>
      <c r="H877">
        <v>7806</v>
      </c>
      <c r="I877" t="s">
        <v>835</v>
      </c>
      <c r="J877" t="s">
        <v>841</v>
      </c>
      <c r="K877" s="2">
        <v>45108</v>
      </c>
      <c r="L877">
        <v>2023</v>
      </c>
      <c r="M877">
        <v>7806</v>
      </c>
      <c r="N877" t="s">
        <v>868</v>
      </c>
    </row>
    <row r="878" spans="1:14" x14ac:dyDescent="0.3">
      <c r="A878" t="s">
        <v>1325</v>
      </c>
      <c r="B878" t="s">
        <v>541</v>
      </c>
      <c r="C878" t="s">
        <v>807</v>
      </c>
      <c r="D878" t="s">
        <v>816</v>
      </c>
      <c r="E878">
        <v>19</v>
      </c>
      <c r="F878" t="s">
        <v>824</v>
      </c>
      <c r="G878" t="s">
        <v>851</v>
      </c>
      <c r="H878">
        <v>5263</v>
      </c>
      <c r="I878" t="s">
        <v>835</v>
      </c>
      <c r="J878" t="s">
        <v>844</v>
      </c>
      <c r="K878" s="2">
        <v>44774</v>
      </c>
      <c r="L878">
        <v>2022</v>
      </c>
      <c r="M878">
        <v>99997</v>
      </c>
      <c r="N878" t="s">
        <v>863</v>
      </c>
    </row>
    <row r="879" spans="1:14" x14ac:dyDescent="0.3">
      <c r="A879" t="s">
        <v>1341</v>
      </c>
      <c r="B879" t="s">
        <v>542</v>
      </c>
      <c r="C879" t="s">
        <v>806</v>
      </c>
      <c r="D879" t="s">
        <v>811</v>
      </c>
      <c r="E879">
        <v>6</v>
      </c>
      <c r="F879" t="s">
        <v>828</v>
      </c>
      <c r="G879" t="s">
        <v>874</v>
      </c>
      <c r="H879">
        <v>6147</v>
      </c>
      <c r="I879" t="s">
        <v>833</v>
      </c>
      <c r="J879" t="s">
        <v>841</v>
      </c>
      <c r="K879" s="2">
        <v>44986</v>
      </c>
      <c r="L879">
        <v>2023</v>
      </c>
      <c r="M879">
        <v>36882</v>
      </c>
      <c r="N879" t="s">
        <v>852</v>
      </c>
    </row>
    <row r="880" spans="1:14" x14ac:dyDescent="0.3">
      <c r="A880" t="s">
        <v>1342</v>
      </c>
      <c r="B880" t="s">
        <v>543</v>
      </c>
      <c r="C880" t="s">
        <v>805</v>
      </c>
      <c r="D880" t="s">
        <v>819</v>
      </c>
      <c r="E880">
        <v>15</v>
      </c>
      <c r="F880" t="s">
        <v>824</v>
      </c>
      <c r="G880" t="s">
        <v>859</v>
      </c>
      <c r="H880">
        <v>7484</v>
      </c>
      <c r="I880" t="s">
        <v>832</v>
      </c>
      <c r="J880" t="s">
        <v>841</v>
      </c>
      <c r="K880" s="2">
        <v>45231</v>
      </c>
      <c r="L880">
        <v>2023</v>
      </c>
      <c r="M880">
        <v>112260</v>
      </c>
      <c r="N880" t="s">
        <v>863</v>
      </c>
    </row>
    <row r="881" spans="1:14" x14ac:dyDescent="0.3">
      <c r="A881" t="s">
        <v>1070</v>
      </c>
      <c r="B881" t="s">
        <v>544</v>
      </c>
      <c r="C881" t="s">
        <v>805</v>
      </c>
      <c r="D881" t="s">
        <v>819</v>
      </c>
      <c r="E881">
        <v>15</v>
      </c>
      <c r="F881" t="s">
        <v>825</v>
      </c>
      <c r="G881" t="s">
        <v>854</v>
      </c>
      <c r="H881">
        <v>7484</v>
      </c>
      <c r="I881" t="s">
        <v>832</v>
      </c>
      <c r="J881" t="s">
        <v>841</v>
      </c>
      <c r="K881" s="2">
        <v>45383</v>
      </c>
      <c r="L881">
        <v>2024</v>
      </c>
      <c r="M881">
        <v>112260</v>
      </c>
      <c r="N881" t="s">
        <v>863</v>
      </c>
    </row>
    <row r="882" spans="1:14" x14ac:dyDescent="0.3">
      <c r="A882" t="s">
        <v>1342</v>
      </c>
      <c r="B882" t="s">
        <v>543</v>
      </c>
      <c r="C882" t="s">
        <v>807</v>
      </c>
      <c r="D882" t="s">
        <v>816</v>
      </c>
      <c r="E882">
        <v>1</v>
      </c>
      <c r="F882" t="s">
        <v>824</v>
      </c>
      <c r="G882" t="s">
        <v>859</v>
      </c>
      <c r="H882">
        <v>7700</v>
      </c>
      <c r="I882" t="s">
        <v>835</v>
      </c>
      <c r="J882" t="s">
        <v>841</v>
      </c>
      <c r="K882" s="2">
        <v>45231</v>
      </c>
      <c r="L882">
        <v>2023</v>
      </c>
      <c r="M882">
        <v>7700</v>
      </c>
      <c r="N882" t="s">
        <v>868</v>
      </c>
    </row>
    <row r="883" spans="1:14" x14ac:dyDescent="0.3">
      <c r="A883" t="s">
        <v>1070</v>
      </c>
      <c r="B883" t="s">
        <v>544</v>
      </c>
      <c r="C883" t="s">
        <v>807</v>
      </c>
      <c r="D883" t="s">
        <v>816</v>
      </c>
      <c r="E883">
        <v>1</v>
      </c>
      <c r="F883" t="s">
        <v>825</v>
      </c>
      <c r="G883" t="s">
        <v>854</v>
      </c>
      <c r="H883">
        <v>7700</v>
      </c>
      <c r="I883" t="s">
        <v>835</v>
      </c>
      <c r="J883" t="s">
        <v>841</v>
      </c>
      <c r="K883" s="2">
        <v>45383</v>
      </c>
      <c r="L883">
        <v>2024</v>
      </c>
      <c r="M883">
        <v>7700</v>
      </c>
      <c r="N883" t="s">
        <v>868</v>
      </c>
    </row>
    <row r="884" spans="1:14" x14ac:dyDescent="0.3">
      <c r="A884" t="s">
        <v>983</v>
      </c>
      <c r="B884" t="s">
        <v>545</v>
      </c>
      <c r="C884" t="s">
        <v>806</v>
      </c>
      <c r="D884" t="s">
        <v>815</v>
      </c>
      <c r="E884">
        <v>13</v>
      </c>
      <c r="F884" t="s">
        <v>826</v>
      </c>
      <c r="G884" t="s">
        <v>872</v>
      </c>
      <c r="H884">
        <v>8537</v>
      </c>
      <c r="I884" t="s">
        <v>832</v>
      </c>
      <c r="J884" t="s">
        <v>843</v>
      </c>
      <c r="K884" s="2">
        <v>44805</v>
      </c>
      <c r="L884">
        <v>2022</v>
      </c>
      <c r="M884">
        <v>110981</v>
      </c>
      <c r="N884" t="s">
        <v>857</v>
      </c>
    </row>
    <row r="885" spans="1:14" x14ac:dyDescent="0.3">
      <c r="A885" t="s">
        <v>1343</v>
      </c>
      <c r="B885" t="s">
        <v>546</v>
      </c>
      <c r="C885" t="s">
        <v>807</v>
      </c>
      <c r="D885" t="s">
        <v>814</v>
      </c>
      <c r="E885">
        <v>6</v>
      </c>
      <c r="F885" t="s">
        <v>827</v>
      </c>
      <c r="G885" t="s">
        <v>876</v>
      </c>
      <c r="H885">
        <v>8858</v>
      </c>
      <c r="I885" t="s">
        <v>836</v>
      </c>
      <c r="J885" t="s">
        <v>843</v>
      </c>
      <c r="K885" s="2">
        <v>45566</v>
      </c>
      <c r="L885">
        <v>2024</v>
      </c>
      <c r="M885">
        <v>53148</v>
      </c>
      <c r="N885" t="s">
        <v>852</v>
      </c>
    </row>
    <row r="886" spans="1:14" x14ac:dyDescent="0.3">
      <c r="A886" t="s">
        <v>1132</v>
      </c>
      <c r="B886" t="s">
        <v>547</v>
      </c>
      <c r="C886" t="s">
        <v>805</v>
      </c>
      <c r="D886" t="s">
        <v>810</v>
      </c>
      <c r="E886">
        <v>7</v>
      </c>
      <c r="F886" t="s">
        <v>827</v>
      </c>
      <c r="G886" t="s">
        <v>883</v>
      </c>
      <c r="H886">
        <v>5313</v>
      </c>
      <c r="I886" t="s">
        <v>833</v>
      </c>
      <c r="J886" t="s">
        <v>844</v>
      </c>
      <c r="K886" s="2">
        <v>45597</v>
      </c>
      <c r="L886">
        <v>2024</v>
      </c>
      <c r="M886">
        <v>37191</v>
      </c>
      <c r="N886" t="s">
        <v>852</v>
      </c>
    </row>
    <row r="887" spans="1:14" x14ac:dyDescent="0.3">
      <c r="A887" t="s">
        <v>1344</v>
      </c>
      <c r="B887" t="s">
        <v>548</v>
      </c>
      <c r="C887" t="s">
        <v>805</v>
      </c>
      <c r="D887" t="s">
        <v>810</v>
      </c>
      <c r="E887">
        <v>7</v>
      </c>
      <c r="F887" t="s">
        <v>828</v>
      </c>
      <c r="G887" t="s">
        <v>904</v>
      </c>
      <c r="H887">
        <v>5313</v>
      </c>
      <c r="I887" t="s">
        <v>833</v>
      </c>
      <c r="J887" t="s">
        <v>844</v>
      </c>
      <c r="K887" s="2">
        <v>44470</v>
      </c>
      <c r="L887">
        <v>2021</v>
      </c>
      <c r="M887">
        <v>37191</v>
      </c>
      <c r="N887" t="s">
        <v>852</v>
      </c>
    </row>
    <row r="888" spans="1:14" x14ac:dyDescent="0.3">
      <c r="A888" t="s">
        <v>1345</v>
      </c>
      <c r="B888" t="s">
        <v>549</v>
      </c>
      <c r="C888" t="s">
        <v>807</v>
      </c>
      <c r="D888" t="s">
        <v>816</v>
      </c>
      <c r="E888">
        <v>7</v>
      </c>
      <c r="F888" t="s">
        <v>827</v>
      </c>
      <c r="G888" t="s">
        <v>862</v>
      </c>
      <c r="H888">
        <v>3281</v>
      </c>
      <c r="I888" t="s">
        <v>834</v>
      </c>
      <c r="J888" t="s">
        <v>842</v>
      </c>
      <c r="K888" s="2">
        <v>45261</v>
      </c>
      <c r="L888">
        <v>2023</v>
      </c>
      <c r="M888">
        <v>22967</v>
      </c>
      <c r="N888" t="s">
        <v>852</v>
      </c>
    </row>
    <row r="889" spans="1:14" x14ac:dyDescent="0.3">
      <c r="A889" t="s">
        <v>1346</v>
      </c>
      <c r="B889" t="s">
        <v>550</v>
      </c>
      <c r="C889" t="s">
        <v>807</v>
      </c>
      <c r="D889" t="s">
        <v>816</v>
      </c>
      <c r="E889">
        <v>7</v>
      </c>
      <c r="F889" t="s">
        <v>825</v>
      </c>
      <c r="G889" t="s">
        <v>921</v>
      </c>
      <c r="H889">
        <v>3281</v>
      </c>
      <c r="I889" t="s">
        <v>834</v>
      </c>
      <c r="J889" t="s">
        <v>842</v>
      </c>
      <c r="K889" s="2">
        <v>45078</v>
      </c>
      <c r="L889">
        <v>2023</v>
      </c>
      <c r="M889">
        <v>22967</v>
      </c>
      <c r="N889" t="s">
        <v>852</v>
      </c>
    </row>
    <row r="890" spans="1:14" x14ac:dyDescent="0.3">
      <c r="A890" t="s">
        <v>1347</v>
      </c>
      <c r="B890" t="s">
        <v>551</v>
      </c>
      <c r="C890" t="s">
        <v>806</v>
      </c>
      <c r="D890" t="s">
        <v>811</v>
      </c>
      <c r="E890">
        <v>9</v>
      </c>
      <c r="F890" t="s">
        <v>826</v>
      </c>
      <c r="G890" t="s">
        <v>865</v>
      </c>
      <c r="H890">
        <v>8681</v>
      </c>
      <c r="I890" t="s">
        <v>835</v>
      </c>
      <c r="J890" t="s">
        <v>843</v>
      </c>
      <c r="K890" s="2">
        <v>44075</v>
      </c>
      <c r="L890">
        <v>2020</v>
      </c>
      <c r="M890">
        <v>78129</v>
      </c>
      <c r="N890" t="s">
        <v>852</v>
      </c>
    </row>
    <row r="891" spans="1:14" x14ac:dyDescent="0.3">
      <c r="A891" t="s">
        <v>1348</v>
      </c>
      <c r="B891" t="s">
        <v>552</v>
      </c>
      <c r="C891" t="s">
        <v>807</v>
      </c>
      <c r="D891" t="s">
        <v>816</v>
      </c>
      <c r="E891">
        <v>18</v>
      </c>
      <c r="F891" t="s">
        <v>825</v>
      </c>
      <c r="G891" t="s">
        <v>870</v>
      </c>
      <c r="H891">
        <v>6195</v>
      </c>
      <c r="I891" t="s">
        <v>834</v>
      </c>
      <c r="J891" t="s">
        <v>841</v>
      </c>
      <c r="K891" s="2">
        <v>45689</v>
      </c>
      <c r="L891">
        <v>2025</v>
      </c>
      <c r="M891">
        <v>111510</v>
      </c>
      <c r="N891" t="s">
        <v>863</v>
      </c>
    </row>
    <row r="892" spans="1:14" x14ac:dyDescent="0.3">
      <c r="A892" t="s">
        <v>1349</v>
      </c>
      <c r="B892" t="s">
        <v>553</v>
      </c>
      <c r="C892" t="s">
        <v>807</v>
      </c>
      <c r="D892" t="s">
        <v>814</v>
      </c>
      <c r="E892">
        <v>16</v>
      </c>
      <c r="F892" t="s">
        <v>826</v>
      </c>
      <c r="G892" t="s">
        <v>872</v>
      </c>
      <c r="H892">
        <v>3877</v>
      </c>
      <c r="I892" t="s">
        <v>833</v>
      </c>
      <c r="J892" t="s">
        <v>842</v>
      </c>
      <c r="K892" s="2">
        <v>45108</v>
      </c>
      <c r="L892">
        <v>2023</v>
      </c>
      <c r="M892">
        <v>62032</v>
      </c>
      <c r="N892" t="s">
        <v>863</v>
      </c>
    </row>
    <row r="893" spans="1:14" x14ac:dyDescent="0.3">
      <c r="A893" t="s">
        <v>1350</v>
      </c>
      <c r="B893" t="s">
        <v>554</v>
      </c>
      <c r="C893" t="s">
        <v>807</v>
      </c>
      <c r="D893" t="s">
        <v>814</v>
      </c>
      <c r="E893">
        <v>16</v>
      </c>
      <c r="F893" t="s">
        <v>826</v>
      </c>
      <c r="G893" t="s">
        <v>865</v>
      </c>
      <c r="H893">
        <v>3877</v>
      </c>
      <c r="I893" t="s">
        <v>833</v>
      </c>
      <c r="J893" t="s">
        <v>842</v>
      </c>
      <c r="K893" s="2">
        <v>44593</v>
      </c>
      <c r="L893">
        <v>2022</v>
      </c>
      <c r="M893">
        <v>62032</v>
      </c>
      <c r="N893" t="s">
        <v>863</v>
      </c>
    </row>
    <row r="894" spans="1:14" x14ac:dyDescent="0.3">
      <c r="A894" t="s">
        <v>1351</v>
      </c>
      <c r="B894" t="s">
        <v>555</v>
      </c>
      <c r="C894" t="s">
        <v>805</v>
      </c>
      <c r="D894" t="s">
        <v>810</v>
      </c>
      <c r="E894">
        <v>6</v>
      </c>
      <c r="F894" t="s">
        <v>824</v>
      </c>
      <c r="G894" t="s">
        <v>859</v>
      </c>
      <c r="H894">
        <v>9369</v>
      </c>
      <c r="I894" t="s">
        <v>833</v>
      </c>
      <c r="J894" t="s">
        <v>843</v>
      </c>
      <c r="K894" s="2">
        <v>45170</v>
      </c>
      <c r="L894">
        <v>2023</v>
      </c>
      <c r="M894">
        <v>56214</v>
      </c>
      <c r="N894" t="s">
        <v>852</v>
      </c>
    </row>
    <row r="895" spans="1:14" x14ac:dyDescent="0.3">
      <c r="A895" t="s">
        <v>1352</v>
      </c>
      <c r="B895" t="s">
        <v>556</v>
      </c>
      <c r="C895" t="s">
        <v>805</v>
      </c>
      <c r="D895" t="s">
        <v>810</v>
      </c>
      <c r="E895">
        <v>6</v>
      </c>
      <c r="F895" t="s">
        <v>826</v>
      </c>
      <c r="G895" t="s">
        <v>865</v>
      </c>
      <c r="H895">
        <v>9369</v>
      </c>
      <c r="I895" t="s">
        <v>833</v>
      </c>
      <c r="J895" t="s">
        <v>843</v>
      </c>
      <c r="K895" s="2">
        <v>45658</v>
      </c>
      <c r="L895">
        <v>2025</v>
      </c>
      <c r="M895">
        <v>56214</v>
      </c>
      <c r="N895" t="s">
        <v>852</v>
      </c>
    </row>
    <row r="896" spans="1:14" x14ac:dyDescent="0.3">
      <c r="A896" t="s">
        <v>1351</v>
      </c>
      <c r="B896" t="s">
        <v>555</v>
      </c>
      <c r="C896" t="s">
        <v>805</v>
      </c>
      <c r="D896" t="s">
        <v>810</v>
      </c>
      <c r="E896">
        <v>20</v>
      </c>
      <c r="F896" t="s">
        <v>824</v>
      </c>
      <c r="G896" t="s">
        <v>859</v>
      </c>
      <c r="H896">
        <v>8680</v>
      </c>
      <c r="I896" t="s">
        <v>835</v>
      </c>
      <c r="J896" t="s">
        <v>843</v>
      </c>
      <c r="K896" s="2">
        <v>45170</v>
      </c>
      <c r="L896">
        <v>2023</v>
      </c>
      <c r="M896">
        <v>173600</v>
      </c>
      <c r="N896" t="s">
        <v>863</v>
      </c>
    </row>
    <row r="897" spans="1:14" x14ac:dyDescent="0.3">
      <c r="A897" t="s">
        <v>1352</v>
      </c>
      <c r="B897" t="s">
        <v>556</v>
      </c>
      <c r="C897" t="s">
        <v>805</v>
      </c>
      <c r="D897" t="s">
        <v>810</v>
      </c>
      <c r="E897">
        <v>20</v>
      </c>
      <c r="F897" t="s">
        <v>826</v>
      </c>
      <c r="G897" t="s">
        <v>865</v>
      </c>
      <c r="H897">
        <v>8680</v>
      </c>
      <c r="I897" t="s">
        <v>835</v>
      </c>
      <c r="J897" t="s">
        <v>843</v>
      </c>
      <c r="K897" s="2">
        <v>45658</v>
      </c>
      <c r="L897">
        <v>2025</v>
      </c>
      <c r="M897">
        <v>173600</v>
      </c>
      <c r="N897" t="s">
        <v>863</v>
      </c>
    </row>
    <row r="898" spans="1:14" x14ac:dyDescent="0.3">
      <c r="A898" t="s">
        <v>1351</v>
      </c>
      <c r="B898" t="s">
        <v>555</v>
      </c>
      <c r="C898" t="s">
        <v>805</v>
      </c>
      <c r="D898" t="s">
        <v>812</v>
      </c>
      <c r="E898">
        <v>8</v>
      </c>
      <c r="F898" t="s">
        <v>824</v>
      </c>
      <c r="G898" t="s">
        <v>859</v>
      </c>
      <c r="H898">
        <v>3067</v>
      </c>
      <c r="I898" t="s">
        <v>832</v>
      </c>
      <c r="J898" t="s">
        <v>842</v>
      </c>
      <c r="K898" s="2">
        <v>45170</v>
      </c>
      <c r="L898">
        <v>2023</v>
      </c>
      <c r="M898">
        <v>24536</v>
      </c>
      <c r="N898" t="s">
        <v>852</v>
      </c>
    </row>
    <row r="899" spans="1:14" x14ac:dyDescent="0.3">
      <c r="A899" t="s">
        <v>1352</v>
      </c>
      <c r="B899" t="s">
        <v>556</v>
      </c>
      <c r="C899" t="s">
        <v>805</v>
      </c>
      <c r="D899" t="s">
        <v>812</v>
      </c>
      <c r="E899">
        <v>8</v>
      </c>
      <c r="F899" t="s">
        <v>826</v>
      </c>
      <c r="G899" t="s">
        <v>865</v>
      </c>
      <c r="H899">
        <v>3067</v>
      </c>
      <c r="I899" t="s">
        <v>832</v>
      </c>
      <c r="J899" t="s">
        <v>842</v>
      </c>
      <c r="K899" s="2">
        <v>45658</v>
      </c>
      <c r="L899">
        <v>2025</v>
      </c>
      <c r="M899">
        <v>24536</v>
      </c>
      <c r="N899" t="s">
        <v>852</v>
      </c>
    </row>
    <row r="900" spans="1:14" x14ac:dyDescent="0.3">
      <c r="A900" t="s">
        <v>1290</v>
      </c>
      <c r="B900" t="s">
        <v>557</v>
      </c>
      <c r="C900" t="s">
        <v>806</v>
      </c>
      <c r="D900" t="s">
        <v>815</v>
      </c>
      <c r="E900">
        <v>2</v>
      </c>
      <c r="F900" t="s">
        <v>829</v>
      </c>
      <c r="G900" t="s">
        <v>890</v>
      </c>
      <c r="H900">
        <v>9002</v>
      </c>
      <c r="I900" t="s">
        <v>834</v>
      </c>
      <c r="J900" t="s">
        <v>843</v>
      </c>
      <c r="K900" s="2">
        <v>45658</v>
      </c>
      <c r="L900">
        <v>2025</v>
      </c>
      <c r="M900">
        <v>18004</v>
      </c>
      <c r="N900" t="s">
        <v>868</v>
      </c>
    </row>
    <row r="901" spans="1:14" x14ac:dyDescent="0.3">
      <c r="A901" t="s">
        <v>1353</v>
      </c>
      <c r="B901" t="s">
        <v>558</v>
      </c>
      <c r="C901" t="s">
        <v>806</v>
      </c>
      <c r="D901" t="s">
        <v>815</v>
      </c>
      <c r="E901">
        <v>2</v>
      </c>
      <c r="F901" t="s">
        <v>829</v>
      </c>
      <c r="G901" t="s">
        <v>886</v>
      </c>
      <c r="H901">
        <v>9002</v>
      </c>
      <c r="I901" t="s">
        <v>834</v>
      </c>
      <c r="J901" t="s">
        <v>843</v>
      </c>
      <c r="K901" s="2">
        <v>44256</v>
      </c>
      <c r="L901">
        <v>2021</v>
      </c>
      <c r="M901">
        <v>18004</v>
      </c>
      <c r="N901" t="s">
        <v>868</v>
      </c>
    </row>
    <row r="902" spans="1:14" x14ac:dyDescent="0.3">
      <c r="A902" t="s">
        <v>1354</v>
      </c>
      <c r="B902" t="s">
        <v>559</v>
      </c>
      <c r="C902" t="s">
        <v>806</v>
      </c>
      <c r="D902" t="s">
        <v>811</v>
      </c>
      <c r="E902">
        <v>19</v>
      </c>
      <c r="F902" t="s">
        <v>829</v>
      </c>
      <c r="G902" t="s">
        <v>886</v>
      </c>
      <c r="H902">
        <v>7105</v>
      </c>
      <c r="I902" t="s">
        <v>836</v>
      </c>
      <c r="J902" t="s">
        <v>841</v>
      </c>
      <c r="K902" s="2">
        <v>44531</v>
      </c>
      <c r="L902">
        <v>2021</v>
      </c>
      <c r="M902">
        <v>134995</v>
      </c>
      <c r="N902" t="s">
        <v>863</v>
      </c>
    </row>
    <row r="903" spans="1:14" x14ac:dyDescent="0.3">
      <c r="A903" t="s">
        <v>882</v>
      </c>
      <c r="B903" t="s">
        <v>560</v>
      </c>
      <c r="C903" t="s">
        <v>807</v>
      </c>
      <c r="D903" t="s">
        <v>814</v>
      </c>
      <c r="E903">
        <v>18</v>
      </c>
      <c r="F903" t="s">
        <v>829</v>
      </c>
      <c r="G903" t="s">
        <v>886</v>
      </c>
      <c r="H903">
        <v>5317</v>
      </c>
      <c r="I903" t="s">
        <v>833</v>
      </c>
      <c r="J903" t="s">
        <v>844</v>
      </c>
      <c r="K903" s="2">
        <v>44958</v>
      </c>
      <c r="L903">
        <v>2023</v>
      </c>
      <c r="M903">
        <v>95706</v>
      </c>
      <c r="N903" t="s">
        <v>863</v>
      </c>
    </row>
    <row r="904" spans="1:14" x14ac:dyDescent="0.3">
      <c r="A904" t="s">
        <v>1007</v>
      </c>
      <c r="B904" t="s">
        <v>561</v>
      </c>
      <c r="C904" t="s">
        <v>807</v>
      </c>
      <c r="D904" t="s">
        <v>814</v>
      </c>
      <c r="E904">
        <v>18</v>
      </c>
      <c r="F904" t="s">
        <v>824</v>
      </c>
      <c r="G904" t="s">
        <v>859</v>
      </c>
      <c r="H904">
        <v>5317</v>
      </c>
      <c r="I904" t="s">
        <v>833</v>
      </c>
      <c r="J904" t="s">
        <v>844</v>
      </c>
      <c r="K904" s="2">
        <v>45017</v>
      </c>
      <c r="L904">
        <v>2023</v>
      </c>
      <c r="M904">
        <v>95706</v>
      </c>
      <c r="N904" t="s">
        <v>863</v>
      </c>
    </row>
    <row r="905" spans="1:14" x14ac:dyDescent="0.3">
      <c r="A905" t="s">
        <v>1355</v>
      </c>
      <c r="B905" t="s">
        <v>562</v>
      </c>
      <c r="C905" t="s">
        <v>807</v>
      </c>
      <c r="D905" t="s">
        <v>814</v>
      </c>
      <c r="E905">
        <v>18</v>
      </c>
      <c r="F905" t="s">
        <v>827</v>
      </c>
      <c r="G905" t="s">
        <v>883</v>
      </c>
      <c r="H905">
        <v>5317</v>
      </c>
      <c r="I905" t="s">
        <v>833</v>
      </c>
      <c r="J905" t="s">
        <v>844</v>
      </c>
      <c r="K905" s="2">
        <v>45597</v>
      </c>
      <c r="L905">
        <v>2024</v>
      </c>
      <c r="M905">
        <v>95706</v>
      </c>
      <c r="N905" t="s">
        <v>863</v>
      </c>
    </row>
    <row r="906" spans="1:14" x14ac:dyDescent="0.3">
      <c r="A906" t="s">
        <v>882</v>
      </c>
      <c r="B906" t="s">
        <v>560</v>
      </c>
      <c r="C906" t="s">
        <v>807</v>
      </c>
      <c r="D906" t="s">
        <v>813</v>
      </c>
      <c r="E906">
        <v>14</v>
      </c>
      <c r="F906" t="s">
        <v>829</v>
      </c>
      <c r="G906" t="s">
        <v>886</v>
      </c>
      <c r="H906">
        <v>6304</v>
      </c>
      <c r="I906" t="s">
        <v>834</v>
      </c>
      <c r="J906" t="s">
        <v>841</v>
      </c>
      <c r="K906" s="2">
        <v>44958</v>
      </c>
      <c r="L906">
        <v>2023</v>
      </c>
      <c r="M906">
        <v>88256</v>
      </c>
      <c r="N906" t="s">
        <v>857</v>
      </c>
    </row>
    <row r="907" spans="1:14" x14ac:dyDescent="0.3">
      <c r="A907" t="s">
        <v>1007</v>
      </c>
      <c r="B907" t="s">
        <v>561</v>
      </c>
      <c r="C907" t="s">
        <v>807</v>
      </c>
      <c r="D907" t="s">
        <v>813</v>
      </c>
      <c r="E907">
        <v>14</v>
      </c>
      <c r="F907" t="s">
        <v>824</v>
      </c>
      <c r="G907" t="s">
        <v>859</v>
      </c>
      <c r="H907">
        <v>6304</v>
      </c>
      <c r="I907" t="s">
        <v>834</v>
      </c>
      <c r="J907" t="s">
        <v>841</v>
      </c>
      <c r="K907" s="2">
        <v>45017</v>
      </c>
      <c r="L907">
        <v>2023</v>
      </c>
      <c r="M907">
        <v>88256</v>
      </c>
      <c r="N907" t="s">
        <v>857</v>
      </c>
    </row>
    <row r="908" spans="1:14" x14ac:dyDescent="0.3">
      <c r="A908" t="s">
        <v>1355</v>
      </c>
      <c r="B908" t="s">
        <v>562</v>
      </c>
      <c r="C908" t="s">
        <v>807</v>
      </c>
      <c r="D908" t="s">
        <v>813</v>
      </c>
      <c r="E908">
        <v>14</v>
      </c>
      <c r="F908" t="s">
        <v>827</v>
      </c>
      <c r="G908" t="s">
        <v>883</v>
      </c>
      <c r="H908">
        <v>6304</v>
      </c>
      <c r="I908" t="s">
        <v>834</v>
      </c>
      <c r="J908" t="s">
        <v>841</v>
      </c>
      <c r="K908" s="2">
        <v>45597</v>
      </c>
      <c r="L908">
        <v>2024</v>
      </c>
      <c r="M908">
        <v>88256</v>
      </c>
      <c r="N908" t="s">
        <v>857</v>
      </c>
    </row>
    <row r="909" spans="1:14" x14ac:dyDescent="0.3">
      <c r="A909" t="s">
        <v>943</v>
      </c>
      <c r="B909" t="s">
        <v>563</v>
      </c>
      <c r="C909" t="s">
        <v>806</v>
      </c>
      <c r="D909" t="s">
        <v>817</v>
      </c>
      <c r="E909">
        <v>3</v>
      </c>
      <c r="F909" t="s">
        <v>825</v>
      </c>
      <c r="G909" t="s">
        <v>870</v>
      </c>
      <c r="H909">
        <v>9565</v>
      </c>
      <c r="I909" t="s">
        <v>833</v>
      </c>
      <c r="J909" t="s">
        <v>843</v>
      </c>
      <c r="K909" s="2">
        <v>45474</v>
      </c>
      <c r="L909">
        <v>2024</v>
      </c>
      <c r="M909">
        <v>28695</v>
      </c>
      <c r="N909" t="s">
        <v>868</v>
      </c>
    </row>
    <row r="910" spans="1:14" x14ac:dyDescent="0.3">
      <c r="A910" t="s">
        <v>943</v>
      </c>
      <c r="B910" t="s">
        <v>563</v>
      </c>
      <c r="C910" t="s">
        <v>806</v>
      </c>
      <c r="D910" t="s">
        <v>817</v>
      </c>
      <c r="E910">
        <v>11</v>
      </c>
      <c r="F910" t="s">
        <v>825</v>
      </c>
      <c r="G910" t="s">
        <v>870</v>
      </c>
      <c r="H910">
        <v>8245</v>
      </c>
      <c r="I910" t="s">
        <v>834</v>
      </c>
      <c r="J910" t="s">
        <v>843</v>
      </c>
      <c r="K910" s="2">
        <v>45474</v>
      </c>
      <c r="L910">
        <v>2024</v>
      </c>
      <c r="M910">
        <v>90695</v>
      </c>
      <c r="N910" t="s">
        <v>857</v>
      </c>
    </row>
    <row r="911" spans="1:14" x14ac:dyDescent="0.3">
      <c r="A911" t="s">
        <v>1010</v>
      </c>
      <c r="B911" t="s">
        <v>564</v>
      </c>
      <c r="C911" t="s">
        <v>805</v>
      </c>
      <c r="D911" t="s">
        <v>812</v>
      </c>
      <c r="E911">
        <v>13</v>
      </c>
      <c r="F911" t="s">
        <v>829</v>
      </c>
      <c r="G911" t="s">
        <v>894</v>
      </c>
      <c r="H911">
        <v>1592</v>
      </c>
      <c r="I911" t="s">
        <v>833</v>
      </c>
      <c r="J911" t="s">
        <v>840</v>
      </c>
      <c r="K911" s="2">
        <v>44562</v>
      </c>
      <c r="L911">
        <v>2022</v>
      </c>
      <c r="M911">
        <v>20696</v>
      </c>
      <c r="N911" t="s">
        <v>857</v>
      </c>
    </row>
    <row r="912" spans="1:14" x14ac:dyDescent="0.3">
      <c r="A912" t="s">
        <v>1356</v>
      </c>
      <c r="B912" t="s">
        <v>565</v>
      </c>
      <c r="C912" t="s">
        <v>805</v>
      </c>
      <c r="D912" t="s">
        <v>819</v>
      </c>
      <c r="E912">
        <v>5</v>
      </c>
      <c r="F912" t="s">
        <v>829</v>
      </c>
      <c r="G912" t="s">
        <v>886</v>
      </c>
      <c r="H912">
        <v>8400</v>
      </c>
      <c r="I912" t="s">
        <v>833</v>
      </c>
      <c r="J912" t="s">
        <v>843</v>
      </c>
      <c r="K912" s="2">
        <v>45566</v>
      </c>
      <c r="L912">
        <v>2024</v>
      </c>
      <c r="M912">
        <v>42000</v>
      </c>
      <c r="N912" t="s">
        <v>852</v>
      </c>
    </row>
    <row r="913" spans="1:14" x14ac:dyDescent="0.3">
      <c r="A913" t="s">
        <v>1356</v>
      </c>
      <c r="B913" t="s">
        <v>565</v>
      </c>
      <c r="C913" t="s">
        <v>806</v>
      </c>
      <c r="D913" t="s">
        <v>817</v>
      </c>
      <c r="E913">
        <v>15</v>
      </c>
      <c r="F913" t="s">
        <v>829</v>
      </c>
      <c r="G913" t="s">
        <v>886</v>
      </c>
      <c r="H913">
        <v>4963</v>
      </c>
      <c r="I913" t="s">
        <v>834</v>
      </c>
      <c r="J913" t="s">
        <v>844</v>
      </c>
      <c r="K913" s="2">
        <v>45566</v>
      </c>
      <c r="L913">
        <v>2024</v>
      </c>
      <c r="M913">
        <v>74445</v>
      </c>
      <c r="N913" t="s">
        <v>863</v>
      </c>
    </row>
    <row r="914" spans="1:14" x14ac:dyDescent="0.3">
      <c r="A914" t="s">
        <v>1189</v>
      </c>
      <c r="B914" t="s">
        <v>566</v>
      </c>
      <c r="C914" t="s">
        <v>805</v>
      </c>
      <c r="D914" t="s">
        <v>810</v>
      </c>
      <c r="E914">
        <v>5</v>
      </c>
      <c r="F914" t="s">
        <v>827</v>
      </c>
      <c r="G914" t="s">
        <v>876</v>
      </c>
      <c r="H914">
        <v>2472</v>
      </c>
      <c r="I914" t="s">
        <v>836</v>
      </c>
      <c r="J914" t="s">
        <v>842</v>
      </c>
      <c r="K914" s="2">
        <v>43983</v>
      </c>
      <c r="L914">
        <v>2020</v>
      </c>
      <c r="M914">
        <v>12360</v>
      </c>
      <c r="N914" t="s">
        <v>852</v>
      </c>
    </row>
    <row r="915" spans="1:14" x14ac:dyDescent="0.3">
      <c r="A915" t="s">
        <v>887</v>
      </c>
      <c r="B915" t="s">
        <v>567</v>
      </c>
      <c r="C915" t="s">
        <v>807</v>
      </c>
      <c r="D915" t="s">
        <v>814</v>
      </c>
      <c r="E915">
        <v>14</v>
      </c>
      <c r="F915" t="s">
        <v>824</v>
      </c>
      <c r="G915" t="s">
        <v>910</v>
      </c>
      <c r="H915">
        <v>9132</v>
      </c>
      <c r="I915" t="s">
        <v>833</v>
      </c>
      <c r="J915" t="s">
        <v>843</v>
      </c>
      <c r="K915" s="2">
        <v>45261</v>
      </c>
      <c r="L915">
        <v>2023</v>
      </c>
      <c r="M915">
        <v>127848</v>
      </c>
      <c r="N915" t="s">
        <v>857</v>
      </c>
    </row>
    <row r="916" spans="1:14" x14ac:dyDescent="0.3">
      <c r="A916" t="s">
        <v>1357</v>
      </c>
      <c r="B916" t="s">
        <v>568</v>
      </c>
      <c r="C916" t="s">
        <v>806</v>
      </c>
      <c r="D916" t="s">
        <v>818</v>
      </c>
      <c r="E916">
        <v>6</v>
      </c>
      <c r="F916" t="s">
        <v>826</v>
      </c>
      <c r="G916" t="s">
        <v>872</v>
      </c>
      <c r="H916">
        <v>8305</v>
      </c>
      <c r="I916" t="s">
        <v>833</v>
      </c>
      <c r="J916" t="s">
        <v>843</v>
      </c>
      <c r="K916" s="2">
        <v>44166</v>
      </c>
      <c r="L916">
        <v>2020</v>
      </c>
      <c r="M916">
        <v>49830</v>
      </c>
      <c r="N916" t="s">
        <v>852</v>
      </c>
    </row>
    <row r="917" spans="1:14" x14ac:dyDescent="0.3">
      <c r="A917" t="s">
        <v>1358</v>
      </c>
      <c r="B917" t="s">
        <v>569</v>
      </c>
      <c r="C917" t="s">
        <v>805</v>
      </c>
      <c r="D917" t="s">
        <v>809</v>
      </c>
      <c r="E917">
        <v>19</v>
      </c>
      <c r="F917" t="s">
        <v>824</v>
      </c>
      <c r="G917" t="s">
        <v>910</v>
      </c>
      <c r="H917">
        <v>1010</v>
      </c>
      <c r="I917" t="s">
        <v>836</v>
      </c>
      <c r="J917" t="s">
        <v>840</v>
      </c>
      <c r="K917" s="2">
        <v>45717</v>
      </c>
      <c r="L917">
        <v>2025</v>
      </c>
      <c r="M917">
        <v>19190</v>
      </c>
      <c r="N917" t="s">
        <v>863</v>
      </c>
    </row>
    <row r="918" spans="1:14" x14ac:dyDescent="0.3">
      <c r="A918" t="s">
        <v>1229</v>
      </c>
      <c r="B918" t="s">
        <v>570</v>
      </c>
      <c r="C918" t="s">
        <v>805</v>
      </c>
      <c r="D918" t="s">
        <v>819</v>
      </c>
      <c r="E918">
        <v>9</v>
      </c>
      <c r="F918" t="s">
        <v>828</v>
      </c>
      <c r="G918" t="s">
        <v>874</v>
      </c>
      <c r="H918">
        <v>4544</v>
      </c>
      <c r="I918" t="s">
        <v>834</v>
      </c>
      <c r="J918" t="s">
        <v>844</v>
      </c>
      <c r="K918" s="2">
        <v>45505</v>
      </c>
      <c r="L918">
        <v>2024</v>
      </c>
      <c r="M918">
        <v>40896</v>
      </c>
      <c r="N918" t="s">
        <v>852</v>
      </c>
    </row>
    <row r="919" spans="1:14" x14ac:dyDescent="0.3">
      <c r="A919" t="s">
        <v>1229</v>
      </c>
      <c r="B919" t="s">
        <v>570</v>
      </c>
      <c r="C919" t="s">
        <v>805</v>
      </c>
      <c r="D919" t="s">
        <v>819</v>
      </c>
      <c r="E919">
        <v>20</v>
      </c>
      <c r="F919" t="s">
        <v>828</v>
      </c>
      <c r="G919" t="s">
        <v>874</v>
      </c>
      <c r="H919">
        <v>5900</v>
      </c>
      <c r="I919" t="s">
        <v>832</v>
      </c>
      <c r="J919" t="s">
        <v>844</v>
      </c>
      <c r="K919" s="2">
        <v>45505</v>
      </c>
      <c r="L919">
        <v>2024</v>
      </c>
      <c r="M919">
        <v>118000</v>
      </c>
      <c r="N919" t="s">
        <v>863</v>
      </c>
    </row>
    <row r="920" spans="1:14" x14ac:dyDescent="0.3">
      <c r="A920" t="s">
        <v>1288</v>
      </c>
      <c r="B920" t="s">
        <v>571</v>
      </c>
      <c r="C920" t="s">
        <v>806</v>
      </c>
      <c r="D920" t="s">
        <v>815</v>
      </c>
      <c r="E920">
        <v>19</v>
      </c>
      <c r="F920" t="s">
        <v>827</v>
      </c>
      <c r="G920" t="s">
        <v>876</v>
      </c>
      <c r="H920">
        <v>8861</v>
      </c>
      <c r="I920" t="s">
        <v>835</v>
      </c>
      <c r="J920" t="s">
        <v>843</v>
      </c>
      <c r="K920" s="2">
        <v>44317</v>
      </c>
      <c r="L920">
        <v>2021</v>
      </c>
      <c r="M920">
        <v>168359</v>
      </c>
      <c r="N920" t="s">
        <v>863</v>
      </c>
    </row>
    <row r="921" spans="1:14" x14ac:dyDescent="0.3">
      <c r="A921" t="s">
        <v>1359</v>
      </c>
      <c r="B921" t="s">
        <v>572</v>
      </c>
      <c r="C921" t="s">
        <v>805</v>
      </c>
      <c r="D921" t="s">
        <v>819</v>
      </c>
      <c r="E921">
        <v>13</v>
      </c>
      <c r="F921" t="s">
        <v>829</v>
      </c>
      <c r="G921" t="s">
        <v>890</v>
      </c>
      <c r="H921">
        <v>8158</v>
      </c>
      <c r="I921" t="s">
        <v>833</v>
      </c>
      <c r="J921" t="s">
        <v>843</v>
      </c>
      <c r="K921" s="2">
        <v>44075</v>
      </c>
      <c r="L921">
        <v>2020</v>
      </c>
      <c r="M921">
        <v>106054</v>
      </c>
      <c r="N921" t="s">
        <v>857</v>
      </c>
    </row>
    <row r="922" spans="1:14" x14ac:dyDescent="0.3">
      <c r="A922" t="s">
        <v>1360</v>
      </c>
      <c r="B922" t="s">
        <v>573</v>
      </c>
      <c r="C922" t="s">
        <v>806</v>
      </c>
      <c r="D922" t="s">
        <v>811</v>
      </c>
      <c r="E922">
        <v>14</v>
      </c>
      <c r="F922" t="s">
        <v>827</v>
      </c>
      <c r="G922" t="s">
        <v>862</v>
      </c>
      <c r="H922">
        <v>3411</v>
      </c>
      <c r="I922" t="s">
        <v>832</v>
      </c>
      <c r="J922" t="s">
        <v>842</v>
      </c>
      <c r="K922" s="2">
        <v>45658</v>
      </c>
      <c r="L922">
        <v>2025</v>
      </c>
      <c r="M922">
        <v>47754</v>
      </c>
      <c r="N922" t="s">
        <v>857</v>
      </c>
    </row>
    <row r="923" spans="1:14" x14ac:dyDescent="0.3">
      <c r="A923" t="s">
        <v>1361</v>
      </c>
      <c r="B923" t="s">
        <v>574</v>
      </c>
      <c r="C923" t="s">
        <v>806</v>
      </c>
      <c r="D923" t="s">
        <v>815</v>
      </c>
      <c r="E923">
        <v>16</v>
      </c>
      <c r="F923" t="s">
        <v>828</v>
      </c>
      <c r="G923" t="s">
        <v>904</v>
      </c>
      <c r="H923">
        <v>9406</v>
      </c>
      <c r="I923" t="s">
        <v>832</v>
      </c>
      <c r="J923" t="s">
        <v>843</v>
      </c>
      <c r="K923" s="2">
        <v>44470</v>
      </c>
      <c r="L923">
        <v>2021</v>
      </c>
      <c r="M923">
        <v>150496</v>
      </c>
      <c r="N923" t="s">
        <v>863</v>
      </c>
    </row>
    <row r="924" spans="1:14" x14ac:dyDescent="0.3">
      <c r="A924" t="s">
        <v>1361</v>
      </c>
      <c r="B924" t="s">
        <v>574</v>
      </c>
      <c r="C924" t="s">
        <v>805</v>
      </c>
      <c r="D924" t="s">
        <v>810</v>
      </c>
      <c r="E924">
        <v>15</v>
      </c>
      <c r="F924" t="s">
        <v>828</v>
      </c>
      <c r="G924" t="s">
        <v>904</v>
      </c>
      <c r="H924">
        <v>1156</v>
      </c>
      <c r="I924" t="s">
        <v>834</v>
      </c>
      <c r="J924" t="s">
        <v>840</v>
      </c>
      <c r="K924" s="2">
        <v>44470</v>
      </c>
      <c r="L924">
        <v>2021</v>
      </c>
      <c r="M924">
        <v>17340</v>
      </c>
      <c r="N924" t="s">
        <v>863</v>
      </c>
    </row>
    <row r="925" spans="1:14" x14ac:dyDescent="0.3">
      <c r="A925" t="s">
        <v>1362</v>
      </c>
      <c r="B925" t="s">
        <v>575</v>
      </c>
      <c r="C925" t="s">
        <v>807</v>
      </c>
      <c r="D925" t="s">
        <v>820</v>
      </c>
      <c r="E925">
        <v>10</v>
      </c>
      <c r="F925" t="s">
        <v>825</v>
      </c>
      <c r="G925" t="s">
        <v>870</v>
      </c>
      <c r="H925">
        <v>5354</v>
      </c>
      <c r="I925" t="s">
        <v>832</v>
      </c>
      <c r="J925" t="s">
        <v>844</v>
      </c>
      <c r="K925" s="2">
        <v>44470</v>
      </c>
      <c r="L925">
        <v>2021</v>
      </c>
      <c r="M925">
        <v>53540</v>
      </c>
      <c r="N925" t="s">
        <v>857</v>
      </c>
    </row>
    <row r="926" spans="1:14" x14ac:dyDescent="0.3">
      <c r="A926" t="s">
        <v>1363</v>
      </c>
      <c r="B926" t="s">
        <v>576</v>
      </c>
      <c r="C926" t="s">
        <v>805</v>
      </c>
      <c r="D926" t="s">
        <v>809</v>
      </c>
      <c r="E926">
        <v>4</v>
      </c>
      <c r="F926" t="s">
        <v>828</v>
      </c>
      <c r="G926" t="s">
        <v>880</v>
      </c>
      <c r="H926">
        <v>8780</v>
      </c>
      <c r="I926" t="s">
        <v>835</v>
      </c>
      <c r="J926" t="s">
        <v>843</v>
      </c>
      <c r="K926" s="2">
        <v>45474</v>
      </c>
      <c r="L926">
        <v>2024</v>
      </c>
      <c r="M926">
        <v>35120</v>
      </c>
      <c r="N926" t="s">
        <v>868</v>
      </c>
    </row>
    <row r="927" spans="1:14" x14ac:dyDescent="0.3">
      <c r="A927" t="s">
        <v>1364</v>
      </c>
      <c r="B927" t="s">
        <v>577</v>
      </c>
      <c r="C927" t="s">
        <v>805</v>
      </c>
      <c r="D927" t="s">
        <v>809</v>
      </c>
      <c r="E927">
        <v>4</v>
      </c>
      <c r="F927" t="s">
        <v>828</v>
      </c>
      <c r="G927" t="s">
        <v>880</v>
      </c>
      <c r="H927">
        <v>8780</v>
      </c>
      <c r="I927" t="s">
        <v>835</v>
      </c>
      <c r="J927" t="s">
        <v>843</v>
      </c>
      <c r="K927" s="2">
        <v>45108</v>
      </c>
      <c r="L927">
        <v>2023</v>
      </c>
      <c r="M927">
        <v>35120</v>
      </c>
      <c r="N927" t="s">
        <v>868</v>
      </c>
    </row>
    <row r="928" spans="1:14" x14ac:dyDescent="0.3">
      <c r="A928" t="s">
        <v>1365</v>
      </c>
      <c r="B928" t="s">
        <v>578</v>
      </c>
      <c r="C928" t="s">
        <v>807</v>
      </c>
      <c r="D928" t="s">
        <v>816</v>
      </c>
      <c r="E928">
        <v>8</v>
      </c>
      <c r="F928" t="s">
        <v>829</v>
      </c>
      <c r="G928" t="s">
        <v>886</v>
      </c>
      <c r="H928">
        <v>6783</v>
      </c>
      <c r="I928" t="s">
        <v>833</v>
      </c>
      <c r="J928" t="s">
        <v>841</v>
      </c>
      <c r="K928" s="2">
        <v>43922</v>
      </c>
      <c r="L928">
        <v>2020</v>
      </c>
      <c r="M928">
        <v>54264</v>
      </c>
      <c r="N928" t="s">
        <v>852</v>
      </c>
    </row>
    <row r="929" spans="1:14" x14ac:dyDescent="0.3">
      <c r="A929" t="s">
        <v>1366</v>
      </c>
      <c r="B929" t="s">
        <v>579</v>
      </c>
      <c r="C929" t="s">
        <v>806</v>
      </c>
      <c r="D929" t="s">
        <v>811</v>
      </c>
      <c r="E929">
        <v>4</v>
      </c>
      <c r="F929" t="s">
        <v>826</v>
      </c>
      <c r="G929" t="s">
        <v>865</v>
      </c>
      <c r="H929">
        <v>1778</v>
      </c>
      <c r="I929" t="s">
        <v>835</v>
      </c>
      <c r="J929" t="s">
        <v>840</v>
      </c>
      <c r="K929" s="2">
        <v>44013</v>
      </c>
      <c r="L929">
        <v>2020</v>
      </c>
      <c r="M929">
        <v>7112</v>
      </c>
      <c r="N929" t="s">
        <v>868</v>
      </c>
    </row>
    <row r="930" spans="1:14" x14ac:dyDescent="0.3">
      <c r="A930" t="s">
        <v>924</v>
      </c>
      <c r="B930" t="s">
        <v>580</v>
      </c>
      <c r="C930" t="s">
        <v>805</v>
      </c>
      <c r="D930" t="s">
        <v>810</v>
      </c>
      <c r="E930">
        <v>12</v>
      </c>
      <c r="F930" t="s">
        <v>826</v>
      </c>
      <c r="G930" t="s">
        <v>872</v>
      </c>
      <c r="H930">
        <v>9399</v>
      </c>
      <c r="I930" t="s">
        <v>832</v>
      </c>
      <c r="J930" t="s">
        <v>843</v>
      </c>
      <c r="K930" s="2">
        <v>44682</v>
      </c>
      <c r="L930">
        <v>2022</v>
      </c>
      <c r="M930">
        <v>112788</v>
      </c>
      <c r="N930" t="s">
        <v>857</v>
      </c>
    </row>
    <row r="931" spans="1:14" x14ac:dyDescent="0.3">
      <c r="A931" t="s">
        <v>924</v>
      </c>
      <c r="B931" t="s">
        <v>580</v>
      </c>
      <c r="C931" t="s">
        <v>807</v>
      </c>
      <c r="D931" t="s">
        <v>816</v>
      </c>
      <c r="E931">
        <v>4</v>
      </c>
      <c r="F931" t="s">
        <v>826</v>
      </c>
      <c r="G931" t="s">
        <v>872</v>
      </c>
      <c r="H931">
        <v>7957</v>
      </c>
      <c r="I931" t="s">
        <v>835</v>
      </c>
      <c r="J931" t="s">
        <v>841</v>
      </c>
      <c r="K931" s="2">
        <v>44682</v>
      </c>
      <c r="L931">
        <v>2022</v>
      </c>
      <c r="M931">
        <v>31828</v>
      </c>
      <c r="N931" t="s">
        <v>868</v>
      </c>
    </row>
    <row r="932" spans="1:14" x14ac:dyDescent="0.3">
      <c r="A932" t="s">
        <v>1367</v>
      </c>
      <c r="B932" t="s">
        <v>581</v>
      </c>
      <c r="C932" t="s">
        <v>807</v>
      </c>
      <c r="D932" t="s">
        <v>814</v>
      </c>
      <c r="E932">
        <v>13</v>
      </c>
      <c r="F932" t="s">
        <v>825</v>
      </c>
      <c r="G932" t="s">
        <v>870</v>
      </c>
      <c r="H932">
        <v>1638</v>
      </c>
      <c r="I932" t="s">
        <v>834</v>
      </c>
      <c r="J932" t="s">
        <v>840</v>
      </c>
      <c r="K932" s="2">
        <v>45231</v>
      </c>
      <c r="L932">
        <v>2023</v>
      </c>
      <c r="M932">
        <v>21294</v>
      </c>
      <c r="N932" t="s">
        <v>857</v>
      </c>
    </row>
    <row r="933" spans="1:14" x14ac:dyDescent="0.3">
      <c r="A933" t="s">
        <v>923</v>
      </c>
      <c r="B933" t="s">
        <v>582</v>
      </c>
      <c r="C933" t="s">
        <v>807</v>
      </c>
      <c r="D933" t="s">
        <v>813</v>
      </c>
      <c r="E933">
        <v>4</v>
      </c>
      <c r="F933" t="s">
        <v>828</v>
      </c>
      <c r="G933" t="s">
        <v>874</v>
      </c>
      <c r="H933">
        <v>1786</v>
      </c>
      <c r="I933" t="s">
        <v>836</v>
      </c>
      <c r="J933" t="s">
        <v>840</v>
      </c>
      <c r="K933" s="2">
        <v>44409</v>
      </c>
      <c r="L933">
        <v>2021</v>
      </c>
      <c r="M933">
        <v>7144</v>
      </c>
      <c r="N933" t="s">
        <v>868</v>
      </c>
    </row>
    <row r="934" spans="1:14" x14ac:dyDescent="0.3">
      <c r="A934" t="s">
        <v>1368</v>
      </c>
      <c r="B934" t="s">
        <v>583</v>
      </c>
      <c r="C934" t="s">
        <v>806</v>
      </c>
      <c r="D934" t="s">
        <v>817</v>
      </c>
      <c r="E934">
        <v>9</v>
      </c>
      <c r="F934" t="s">
        <v>826</v>
      </c>
      <c r="G934" t="s">
        <v>856</v>
      </c>
      <c r="H934">
        <v>4751</v>
      </c>
      <c r="I934" t="s">
        <v>834</v>
      </c>
      <c r="J934" t="s">
        <v>844</v>
      </c>
      <c r="K934" s="2">
        <v>45108</v>
      </c>
      <c r="L934">
        <v>2023</v>
      </c>
      <c r="M934">
        <v>42759</v>
      </c>
      <c r="N934" t="s">
        <v>852</v>
      </c>
    </row>
    <row r="935" spans="1:14" x14ac:dyDescent="0.3">
      <c r="A935" t="s">
        <v>1369</v>
      </c>
      <c r="B935" t="s">
        <v>584</v>
      </c>
      <c r="C935" t="s">
        <v>806</v>
      </c>
      <c r="D935" t="s">
        <v>817</v>
      </c>
      <c r="E935">
        <v>4</v>
      </c>
      <c r="F935" t="s">
        <v>825</v>
      </c>
      <c r="G935" t="s">
        <v>854</v>
      </c>
      <c r="H935">
        <v>8979</v>
      </c>
      <c r="I935" t="s">
        <v>835</v>
      </c>
      <c r="J935" t="s">
        <v>843</v>
      </c>
      <c r="K935" s="2">
        <v>44044</v>
      </c>
      <c r="L935">
        <v>2020</v>
      </c>
      <c r="M935">
        <v>35916</v>
      </c>
      <c r="N935" t="s">
        <v>868</v>
      </c>
    </row>
    <row r="936" spans="1:14" x14ac:dyDescent="0.3">
      <c r="A936" t="s">
        <v>1370</v>
      </c>
      <c r="B936" t="s">
        <v>585</v>
      </c>
      <c r="C936" t="s">
        <v>805</v>
      </c>
      <c r="D936" t="s">
        <v>819</v>
      </c>
      <c r="E936">
        <v>8</v>
      </c>
      <c r="F936" t="s">
        <v>824</v>
      </c>
      <c r="G936" t="s">
        <v>851</v>
      </c>
      <c r="H936">
        <v>2727</v>
      </c>
      <c r="I936" t="s">
        <v>835</v>
      </c>
      <c r="J936" t="s">
        <v>842</v>
      </c>
      <c r="K936" s="2">
        <v>44866</v>
      </c>
      <c r="L936">
        <v>2022</v>
      </c>
      <c r="M936">
        <v>21816</v>
      </c>
      <c r="N936" t="s">
        <v>852</v>
      </c>
    </row>
    <row r="937" spans="1:14" x14ac:dyDescent="0.3">
      <c r="A937" t="s">
        <v>1371</v>
      </c>
      <c r="B937" t="s">
        <v>586</v>
      </c>
      <c r="C937" t="s">
        <v>805</v>
      </c>
      <c r="D937" t="s">
        <v>810</v>
      </c>
      <c r="E937">
        <v>17</v>
      </c>
      <c r="F937" t="s">
        <v>825</v>
      </c>
      <c r="G937" t="s">
        <v>921</v>
      </c>
      <c r="H937">
        <v>1093</v>
      </c>
      <c r="I937" t="s">
        <v>835</v>
      </c>
      <c r="J937" t="s">
        <v>840</v>
      </c>
      <c r="K937" s="2">
        <v>45352</v>
      </c>
      <c r="L937">
        <v>2024</v>
      </c>
      <c r="M937">
        <v>18581</v>
      </c>
      <c r="N937" t="s">
        <v>863</v>
      </c>
    </row>
    <row r="938" spans="1:14" x14ac:dyDescent="0.3">
      <c r="A938" t="s">
        <v>1372</v>
      </c>
      <c r="B938" t="s">
        <v>587</v>
      </c>
      <c r="C938" t="s">
        <v>805</v>
      </c>
      <c r="D938" t="s">
        <v>810</v>
      </c>
      <c r="E938">
        <v>17</v>
      </c>
      <c r="F938" t="s">
        <v>826</v>
      </c>
      <c r="G938" t="s">
        <v>856</v>
      </c>
      <c r="H938">
        <v>1093</v>
      </c>
      <c r="I938" t="s">
        <v>835</v>
      </c>
      <c r="J938" t="s">
        <v>840</v>
      </c>
      <c r="K938" s="2">
        <v>45536</v>
      </c>
      <c r="L938">
        <v>2024</v>
      </c>
      <c r="M938">
        <v>18581</v>
      </c>
      <c r="N938" t="s">
        <v>863</v>
      </c>
    </row>
    <row r="939" spans="1:14" x14ac:dyDescent="0.3">
      <c r="A939" t="s">
        <v>1373</v>
      </c>
      <c r="B939" t="s">
        <v>588</v>
      </c>
      <c r="C939" t="s">
        <v>805</v>
      </c>
      <c r="D939" t="s">
        <v>810</v>
      </c>
      <c r="E939">
        <v>17</v>
      </c>
      <c r="F939" t="s">
        <v>829</v>
      </c>
      <c r="G939" t="s">
        <v>886</v>
      </c>
      <c r="H939">
        <v>1093</v>
      </c>
      <c r="I939" t="s">
        <v>835</v>
      </c>
      <c r="J939" t="s">
        <v>840</v>
      </c>
      <c r="K939" s="2">
        <v>44593</v>
      </c>
      <c r="L939">
        <v>2022</v>
      </c>
      <c r="M939">
        <v>18581</v>
      </c>
      <c r="N939" t="s">
        <v>863</v>
      </c>
    </row>
    <row r="940" spans="1:14" x14ac:dyDescent="0.3">
      <c r="A940" t="s">
        <v>1371</v>
      </c>
      <c r="B940" t="s">
        <v>586</v>
      </c>
      <c r="C940" t="s">
        <v>806</v>
      </c>
      <c r="D940" t="s">
        <v>817</v>
      </c>
      <c r="E940">
        <v>11</v>
      </c>
      <c r="F940" t="s">
        <v>825</v>
      </c>
      <c r="G940" t="s">
        <v>921</v>
      </c>
      <c r="H940">
        <v>2636</v>
      </c>
      <c r="I940" t="s">
        <v>833</v>
      </c>
      <c r="J940" t="s">
        <v>842</v>
      </c>
      <c r="K940" s="2">
        <v>45352</v>
      </c>
      <c r="L940">
        <v>2024</v>
      </c>
      <c r="M940">
        <v>28996</v>
      </c>
      <c r="N940" t="s">
        <v>857</v>
      </c>
    </row>
    <row r="941" spans="1:14" x14ac:dyDescent="0.3">
      <c r="A941" t="s">
        <v>1372</v>
      </c>
      <c r="B941" t="s">
        <v>587</v>
      </c>
      <c r="C941" t="s">
        <v>806</v>
      </c>
      <c r="D941" t="s">
        <v>817</v>
      </c>
      <c r="E941">
        <v>11</v>
      </c>
      <c r="F941" t="s">
        <v>826</v>
      </c>
      <c r="G941" t="s">
        <v>856</v>
      </c>
      <c r="H941">
        <v>2636</v>
      </c>
      <c r="I941" t="s">
        <v>833</v>
      </c>
      <c r="J941" t="s">
        <v>842</v>
      </c>
      <c r="K941" s="2">
        <v>45536</v>
      </c>
      <c r="L941">
        <v>2024</v>
      </c>
      <c r="M941">
        <v>28996</v>
      </c>
      <c r="N941" t="s">
        <v>857</v>
      </c>
    </row>
    <row r="942" spans="1:14" x14ac:dyDescent="0.3">
      <c r="A942" t="s">
        <v>1373</v>
      </c>
      <c r="B942" t="s">
        <v>588</v>
      </c>
      <c r="C942" t="s">
        <v>806</v>
      </c>
      <c r="D942" t="s">
        <v>817</v>
      </c>
      <c r="E942">
        <v>11</v>
      </c>
      <c r="F942" t="s">
        <v>829</v>
      </c>
      <c r="G942" t="s">
        <v>886</v>
      </c>
      <c r="H942">
        <v>2636</v>
      </c>
      <c r="I942" t="s">
        <v>833</v>
      </c>
      <c r="J942" t="s">
        <v>842</v>
      </c>
      <c r="K942" s="2">
        <v>44593</v>
      </c>
      <c r="L942">
        <v>2022</v>
      </c>
      <c r="M942">
        <v>28996</v>
      </c>
      <c r="N942" t="s">
        <v>857</v>
      </c>
    </row>
    <row r="943" spans="1:14" x14ac:dyDescent="0.3">
      <c r="A943" t="s">
        <v>1374</v>
      </c>
      <c r="B943" t="s">
        <v>589</v>
      </c>
      <c r="C943" t="s">
        <v>805</v>
      </c>
      <c r="D943" t="s">
        <v>809</v>
      </c>
      <c r="E943">
        <v>7</v>
      </c>
      <c r="F943" t="s">
        <v>824</v>
      </c>
      <c r="G943" t="s">
        <v>851</v>
      </c>
      <c r="H943">
        <v>7344</v>
      </c>
      <c r="I943" t="s">
        <v>833</v>
      </c>
      <c r="J943" t="s">
        <v>841</v>
      </c>
      <c r="K943" s="2">
        <v>44593</v>
      </c>
      <c r="L943">
        <v>2022</v>
      </c>
      <c r="M943">
        <v>51408</v>
      </c>
      <c r="N943" t="s">
        <v>852</v>
      </c>
    </row>
    <row r="944" spans="1:14" x14ac:dyDescent="0.3">
      <c r="A944" t="s">
        <v>1374</v>
      </c>
      <c r="B944" t="s">
        <v>589</v>
      </c>
      <c r="C944" t="s">
        <v>806</v>
      </c>
      <c r="D944" t="s">
        <v>817</v>
      </c>
      <c r="E944">
        <v>3</v>
      </c>
      <c r="F944" t="s">
        <v>824</v>
      </c>
      <c r="G944" t="s">
        <v>851</v>
      </c>
      <c r="H944">
        <v>7306</v>
      </c>
      <c r="I944" t="s">
        <v>836</v>
      </c>
      <c r="J944" t="s">
        <v>841</v>
      </c>
      <c r="K944" s="2">
        <v>44593</v>
      </c>
      <c r="L944">
        <v>2022</v>
      </c>
      <c r="M944">
        <v>21918</v>
      </c>
      <c r="N944" t="s">
        <v>868</v>
      </c>
    </row>
    <row r="945" spans="1:14" x14ac:dyDescent="0.3">
      <c r="A945" t="s">
        <v>1374</v>
      </c>
      <c r="B945" t="s">
        <v>589</v>
      </c>
      <c r="C945" t="s">
        <v>805</v>
      </c>
      <c r="D945" t="s">
        <v>810</v>
      </c>
      <c r="E945">
        <v>10</v>
      </c>
      <c r="F945" t="s">
        <v>824</v>
      </c>
      <c r="G945" t="s">
        <v>851</v>
      </c>
      <c r="H945">
        <v>5832</v>
      </c>
      <c r="I945" t="s">
        <v>836</v>
      </c>
      <c r="J945" t="s">
        <v>844</v>
      </c>
      <c r="K945" s="2">
        <v>44593</v>
      </c>
      <c r="L945">
        <v>2022</v>
      </c>
      <c r="M945">
        <v>58320</v>
      </c>
      <c r="N945" t="s">
        <v>857</v>
      </c>
    </row>
    <row r="946" spans="1:14" x14ac:dyDescent="0.3">
      <c r="A946" t="s">
        <v>1288</v>
      </c>
      <c r="B946" t="s">
        <v>590</v>
      </c>
      <c r="C946" t="s">
        <v>807</v>
      </c>
      <c r="D946" t="s">
        <v>813</v>
      </c>
      <c r="E946">
        <v>8</v>
      </c>
      <c r="F946" t="s">
        <v>825</v>
      </c>
      <c r="G946" t="s">
        <v>870</v>
      </c>
      <c r="H946">
        <v>8572</v>
      </c>
      <c r="I946" t="s">
        <v>834</v>
      </c>
      <c r="J946" t="s">
        <v>843</v>
      </c>
      <c r="K946" s="2">
        <v>44317</v>
      </c>
      <c r="L946">
        <v>2021</v>
      </c>
      <c r="M946">
        <v>68576</v>
      </c>
      <c r="N946" t="s">
        <v>852</v>
      </c>
    </row>
    <row r="947" spans="1:14" x14ac:dyDescent="0.3">
      <c r="A947" t="s">
        <v>1375</v>
      </c>
      <c r="B947" t="s">
        <v>591</v>
      </c>
      <c r="C947" t="s">
        <v>807</v>
      </c>
      <c r="D947" t="s">
        <v>813</v>
      </c>
      <c r="E947">
        <v>8</v>
      </c>
      <c r="F947" t="s">
        <v>825</v>
      </c>
      <c r="G947" t="s">
        <v>870</v>
      </c>
      <c r="H947">
        <v>8572</v>
      </c>
      <c r="I947" t="s">
        <v>834</v>
      </c>
      <c r="J947" t="s">
        <v>843</v>
      </c>
      <c r="K947" s="2">
        <v>45108</v>
      </c>
      <c r="L947">
        <v>2023</v>
      </c>
      <c r="M947">
        <v>68576</v>
      </c>
      <c r="N947" t="s">
        <v>852</v>
      </c>
    </row>
    <row r="948" spans="1:14" x14ac:dyDescent="0.3">
      <c r="A948" t="s">
        <v>1376</v>
      </c>
      <c r="B948" t="s">
        <v>592</v>
      </c>
      <c r="C948" t="s">
        <v>807</v>
      </c>
      <c r="D948" t="s">
        <v>813</v>
      </c>
      <c r="E948">
        <v>8</v>
      </c>
      <c r="F948" t="s">
        <v>827</v>
      </c>
      <c r="G948" t="s">
        <v>876</v>
      </c>
      <c r="H948">
        <v>8572</v>
      </c>
      <c r="I948" t="s">
        <v>834</v>
      </c>
      <c r="J948" t="s">
        <v>843</v>
      </c>
      <c r="K948" s="2">
        <v>44105</v>
      </c>
      <c r="L948">
        <v>2020</v>
      </c>
      <c r="M948">
        <v>68576</v>
      </c>
      <c r="N948" t="s">
        <v>852</v>
      </c>
    </row>
    <row r="949" spans="1:14" x14ac:dyDescent="0.3">
      <c r="A949" t="s">
        <v>1288</v>
      </c>
      <c r="B949" t="s">
        <v>590</v>
      </c>
      <c r="C949" t="s">
        <v>805</v>
      </c>
      <c r="D949" t="s">
        <v>810</v>
      </c>
      <c r="E949">
        <v>10</v>
      </c>
      <c r="F949" t="s">
        <v>825</v>
      </c>
      <c r="G949" t="s">
        <v>870</v>
      </c>
      <c r="H949">
        <v>8059</v>
      </c>
      <c r="I949" t="s">
        <v>835</v>
      </c>
      <c r="J949" t="s">
        <v>843</v>
      </c>
      <c r="K949" s="2">
        <v>44317</v>
      </c>
      <c r="L949">
        <v>2021</v>
      </c>
      <c r="M949">
        <v>80590</v>
      </c>
      <c r="N949" t="s">
        <v>857</v>
      </c>
    </row>
    <row r="950" spans="1:14" x14ac:dyDescent="0.3">
      <c r="A950" t="s">
        <v>1375</v>
      </c>
      <c r="B950" t="s">
        <v>591</v>
      </c>
      <c r="C950" t="s">
        <v>805</v>
      </c>
      <c r="D950" t="s">
        <v>810</v>
      </c>
      <c r="E950">
        <v>10</v>
      </c>
      <c r="F950" t="s">
        <v>825</v>
      </c>
      <c r="G950" t="s">
        <v>870</v>
      </c>
      <c r="H950">
        <v>8059</v>
      </c>
      <c r="I950" t="s">
        <v>835</v>
      </c>
      <c r="J950" t="s">
        <v>843</v>
      </c>
      <c r="K950" s="2">
        <v>45108</v>
      </c>
      <c r="L950">
        <v>2023</v>
      </c>
      <c r="M950">
        <v>80590</v>
      </c>
      <c r="N950" t="s">
        <v>857</v>
      </c>
    </row>
    <row r="951" spans="1:14" x14ac:dyDescent="0.3">
      <c r="A951" t="s">
        <v>1376</v>
      </c>
      <c r="B951" t="s">
        <v>592</v>
      </c>
      <c r="C951" t="s">
        <v>805</v>
      </c>
      <c r="D951" t="s">
        <v>810</v>
      </c>
      <c r="E951">
        <v>10</v>
      </c>
      <c r="F951" t="s">
        <v>827</v>
      </c>
      <c r="G951" t="s">
        <v>876</v>
      </c>
      <c r="H951">
        <v>8059</v>
      </c>
      <c r="I951" t="s">
        <v>835</v>
      </c>
      <c r="J951" t="s">
        <v>843</v>
      </c>
      <c r="K951" s="2">
        <v>44105</v>
      </c>
      <c r="L951">
        <v>2020</v>
      </c>
      <c r="M951">
        <v>80590</v>
      </c>
      <c r="N951" t="s">
        <v>857</v>
      </c>
    </row>
    <row r="952" spans="1:14" x14ac:dyDescent="0.3">
      <c r="A952" t="s">
        <v>1377</v>
      </c>
      <c r="B952" t="s">
        <v>593</v>
      </c>
      <c r="C952" t="s">
        <v>807</v>
      </c>
      <c r="D952" t="s">
        <v>816</v>
      </c>
      <c r="E952">
        <v>13</v>
      </c>
      <c r="F952" t="s">
        <v>828</v>
      </c>
      <c r="G952" t="s">
        <v>880</v>
      </c>
      <c r="H952">
        <v>3661</v>
      </c>
      <c r="I952" t="s">
        <v>834</v>
      </c>
      <c r="J952" t="s">
        <v>842</v>
      </c>
      <c r="K952" s="2">
        <v>44927</v>
      </c>
      <c r="L952">
        <v>2023</v>
      </c>
      <c r="M952">
        <v>47593</v>
      </c>
      <c r="N952" t="s">
        <v>857</v>
      </c>
    </row>
    <row r="953" spans="1:14" x14ac:dyDescent="0.3">
      <c r="A953" t="s">
        <v>1378</v>
      </c>
      <c r="B953" t="s">
        <v>594</v>
      </c>
      <c r="C953" t="s">
        <v>806</v>
      </c>
      <c r="D953" t="s">
        <v>817</v>
      </c>
      <c r="E953">
        <v>8</v>
      </c>
      <c r="F953" t="s">
        <v>827</v>
      </c>
      <c r="G953" t="s">
        <v>862</v>
      </c>
      <c r="H953">
        <v>2451</v>
      </c>
      <c r="I953" t="s">
        <v>834</v>
      </c>
      <c r="J953" t="s">
        <v>842</v>
      </c>
      <c r="K953" s="2">
        <v>44440</v>
      </c>
      <c r="L953">
        <v>2021</v>
      </c>
      <c r="M953">
        <v>19608</v>
      </c>
      <c r="N953" t="s">
        <v>852</v>
      </c>
    </row>
    <row r="954" spans="1:14" x14ac:dyDescent="0.3">
      <c r="A954" t="s">
        <v>922</v>
      </c>
      <c r="B954" t="s">
        <v>595</v>
      </c>
      <c r="C954" t="s">
        <v>806</v>
      </c>
      <c r="D954" t="s">
        <v>817</v>
      </c>
      <c r="E954">
        <v>8</v>
      </c>
      <c r="F954" t="s">
        <v>829</v>
      </c>
      <c r="G954" t="s">
        <v>890</v>
      </c>
      <c r="H954">
        <v>2451</v>
      </c>
      <c r="I954" t="s">
        <v>834</v>
      </c>
      <c r="J954" t="s">
        <v>842</v>
      </c>
      <c r="K954" s="2">
        <v>44501</v>
      </c>
      <c r="L954">
        <v>2021</v>
      </c>
      <c r="M954">
        <v>19608</v>
      </c>
      <c r="N954" t="s">
        <v>852</v>
      </c>
    </row>
    <row r="955" spans="1:14" x14ac:dyDescent="0.3">
      <c r="A955" t="s">
        <v>1379</v>
      </c>
      <c r="B955" t="s">
        <v>596</v>
      </c>
      <c r="C955" t="s">
        <v>806</v>
      </c>
      <c r="D955" t="s">
        <v>817</v>
      </c>
      <c r="E955">
        <v>8</v>
      </c>
      <c r="F955" t="s">
        <v>828</v>
      </c>
      <c r="G955" t="s">
        <v>904</v>
      </c>
      <c r="H955">
        <v>2451</v>
      </c>
      <c r="I955" t="s">
        <v>834</v>
      </c>
      <c r="J955" t="s">
        <v>842</v>
      </c>
      <c r="K955" s="2">
        <v>45474</v>
      </c>
      <c r="L955">
        <v>2024</v>
      </c>
      <c r="M955">
        <v>19608</v>
      </c>
      <c r="N955" t="s">
        <v>852</v>
      </c>
    </row>
    <row r="956" spans="1:14" x14ac:dyDescent="0.3">
      <c r="A956" t="s">
        <v>1380</v>
      </c>
      <c r="B956" t="s">
        <v>597</v>
      </c>
      <c r="C956" t="s">
        <v>807</v>
      </c>
      <c r="D956" t="s">
        <v>813</v>
      </c>
      <c r="E956">
        <v>16</v>
      </c>
      <c r="F956" t="s">
        <v>827</v>
      </c>
      <c r="G956" t="s">
        <v>883</v>
      </c>
      <c r="H956">
        <v>7067</v>
      </c>
      <c r="I956" t="s">
        <v>835</v>
      </c>
      <c r="J956" t="s">
        <v>841</v>
      </c>
      <c r="K956" s="2">
        <v>44621</v>
      </c>
      <c r="L956">
        <v>2022</v>
      </c>
      <c r="M956">
        <v>113072</v>
      </c>
      <c r="N956" t="s">
        <v>863</v>
      </c>
    </row>
    <row r="957" spans="1:14" x14ac:dyDescent="0.3">
      <c r="A957" t="s">
        <v>1381</v>
      </c>
      <c r="B957" t="s">
        <v>598</v>
      </c>
      <c r="C957" t="s">
        <v>805</v>
      </c>
      <c r="D957" t="s">
        <v>809</v>
      </c>
      <c r="E957">
        <v>3</v>
      </c>
      <c r="F957" t="s">
        <v>826</v>
      </c>
      <c r="G957" t="s">
        <v>865</v>
      </c>
      <c r="H957">
        <v>4307</v>
      </c>
      <c r="I957" t="s">
        <v>832</v>
      </c>
      <c r="J957" t="s">
        <v>844</v>
      </c>
      <c r="K957" s="2">
        <v>45352</v>
      </c>
      <c r="L957">
        <v>2024</v>
      </c>
      <c r="M957">
        <v>12921</v>
      </c>
      <c r="N957" t="s">
        <v>868</v>
      </c>
    </row>
    <row r="958" spans="1:14" x14ac:dyDescent="0.3">
      <c r="A958" t="s">
        <v>1320</v>
      </c>
      <c r="B958" t="s">
        <v>599</v>
      </c>
      <c r="C958" t="s">
        <v>805</v>
      </c>
      <c r="D958" t="s">
        <v>809</v>
      </c>
      <c r="E958">
        <v>3</v>
      </c>
      <c r="F958" t="s">
        <v>825</v>
      </c>
      <c r="G958" t="s">
        <v>870</v>
      </c>
      <c r="H958">
        <v>4307</v>
      </c>
      <c r="I958" t="s">
        <v>832</v>
      </c>
      <c r="J958" t="s">
        <v>844</v>
      </c>
      <c r="K958" s="2">
        <v>44136</v>
      </c>
      <c r="L958">
        <v>2020</v>
      </c>
      <c r="M958">
        <v>12921</v>
      </c>
      <c r="N958" t="s">
        <v>868</v>
      </c>
    </row>
    <row r="959" spans="1:14" x14ac:dyDescent="0.3">
      <c r="A959" t="s">
        <v>1381</v>
      </c>
      <c r="B959" t="s">
        <v>598</v>
      </c>
      <c r="C959" t="s">
        <v>807</v>
      </c>
      <c r="D959" t="s">
        <v>814</v>
      </c>
      <c r="E959">
        <v>5</v>
      </c>
      <c r="F959" t="s">
        <v>826</v>
      </c>
      <c r="G959" t="s">
        <v>865</v>
      </c>
      <c r="H959">
        <v>5694</v>
      </c>
      <c r="I959" t="s">
        <v>834</v>
      </c>
      <c r="J959" t="s">
        <v>844</v>
      </c>
      <c r="K959" s="2">
        <v>45352</v>
      </c>
      <c r="L959">
        <v>2024</v>
      </c>
      <c r="M959">
        <v>28470</v>
      </c>
      <c r="N959" t="s">
        <v>852</v>
      </c>
    </row>
    <row r="960" spans="1:14" x14ac:dyDescent="0.3">
      <c r="A960" t="s">
        <v>1320</v>
      </c>
      <c r="B960" t="s">
        <v>599</v>
      </c>
      <c r="C960" t="s">
        <v>807</v>
      </c>
      <c r="D960" t="s">
        <v>814</v>
      </c>
      <c r="E960">
        <v>5</v>
      </c>
      <c r="F960" t="s">
        <v>825</v>
      </c>
      <c r="G960" t="s">
        <v>870</v>
      </c>
      <c r="H960">
        <v>5694</v>
      </c>
      <c r="I960" t="s">
        <v>834</v>
      </c>
      <c r="J960" t="s">
        <v>844</v>
      </c>
      <c r="K960" s="2">
        <v>44136</v>
      </c>
      <c r="L960">
        <v>2020</v>
      </c>
      <c r="M960">
        <v>28470</v>
      </c>
      <c r="N960" t="s">
        <v>852</v>
      </c>
    </row>
    <row r="961" spans="1:14" x14ac:dyDescent="0.3">
      <c r="A961" t="s">
        <v>1382</v>
      </c>
      <c r="B961" t="s">
        <v>600</v>
      </c>
      <c r="C961" t="s">
        <v>806</v>
      </c>
      <c r="D961" t="s">
        <v>818</v>
      </c>
      <c r="E961">
        <v>18</v>
      </c>
      <c r="F961" t="s">
        <v>825</v>
      </c>
      <c r="G961" t="s">
        <v>870</v>
      </c>
      <c r="H961">
        <v>962</v>
      </c>
      <c r="I961" t="s">
        <v>835</v>
      </c>
      <c r="J961" t="s">
        <v>840</v>
      </c>
      <c r="K961" s="2">
        <v>44743</v>
      </c>
      <c r="L961">
        <v>2022</v>
      </c>
      <c r="M961">
        <v>17316</v>
      </c>
      <c r="N961" t="s">
        <v>863</v>
      </c>
    </row>
    <row r="962" spans="1:14" x14ac:dyDescent="0.3">
      <c r="A962" t="s">
        <v>1383</v>
      </c>
      <c r="B962" t="s">
        <v>601</v>
      </c>
      <c r="C962" t="s">
        <v>807</v>
      </c>
      <c r="D962" t="s">
        <v>820</v>
      </c>
      <c r="E962">
        <v>14</v>
      </c>
      <c r="F962" t="s">
        <v>826</v>
      </c>
      <c r="G962" t="s">
        <v>856</v>
      </c>
      <c r="H962">
        <v>2995</v>
      </c>
      <c r="I962" t="s">
        <v>835</v>
      </c>
      <c r="J962" t="s">
        <v>842</v>
      </c>
      <c r="K962" s="2">
        <v>45536</v>
      </c>
      <c r="L962">
        <v>2024</v>
      </c>
      <c r="M962">
        <v>41930</v>
      </c>
      <c r="N962" t="s">
        <v>857</v>
      </c>
    </row>
    <row r="963" spans="1:14" x14ac:dyDescent="0.3">
      <c r="A963" t="s">
        <v>1383</v>
      </c>
      <c r="B963" t="s">
        <v>601</v>
      </c>
      <c r="C963" t="s">
        <v>806</v>
      </c>
      <c r="D963" t="s">
        <v>815</v>
      </c>
      <c r="E963">
        <v>5</v>
      </c>
      <c r="F963" t="s">
        <v>826</v>
      </c>
      <c r="G963" t="s">
        <v>856</v>
      </c>
      <c r="H963">
        <v>2047</v>
      </c>
      <c r="I963" t="s">
        <v>833</v>
      </c>
      <c r="J963" t="s">
        <v>842</v>
      </c>
      <c r="K963" s="2">
        <v>45536</v>
      </c>
      <c r="L963">
        <v>2024</v>
      </c>
      <c r="M963">
        <v>10235</v>
      </c>
      <c r="N963" t="s">
        <v>852</v>
      </c>
    </row>
    <row r="964" spans="1:14" x14ac:dyDescent="0.3">
      <c r="A964" t="s">
        <v>1384</v>
      </c>
      <c r="B964" t="s">
        <v>602</v>
      </c>
      <c r="C964" t="s">
        <v>805</v>
      </c>
      <c r="D964" t="s">
        <v>812</v>
      </c>
      <c r="E964">
        <v>6</v>
      </c>
      <c r="F964" t="s">
        <v>828</v>
      </c>
      <c r="G964" t="s">
        <v>880</v>
      </c>
      <c r="H964">
        <v>2078</v>
      </c>
      <c r="I964" t="s">
        <v>836</v>
      </c>
      <c r="J964" t="s">
        <v>842</v>
      </c>
      <c r="K964" s="2">
        <v>44562</v>
      </c>
      <c r="L964">
        <v>2022</v>
      </c>
      <c r="M964">
        <v>12468</v>
      </c>
      <c r="N964" t="s">
        <v>852</v>
      </c>
    </row>
    <row r="965" spans="1:14" x14ac:dyDescent="0.3">
      <c r="A965" t="s">
        <v>1385</v>
      </c>
      <c r="B965" t="s">
        <v>603</v>
      </c>
      <c r="C965" t="s">
        <v>805</v>
      </c>
      <c r="D965" t="s">
        <v>810</v>
      </c>
      <c r="E965">
        <v>3</v>
      </c>
      <c r="F965" t="s">
        <v>826</v>
      </c>
      <c r="G965" t="s">
        <v>865</v>
      </c>
      <c r="H965">
        <v>2737</v>
      </c>
      <c r="I965" t="s">
        <v>834</v>
      </c>
      <c r="J965" t="s">
        <v>842</v>
      </c>
      <c r="K965" s="2">
        <v>44287</v>
      </c>
      <c r="L965">
        <v>2021</v>
      </c>
      <c r="M965">
        <v>8211</v>
      </c>
      <c r="N965" t="s">
        <v>868</v>
      </c>
    </row>
    <row r="966" spans="1:14" x14ac:dyDescent="0.3">
      <c r="A966" t="s">
        <v>1068</v>
      </c>
      <c r="B966" t="s">
        <v>604</v>
      </c>
      <c r="C966" t="s">
        <v>806</v>
      </c>
      <c r="D966" t="s">
        <v>817</v>
      </c>
      <c r="E966">
        <v>6</v>
      </c>
      <c r="F966" t="s">
        <v>828</v>
      </c>
      <c r="G966" t="s">
        <v>904</v>
      </c>
      <c r="H966">
        <v>8194</v>
      </c>
      <c r="I966" t="s">
        <v>833</v>
      </c>
      <c r="J966" t="s">
        <v>843</v>
      </c>
      <c r="K966" s="2">
        <v>44378</v>
      </c>
      <c r="L966">
        <v>2021</v>
      </c>
      <c r="M966">
        <v>49164</v>
      </c>
      <c r="N966" t="s">
        <v>852</v>
      </c>
    </row>
    <row r="967" spans="1:14" x14ac:dyDescent="0.3">
      <c r="A967" t="s">
        <v>1386</v>
      </c>
      <c r="B967" t="s">
        <v>605</v>
      </c>
      <c r="C967" t="s">
        <v>807</v>
      </c>
      <c r="D967" t="s">
        <v>816</v>
      </c>
      <c r="E967">
        <v>16</v>
      </c>
      <c r="F967" t="s">
        <v>826</v>
      </c>
      <c r="G967" t="s">
        <v>856</v>
      </c>
      <c r="H967">
        <v>9914</v>
      </c>
      <c r="I967" t="s">
        <v>835</v>
      </c>
      <c r="J967" t="s">
        <v>843</v>
      </c>
      <c r="K967" s="2">
        <v>44713</v>
      </c>
      <c r="L967">
        <v>2022</v>
      </c>
      <c r="M967">
        <v>158624</v>
      </c>
      <c r="N967" t="s">
        <v>863</v>
      </c>
    </row>
    <row r="968" spans="1:14" x14ac:dyDescent="0.3">
      <c r="A968" t="s">
        <v>1387</v>
      </c>
      <c r="B968" t="s">
        <v>606</v>
      </c>
      <c r="C968" t="s">
        <v>807</v>
      </c>
      <c r="D968" t="s">
        <v>816</v>
      </c>
      <c r="E968">
        <v>16</v>
      </c>
      <c r="F968" t="s">
        <v>826</v>
      </c>
      <c r="G968" t="s">
        <v>872</v>
      </c>
      <c r="H968">
        <v>9914</v>
      </c>
      <c r="I968" t="s">
        <v>835</v>
      </c>
      <c r="J968" t="s">
        <v>843</v>
      </c>
      <c r="K968" s="2">
        <v>45444</v>
      </c>
      <c r="L968">
        <v>2024</v>
      </c>
      <c r="M968">
        <v>158624</v>
      </c>
      <c r="N968" t="s">
        <v>863</v>
      </c>
    </row>
    <row r="969" spans="1:14" x14ac:dyDescent="0.3">
      <c r="A969" t="s">
        <v>1386</v>
      </c>
      <c r="B969" t="s">
        <v>605</v>
      </c>
      <c r="C969" t="s">
        <v>806</v>
      </c>
      <c r="D969" t="s">
        <v>811</v>
      </c>
      <c r="E969">
        <v>7</v>
      </c>
      <c r="F969" t="s">
        <v>826</v>
      </c>
      <c r="G969" t="s">
        <v>856</v>
      </c>
      <c r="H969">
        <v>5470</v>
      </c>
      <c r="I969" t="s">
        <v>833</v>
      </c>
      <c r="J969" t="s">
        <v>844</v>
      </c>
      <c r="K969" s="2">
        <v>44713</v>
      </c>
      <c r="L969">
        <v>2022</v>
      </c>
      <c r="M969">
        <v>38290</v>
      </c>
      <c r="N969" t="s">
        <v>852</v>
      </c>
    </row>
    <row r="970" spans="1:14" x14ac:dyDescent="0.3">
      <c r="A970" t="s">
        <v>1387</v>
      </c>
      <c r="B970" t="s">
        <v>606</v>
      </c>
      <c r="C970" t="s">
        <v>806</v>
      </c>
      <c r="D970" t="s">
        <v>811</v>
      </c>
      <c r="E970">
        <v>7</v>
      </c>
      <c r="F970" t="s">
        <v>826</v>
      </c>
      <c r="G970" t="s">
        <v>872</v>
      </c>
      <c r="H970">
        <v>5470</v>
      </c>
      <c r="I970" t="s">
        <v>833</v>
      </c>
      <c r="J970" t="s">
        <v>844</v>
      </c>
      <c r="K970" s="2">
        <v>45444</v>
      </c>
      <c r="L970">
        <v>2024</v>
      </c>
      <c r="M970">
        <v>38290</v>
      </c>
      <c r="N970" t="s">
        <v>852</v>
      </c>
    </row>
    <row r="971" spans="1:14" x14ac:dyDescent="0.3">
      <c r="A971" t="s">
        <v>1386</v>
      </c>
      <c r="B971" t="s">
        <v>605</v>
      </c>
      <c r="C971" t="s">
        <v>807</v>
      </c>
      <c r="D971" t="s">
        <v>820</v>
      </c>
      <c r="E971">
        <v>17</v>
      </c>
      <c r="F971" t="s">
        <v>826</v>
      </c>
      <c r="G971" t="s">
        <v>856</v>
      </c>
      <c r="H971">
        <v>1496</v>
      </c>
      <c r="I971" t="s">
        <v>832</v>
      </c>
      <c r="J971" t="s">
        <v>840</v>
      </c>
      <c r="K971" s="2">
        <v>44713</v>
      </c>
      <c r="L971">
        <v>2022</v>
      </c>
      <c r="M971">
        <v>25432</v>
      </c>
      <c r="N971" t="s">
        <v>863</v>
      </c>
    </row>
    <row r="972" spans="1:14" x14ac:dyDescent="0.3">
      <c r="A972" t="s">
        <v>1387</v>
      </c>
      <c r="B972" t="s">
        <v>606</v>
      </c>
      <c r="C972" t="s">
        <v>807</v>
      </c>
      <c r="D972" t="s">
        <v>820</v>
      </c>
      <c r="E972">
        <v>17</v>
      </c>
      <c r="F972" t="s">
        <v>826</v>
      </c>
      <c r="G972" t="s">
        <v>872</v>
      </c>
      <c r="H972">
        <v>1496</v>
      </c>
      <c r="I972" t="s">
        <v>832</v>
      </c>
      <c r="J972" t="s">
        <v>840</v>
      </c>
      <c r="K972" s="2">
        <v>45444</v>
      </c>
      <c r="L972">
        <v>2024</v>
      </c>
      <c r="M972">
        <v>25432</v>
      </c>
      <c r="N972" t="s">
        <v>863</v>
      </c>
    </row>
    <row r="973" spans="1:14" x14ac:dyDescent="0.3">
      <c r="A973" t="s">
        <v>1388</v>
      </c>
      <c r="B973" t="s">
        <v>607</v>
      </c>
      <c r="C973" t="s">
        <v>806</v>
      </c>
      <c r="D973" t="s">
        <v>817</v>
      </c>
      <c r="E973">
        <v>9</v>
      </c>
      <c r="F973" t="s">
        <v>826</v>
      </c>
      <c r="G973" t="s">
        <v>865</v>
      </c>
      <c r="H973">
        <v>3228</v>
      </c>
      <c r="I973" t="s">
        <v>836</v>
      </c>
      <c r="J973" t="s">
        <v>842</v>
      </c>
      <c r="K973" s="2">
        <v>44805</v>
      </c>
      <c r="L973">
        <v>2022</v>
      </c>
      <c r="M973">
        <v>29052</v>
      </c>
      <c r="N973" t="s">
        <v>852</v>
      </c>
    </row>
    <row r="974" spans="1:14" x14ac:dyDescent="0.3">
      <c r="A974" t="s">
        <v>1389</v>
      </c>
      <c r="B974" t="s">
        <v>608</v>
      </c>
      <c r="C974" t="s">
        <v>805</v>
      </c>
      <c r="D974" t="s">
        <v>812</v>
      </c>
      <c r="E974">
        <v>8</v>
      </c>
      <c r="F974" t="s">
        <v>827</v>
      </c>
      <c r="G974" t="s">
        <v>876</v>
      </c>
      <c r="H974">
        <v>3918</v>
      </c>
      <c r="I974" t="s">
        <v>835</v>
      </c>
      <c r="J974" t="s">
        <v>842</v>
      </c>
      <c r="K974" s="2">
        <v>45047</v>
      </c>
      <c r="L974">
        <v>2023</v>
      </c>
      <c r="M974">
        <v>31344</v>
      </c>
      <c r="N974" t="s">
        <v>852</v>
      </c>
    </row>
    <row r="975" spans="1:14" x14ac:dyDescent="0.3">
      <c r="A975" t="s">
        <v>1094</v>
      </c>
      <c r="B975" t="s">
        <v>609</v>
      </c>
      <c r="C975" t="s">
        <v>805</v>
      </c>
      <c r="D975" t="s">
        <v>812</v>
      </c>
      <c r="E975">
        <v>8</v>
      </c>
      <c r="F975" t="s">
        <v>828</v>
      </c>
      <c r="G975" t="s">
        <v>904</v>
      </c>
      <c r="H975">
        <v>3918</v>
      </c>
      <c r="I975" t="s">
        <v>835</v>
      </c>
      <c r="J975" t="s">
        <v>842</v>
      </c>
      <c r="K975" s="2">
        <v>43952</v>
      </c>
      <c r="L975">
        <v>2020</v>
      </c>
      <c r="M975">
        <v>31344</v>
      </c>
      <c r="N975" t="s">
        <v>852</v>
      </c>
    </row>
    <row r="976" spans="1:14" x14ac:dyDescent="0.3">
      <c r="A976" t="s">
        <v>1390</v>
      </c>
      <c r="B976" t="s">
        <v>610</v>
      </c>
      <c r="C976" t="s">
        <v>807</v>
      </c>
      <c r="D976" t="s">
        <v>816</v>
      </c>
      <c r="E976">
        <v>15</v>
      </c>
      <c r="F976" t="s">
        <v>825</v>
      </c>
      <c r="G976" t="s">
        <v>854</v>
      </c>
      <c r="H976">
        <v>9921</v>
      </c>
      <c r="I976" t="s">
        <v>834</v>
      </c>
      <c r="J976" t="s">
        <v>843</v>
      </c>
      <c r="K976" s="2">
        <v>44287</v>
      </c>
      <c r="L976">
        <v>2021</v>
      </c>
      <c r="M976">
        <v>148815</v>
      </c>
      <c r="N976" t="s">
        <v>863</v>
      </c>
    </row>
    <row r="977" spans="1:14" x14ac:dyDescent="0.3">
      <c r="A977" t="s">
        <v>1391</v>
      </c>
      <c r="B977" t="s">
        <v>611</v>
      </c>
      <c r="C977" t="s">
        <v>807</v>
      </c>
      <c r="D977" t="s">
        <v>814</v>
      </c>
      <c r="E977">
        <v>1</v>
      </c>
      <c r="F977" t="s">
        <v>825</v>
      </c>
      <c r="G977" t="s">
        <v>870</v>
      </c>
      <c r="H977">
        <v>9694</v>
      </c>
      <c r="I977" t="s">
        <v>834</v>
      </c>
      <c r="J977" t="s">
        <v>843</v>
      </c>
      <c r="K977" s="2">
        <v>45231</v>
      </c>
      <c r="L977">
        <v>2023</v>
      </c>
      <c r="M977">
        <v>9694</v>
      </c>
      <c r="N977" t="s">
        <v>868</v>
      </c>
    </row>
    <row r="978" spans="1:14" x14ac:dyDescent="0.3">
      <c r="A978" t="s">
        <v>867</v>
      </c>
      <c r="B978" t="s">
        <v>612</v>
      </c>
      <c r="C978" t="s">
        <v>806</v>
      </c>
      <c r="D978" t="s">
        <v>817</v>
      </c>
      <c r="E978">
        <v>13</v>
      </c>
      <c r="F978" t="s">
        <v>824</v>
      </c>
      <c r="G978" t="s">
        <v>910</v>
      </c>
      <c r="H978">
        <v>5028</v>
      </c>
      <c r="I978" t="s">
        <v>834</v>
      </c>
      <c r="J978" t="s">
        <v>844</v>
      </c>
      <c r="K978" s="2">
        <v>43952</v>
      </c>
      <c r="L978">
        <v>2020</v>
      </c>
      <c r="M978">
        <v>65364</v>
      </c>
      <c r="N978" t="s">
        <v>857</v>
      </c>
    </row>
    <row r="979" spans="1:14" x14ac:dyDescent="0.3">
      <c r="A979" t="s">
        <v>1392</v>
      </c>
      <c r="B979" t="s">
        <v>613</v>
      </c>
      <c r="C979" t="s">
        <v>806</v>
      </c>
      <c r="D979" t="s">
        <v>817</v>
      </c>
      <c r="E979">
        <v>19</v>
      </c>
      <c r="F979" t="s">
        <v>826</v>
      </c>
      <c r="G979" t="s">
        <v>856</v>
      </c>
      <c r="H979">
        <v>594</v>
      </c>
      <c r="I979" t="s">
        <v>833</v>
      </c>
      <c r="J979" t="s">
        <v>840</v>
      </c>
      <c r="K979" s="2">
        <v>45170</v>
      </c>
      <c r="L979">
        <v>2023</v>
      </c>
      <c r="M979">
        <v>11286</v>
      </c>
      <c r="N979" t="s">
        <v>863</v>
      </c>
    </row>
    <row r="980" spans="1:14" x14ac:dyDescent="0.3">
      <c r="A980" t="s">
        <v>1393</v>
      </c>
      <c r="B980" t="s">
        <v>614</v>
      </c>
      <c r="C980" t="s">
        <v>806</v>
      </c>
      <c r="D980" t="s">
        <v>817</v>
      </c>
      <c r="E980">
        <v>19</v>
      </c>
      <c r="F980" t="s">
        <v>824</v>
      </c>
      <c r="G980" t="s">
        <v>851</v>
      </c>
      <c r="H980">
        <v>594</v>
      </c>
      <c r="I980" t="s">
        <v>833</v>
      </c>
      <c r="J980" t="s">
        <v>840</v>
      </c>
      <c r="K980" s="2">
        <v>45292</v>
      </c>
      <c r="L980">
        <v>2024</v>
      </c>
      <c r="M980">
        <v>11286</v>
      </c>
      <c r="N980" t="s">
        <v>863</v>
      </c>
    </row>
    <row r="981" spans="1:14" x14ac:dyDescent="0.3">
      <c r="A981" t="s">
        <v>1394</v>
      </c>
      <c r="B981" t="s">
        <v>615</v>
      </c>
      <c r="C981" t="s">
        <v>806</v>
      </c>
      <c r="D981" t="s">
        <v>817</v>
      </c>
      <c r="E981">
        <v>19</v>
      </c>
      <c r="F981" t="s">
        <v>828</v>
      </c>
      <c r="G981" t="s">
        <v>880</v>
      </c>
      <c r="H981">
        <v>594</v>
      </c>
      <c r="I981" t="s">
        <v>833</v>
      </c>
      <c r="J981" t="s">
        <v>840</v>
      </c>
      <c r="K981" s="2">
        <v>45413</v>
      </c>
      <c r="L981">
        <v>2024</v>
      </c>
      <c r="M981">
        <v>11286</v>
      </c>
      <c r="N981" t="s">
        <v>863</v>
      </c>
    </row>
    <row r="982" spans="1:14" x14ac:dyDescent="0.3">
      <c r="A982" t="s">
        <v>1116</v>
      </c>
      <c r="B982" t="s">
        <v>616</v>
      </c>
      <c r="C982" t="s">
        <v>807</v>
      </c>
      <c r="D982" t="s">
        <v>813</v>
      </c>
      <c r="E982">
        <v>11</v>
      </c>
      <c r="F982" t="s">
        <v>829</v>
      </c>
      <c r="G982" t="s">
        <v>890</v>
      </c>
      <c r="H982">
        <v>5954</v>
      </c>
      <c r="I982" t="s">
        <v>836</v>
      </c>
      <c r="J982" t="s">
        <v>844</v>
      </c>
      <c r="K982" s="2">
        <v>45352</v>
      </c>
      <c r="L982">
        <v>2024</v>
      </c>
      <c r="M982">
        <v>65494</v>
      </c>
      <c r="N982" t="s">
        <v>857</v>
      </c>
    </row>
    <row r="983" spans="1:14" x14ac:dyDescent="0.3">
      <c r="A983" t="s">
        <v>1395</v>
      </c>
      <c r="B983" t="s">
        <v>617</v>
      </c>
      <c r="C983" t="s">
        <v>807</v>
      </c>
      <c r="D983" t="s">
        <v>820</v>
      </c>
      <c r="E983">
        <v>3</v>
      </c>
      <c r="F983" t="s">
        <v>827</v>
      </c>
      <c r="G983" t="s">
        <v>883</v>
      </c>
      <c r="H983">
        <v>3518</v>
      </c>
      <c r="I983" t="s">
        <v>832</v>
      </c>
      <c r="J983" t="s">
        <v>842</v>
      </c>
      <c r="K983" s="2">
        <v>44075</v>
      </c>
      <c r="L983">
        <v>2020</v>
      </c>
      <c r="M983">
        <v>10554</v>
      </c>
      <c r="N983" t="s">
        <v>868</v>
      </c>
    </row>
    <row r="984" spans="1:14" x14ac:dyDescent="0.3">
      <c r="A984" t="s">
        <v>1395</v>
      </c>
      <c r="B984" t="s">
        <v>617</v>
      </c>
      <c r="C984" t="s">
        <v>805</v>
      </c>
      <c r="D984" t="s">
        <v>812</v>
      </c>
      <c r="E984">
        <v>8</v>
      </c>
      <c r="F984" t="s">
        <v>827</v>
      </c>
      <c r="G984" t="s">
        <v>883</v>
      </c>
      <c r="H984">
        <v>4157</v>
      </c>
      <c r="I984" t="s">
        <v>834</v>
      </c>
      <c r="J984" t="s">
        <v>844</v>
      </c>
      <c r="K984" s="2">
        <v>44075</v>
      </c>
      <c r="L984">
        <v>2020</v>
      </c>
      <c r="M984">
        <v>33256</v>
      </c>
      <c r="N984" t="s">
        <v>852</v>
      </c>
    </row>
    <row r="985" spans="1:14" x14ac:dyDescent="0.3">
      <c r="A985" t="s">
        <v>1396</v>
      </c>
      <c r="B985" t="s">
        <v>618</v>
      </c>
      <c r="C985" t="s">
        <v>806</v>
      </c>
      <c r="D985" t="s">
        <v>815</v>
      </c>
      <c r="E985">
        <v>5</v>
      </c>
      <c r="F985" t="s">
        <v>825</v>
      </c>
      <c r="G985" t="s">
        <v>870</v>
      </c>
      <c r="H985">
        <v>3747</v>
      </c>
      <c r="I985" t="s">
        <v>835</v>
      </c>
      <c r="J985" t="s">
        <v>842</v>
      </c>
      <c r="K985" s="2">
        <v>44013</v>
      </c>
      <c r="L985">
        <v>2020</v>
      </c>
      <c r="M985">
        <v>18735</v>
      </c>
      <c r="N985" t="s">
        <v>852</v>
      </c>
    </row>
    <row r="986" spans="1:14" x14ac:dyDescent="0.3">
      <c r="A986" t="s">
        <v>1046</v>
      </c>
      <c r="B986" t="s">
        <v>619</v>
      </c>
      <c r="C986" t="s">
        <v>806</v>
      </c>
      <c r="D986" t="s">
        <v>815</v>
      </c>
      <c r="E986">
        <v>5</v>
      </c>
      <c r="F986" t="s">
        <v>826</v>
      </c>
      <c r="G986" t="s">
        <v>856</v>
      </c>
      <c r="H986">
        <v>3747</v>
      </c>
      <c r="I986" t="s">
        <v>835</v>
      </c>
      <c r="J986" t="s">
        <v>842</v>
      </c>
      <c r="K986" s="2">
        <v>44896</v>
      </c>
      <c r="L986">
        <v>2022</v>
      </c>
      <c r="M986">
        <v>18735</v>
      </c>
      <c r="N986" t="s">
        <v>852</v>
      </c>
    </row>
    <row r="987" spans="1:14" x14ac:dyDescent="0.3">
      <c r="A987" t="s">
        <v>1371</v>
      </c>
      <c r="B987" t="s">
        <v>620</v>
      </c>
      <c r="C987" t="s">
        <v>806</v>
      </c>
      <c r="D987" t="s">
        <v>815</v>
      </c>
      <c r="E987">
        <v>5</v>
      </c>
      <c r="F987" t="s">
        <v>829</v>
      </c>
      <c r="G987" t="s">
        <v>886</v>
      </c>
      <c r="H987">
        <v>3747</v>
      </c>
      <c r="I987" t="s">
        <v>835</v>
      </c>
      <c r="J987" t="s">
        <v>842</v>
      </c>
      <c r="K987" s="2">
        <v>45352</v>
      </c>
      <c r="L987">
        <v>2024</v>
      </c>
      <c r="M987">
        <v>18735</v>
      </c>
      <c r="N987" t="s">
        <v>852</v>
      </c>
    </row>
    <row r="988" spans="1:14" x14ac:dyDescent="0.3">
      <c r="A988" t="s">
        <v>1397</v>
      </c>
      <c r="B988" t="s">
        <v>621</v>
      </c>
      <c r="C988" t="s">
        <v>806</v>
      </c>
      <c r="D988" t="s">
        <v>815</v>
      </c>
      <c r="E988">
        <v>5</v>
      </c>
      <c r="F988" t="s">
        <v>825</v>
      </c>
      <c r="G988" t="s">
        <v>854</v>
      </c>
      <c r="H988">
        <v>3747</v>
      </c>
      <c r="I988" t="s">
        <v>835</v>
      </c>
      <c r="J988" t="s">
        <v>842</v>
      </c>
      <c r="K988" s="2">
        <v>44958</v>
      </c>
      <c r="L988">
        <v>2023</v>
      </c>
      <c r="M988">
        <v>18735</v>
      </c>
      <c r="N988" t="s">
        <v>852</v>
      </c>
    </row>
    <row r="989" spans="1:14" x14ac:dyDescent="0.3">
      <c r="A989" t="s">
        <v>1398</v>
      </c>
      <c r="B989" t="s">
        <v>622</v>
      </c>
      <c r="C989" t="s">
        <v>806</v>
      </c>
      <c r="D989" t="s">
        <v>815</v>
      </c>
      <c r="E989">
        <v>5</v>
      </c>
      <c r="F989" t="s">
        <v>827</v>
      </c>
      <c r="G989" t="s">
        <v>862</v>
      </c>
      <c r="H989">
        <v>3747</v>
      </c>
      <c r="I989" t="s">
        <v>835</v>
      </c>
      <c r="J989" t="s">
        <v>842</v>
      </c>
      <c r="K989" s="2">
        <v>44378</v>
      </c>
      <c r="L989">
        <v>2021</v>
      </c>
      <c r="M989">
        <v>18735</v>
      </c>
      <c r="N989" t="s">
        <v>852</v>
      </c>
    </row>
    <row r="990" spans="1:14" x14ac:dyDescent="0.3">
      <c r="A990" t="s">
        <v>1396</v>
      </c>
      <c r="B990" t="s">
        <v>618</v>
      </c>
      <c r="C990" t="s">
        <v>806</v>
      </c>
      <c r="D990" t="s">
        <v>818</v>
      </c>
      <c r="E990">
        <v>4</v>
      </c>
      <c r="F990" t="s">
        <v>825</v>
      </c>
      <c r="G990" t="s">
        <v>870</v>
      </c>
      <c r="H990">
        <v>3194</v>
      </c>
      <c r="I990" t="s">
        <v>832</v>
      </c>
      <c r="J990" t="s">
        <v>842</v>
      </c>
      <c r="K990" s="2">
        <v>44013</v>
      </c>
      <c r="L990">
        <v>2020</v>
      </c>
      <c r="M990">
        <v>12776</v>
      </c>
      <c r="N990" t="s">
        <v>868</v>
      </c>
    </row>
    <row r="991" spans="1:14" x14ac:dyDescent="0.3">
      <c r="A991" t="s">
        <v>1046</v>
      </c>
      <c r="B991" t="s">
        <v>619</v>
      </c>
      <c r="C991" t="s">
        <v>806</v>
      </c>
      <c r="D991" t="s">
        <v>818</v>
      </c>
      <c r="E991">
        <v>4</v>
      </c>
      <c r="F991" t="s">
        <v>826</v>
      </c>
      <c r="G991" t="s">
        <v>856</v>
      </c>
      <c r="H991">
        <v>3194</v>
      </c>
      <c r="I991" t="s">
        <v>832</v>
      </c>
      <c r="J991" t="s">
        <v>842</v>
      </c>
      <c r="K991" s="2">
        <v>44896</v>
      </c>
      <c r="L991">
        <v>2022</v>
      </c>
      <c r="M991">
        <v>12776</v>
      </c>
      <c r="N991" t="s">
        <v>868</v>
      </c>
    </row>
    <row r="992" spans="1:14" x14ac:dyDescent="0.3">
      <c r="A992" t="s">
        <v>1371</v>
      </c>
      <c r="B992" t="s">
        <v>620</v>
      </c>
      <c r="C992" t="s">
        <v>806</v>
      </c>
      <c r="D992" t="s">
        <v>818</v>
      </c>
      <c r="E992">
        <v>4</v>
      </c>
      <c r="F992" t="s">
        <v>829</v>
      </c>
      <c r="G992" t="s">
        <v>886</v>
      </c>
      <c r="H992">
        <v>3194</v>
      </c>
      <c r="I992" t="s">
        <v>832</v>
      </c>
      <c r="J992" t="s">
        <v>842</v>
      </c>
      <c r="K992" s="2">
        <v>45352</v>
      </c>
      <c r="L992">
        <v>2024</v>
      </c>
      <c r="M992">
        <v>12776</v>
      </c>
      <c r="N992" t="s">
        <v>868</v>
      </c>
    </row>
    <row r="993" spans="1:14" x14ac:dyDescent="0.3">
      <c r="A993" t="s">
        <v>1397</v>
      </c>
      <c r="B993" t="s">
        <v>621</v>
      </c>
      <c r="C993" t="s">
        <v>806</v>
      </c>
      <c r="D993" t="s">
        <v>818</v>
      </c>
      <c r="E993">
        <v>4</v>
      </c>
      <c r="F993" t="s">
        <v>825</v>
      </c>
      <c r="G993" t="s">
        <v>854</v>
      </c>
      <c r="H993">
        <v>3194</v>
      </c>
      <c r="I993" t="s">
        <v>832</v>
      </c>
      <c r="J993" t="s">
        <v>842</v>
      </c>
      <c r="K993" s="2">
        <v>44958</v>
      </c>
      <c r="L993">
        <v>2023</v>
      </c>
      <c r="M993">
        <v>12776</v>
      </c>
      <c r="N993" t="s">
        <v>868</v>
      </c>
    </row>
    <row r="994" spans="1:14" x14ac:dyDescent="0.3">
      <c r="A994" t="s">
        <v>1398</v>
      </c>
      <c r="B994" t="s">
        <v>622</v>
      </c>
      <c r="C994" t="s">
        <v>806</v>
      </c>
      <c r="D994" t="s">
        <v>818</v>
      </c>
      <c r="E994">
        <v>4</v>
      </c>
      <c r="F994" t="s">
        <v>827</v>
      </c>
      <c r="G994" t="s">
        <v>862</v>
      </c>
      <c r="H994">
        <v>3194</v>
      </c>
      <c r="I994" t="s">
        <v>832</v>
      </c>
      <c r="J994" t="s">
        <v>842</v>
      </c>
      <c r="K994" s="2">
        <v>44378</v>
      </c>
      <c r="L994">
        <v>2021</v>
      </c>
      <c r="M994">
        <v>12776</v>
      </c>
      <c r="N994" t="s">
        <v>868</v>
      </c>
    </row>
    <row r="995" spans="1:14" x14ac:dyDescent="0.3">
      <c r="A995" t="s">
        <v>884</v>
      </c>
      <c r="B995" t="s">
        <v>623</v>
      </c>
      <c r="C995" t="s">
        <v>806</v>
      </c>
      <c r="D995" t="s">
        <v>818</v>
      </c>
      <c r="E995">
        <v>1</v>
      </c>
      <c r="F995" t="s">
        <v>824</v>
      </c>
      <c r="G995" t="s">
        <v>910</v>
      </c>
      <c r="H995">
        <v>8548</v>
      </c>
      <c r="I995" t="s">
        <v>836</v>
      </c>
      <c r="J995" t="s">
        <v>843</v>
      </c>
      <c r="K995" s="2">
        <v>44835</v>
      </c>
      <c r="L995">
        <v>2022</v>
      </c>
      <c r="M995">
        <v>8548</v>
      </c>
      <c r="N995" t="s">
        <v>868</v>
      </c>
    </row>
    <row r="996" spans="1:14" x14ac:dyDescent="0.3">
      <c r="A996" t="s">
        <v>1399</v>
      </c>
      <c r="B996" t="s">
        <v>624</v>
      </c>
      <c r="C996" t="s">
        <v>807</v>
      </c>
      <c r="D996" t="s">
        <v>813</v>
      </c>
      <c r="E996">
        <v>19</v>
      </c>
      <c r="F996" t="s">
        <v>829</v>
      </c>
      <c r="G996" t="s">
        <v>890</v>
      </c>
      <c r="H996">
        <v>6089</v>
      </c>
      <c r="I996" t="s">
        <v>833</v>
      </c>
      <c r="J996" t="s">
        <v>841</v>
      </c>
      <c r="K996" s="2">
        <v>44166</v>
      </c>
      <c r="L996">
        <v>2020</v>
      </c>
      <c r="M996">
        <v>115691</v>
      </c>
      <c r="N996" t="s">
        <v>863</v>
      </c>
    </row>
    <row r="997" spans="1:14" x14ac:dyDescent="0.3">
      <c r="A997" t="s">
        <v>939</v>
      </c>
      <c r="B997" t="s">
        <v>625</v>
      </c>
      <c r="C997" t="s">
        <v>807</v>
      </c>
      <c r="D997" t="s">
        <v>813</v>
      </c>
      <c r="E997">
        <v>19</v>
      </c>
      <c r="F997" t="s">
        <v>829</v>
      </c>
      <c r="G997" t="s">
        <v>894</v>
      </c>
      <c r="H997">
        <v>6089</v>
      </c>
      <c r="I997" t="s">
        <v>833</v>
      </c>
      <c r="J997" t="s">
        <v>841</v>
      </c>
      <c r="K997" s="2">
        <v>44652</v>
      </c>
      <c r="L997">
        <v>2022</v>
      </c>
      <c r="M997">
        <v>115691</v>
      </c>
      <c r="N997" t="s">
        <v>863</v>
      </c>
    </row>
    <row r="998" spans="1:14" x14ac:dyDescent="0.3">
      <c r="A998" t="s">
        <v>1400</v>
      </c>
      <c r="B998" t="s">
        <v>626</v>
      </c>
      <c r="C998" t="s">
        <v>807</v>
      </c>
      <c r="D998" t="s">
        <v>813</v>
      </c>
      <c r="E998">
        <v>19</v>
      </c>
      <c r="F998" t="s">
        <v>825</v>
      </c>
      <c r="G998" t="s">
        <v>854</v>
      </c>
      <c r="H998">
        <v>6089</v>
      </c>
      <c r="I998" t="s">
        <v>833</v>
      </c>
      <c r="J998" t="s">
        <v>841</v>
      </c>
      <c r="K998" s="2">
        <v>45017</v>
      </c>
      <c r="L998">
        <v>2023</v>
      </c>
      <c r="M998">
        <v>115691</v>
      </c>
      <c r="N998" t="s">
        <v>863</v>
      </c>
    </row>
    <row r="999" spans="1:14" x14ac:dyDescent="0.3">
      <c r="A999" t="s">
        <v>1399</v>
      </c>
      <c r="B999" t="s">
        <v>624</v>
      </c>
      <c r="C999" t="s">
        <v>807</v>
      </c>
      <c r="D999" t="s">
        <v>813</v>
      </c>
      <c r="E999">
        <v>16</v>
      </c>
      <c r="F999" t="s">
        <v>829</v>
      </c>
      <c r="G999" t="s">
        <v>890</v>
      </c>
      <c r="H999">
        <v>2586</v>
      </c>
      <c r="I999" t="s">
        <v>832</v>
      </c>
      <c r="J999" t="s">
        <v>842</v>
      </c>
      <c r="K999" s="2">
        <v>44166</v>
      </c>
      <c r="L999">
        <v>2020</v>
      </c>
      <c r="M999">
        <v>41376</v>
      </c>
      <c r="N999" t="s">
        <v>863</v>
      </c>
    </row>
    <row r="1000" spans="1:14" x14ac:dyDescent="0.3">
      <c r="A1000" t="s">
        <v>939</v>
      </c>
      <c r="B1000" t="s">
        <v>625</v>
      </c>
      <c r="C1000" t="s">
        <v>807</v>
      </c>
      <c r="D1000" t="s">
        <v>813</v>
      </c>
      <c r="E1000">
        <v>16</v>
      </c>
      <c r="F1000" t="s">
        <v>829</v>
      </c>
      <c r="G1000" t="s">
        <v>894</v>
      </c>
      <c r="H1000">
        <v>2586</v>
      </c>
      <c r="I1000" t="s">
        <v>832</v>
      </c>
      <c r="J1000" t="s">
        <v>842</v>
      </c>
      <c r="K1000" s="2">
        <v>44652</v>
      </c>
      <c r="L1000">
        <v>2022</v>
      </c>
      <c r="M1000">
        <v>41376</v>
      </c>
      <c r="N1000" t="s">
        <v>863</v>
      </c>
    </row>
    <row r="1001" spans="1:14" x14ac:dyDescent="0.3">
      <c r="A1001" t="s">
        <v>1400</v>
      </c>
      <c r="B1001" t="s">
        <v>626</v>
      </c>
      <c r="C1001" t="s">
        <v>807</v>
      </c>
      <c r="D1001" t="s">
        <v>813</v>
      </c>
      <c r="E1001">
        <v>16</v>
      </c>
      <c r="F1001" t="s">
        <v>825</v>
      </c>
      <c r="G1001" t="s">
        <v>854</v>
      </c>
      <c r="H1001">
        <v>2586</v>
      </c>
      <c r="I1001" t="s">
        <v>832</v>
      </c>
      <c r="J1001" t="s">
        <v>842</v>
      </c>
      <c r="K1001" s="2">
        <v>45017</v>
      </c>
      <c r="L1001">
        <v>2023</v>
      </c>
      <c r="M1001">
        <v>41376</v>
      </c>
      <c r="N1001" t="s">
        <v>863</v>
      </c>
    </row>
    <row r="1002" spans="1:14" x14ac:dyDescent="0.3">
      <c r="A1002" t="s">
        <v>1399</v>
      </c>
      <c r="B1002" t="s">
        <v>624</v>
      </c>
      <c r="C1002" t="s">
        <v>806</v>
      </c>
      <c r="D1002" t="s">
        <v>817</v>
      </c>
      <c r="E1002">
        <v>9</v>
      </c>
      <c r="F1002" t="s">
        <v>829</v>
      </c>
      <c r="G1002" t="s">
        <v>890</v>
      </c>
      <c r="H1002">
        <v>3757</v>
      </c>
      <c r="I1002" t="s">
        <v>832</v>
      </c>
      <c r="J1002" t="s">
        <v>842</v>
      </c>
      <c r="K1002" s="2">
        <v>44166</v>
      </c>
      <c r="L1002">
        <v>2020</v>
      </c>
      <c r="M1002">
        <v>33813</v>
      </c>
      <c r="N1002" t="s">
        <v>852</v>
      </c>
    </row>
    <row r="1003" spans="1:14" x14ac:dyDescent="0.3">
      <c r="A1003" t="s">
        <v>939</v>
      </c>
      <c r="B1003" t="s">
        <v>625</v>
      </c>
      <c r="C1003" t="s">
        <v>806</v>
      </c>
      <c r="D1003" t="s">
        <v>817</v>
      </c>
      <c r="E1003">
        <v>9</v>
      </c>
      <c r="F1003" t="s">
        <v>829</v>
      </c>
      <c r="G1003" t="s">
        <v>894</v>
      </c>
      <c r="H1003">
        <v>3757</v>
      </c>
      <c r="I1003" t="s">
        <v>832</v>
      </c>
      <c r="J1003" t="s">
        <v>842</v>
      </c>
      <c r="K1003" s="2">
        <v>44652</v>
      </c>
      <c r="L1003">
        <v>2022</v>
      </c>
      <c r="M1003">
        <v>33813</v>
      </c>
      <c r="N1003" t="s">
        <v>852</v>
      </c>
    </row>
    <row r="1004" spans="1:14" x14ac:dyDescent="0.3">
      <c r="A1004" t="s">
        <v>1400</v>
      </c>
      <c r="B1004" t="s">
        <v>626</v>
      </c>
      <c r="C1004" t="s">
        <v>806</v>
      </c>
      <c r="D1004" t="s">
        <v>817</v>
      </c>
      <c r="E1004">
        <v>9</v>
      </c>
      <c r="F1004" t="s">
        <v>825</v>
      </c>
      <c r="G1004" t="s">
        <v>854</v>
      </c>
      <c r="H1004">
        <v>3757</v>
      </c>
      <c r="I1004" t="s">
        <v>832</v>
      </c>
      <c r="J1004" t="s">
        <v>842</v>
      </c>
      <c r="K1004" s="2">
        <v>45017</v>
      </c>
      <c r="L1004">
        <v>2023</v>
      </c>
      <c r="M1004">
        <v>33813</v>
      </c>
      <c r="N1004" t="s">
        <v>852</v>
      </c>
    </row>
    <row r="1005" spans="1:14" x14ac:dyDescent="0.3">
      <c r="A1005" t="s">
        <v>1344</v>
      </c>
      <c r="B1005" t="s">
        <v>627</v>
      </c>
      <c r="C1005" t="s">
        <v>807</v>
      </c>
      <c r="D1005" t="s">
        <v>816</v>
      </c>
      <c r="E1005">
        <v>5</v>
      </c>
      <c r="F1005" t="s">
        <v>827</v>
      </c>
      <c r="G1005" t="s">
        <v>876</v>
      </c>
      <c r="H1005">
        <v>5193</v>
      </c>
      <c r="I1005" t="s">
        <v>833</v>
      </c>
      <c r="J1005" t="s">
        <v>844</v>
      </c>
      <c r="K1005" s="2">
        <v>44470</v>
      </c>
      <c r="L1005">
        <v>2021</v>
      </c>
      <c r="M1005">
        <v>25965</v>
      </c>
      <c r="N1005" t="s">
        <v>852</v>
      </c>
    </row>
    <row r="1006" spans="1:14" x14ac:dyDescent="0.3">
      <c r="A1006" t="s">
        <v>1401</v>
      </c>
      <c r="B1006" t="s">
        <v>628</v>
      </c>
      <c r="C1006" t="s">
        <v>807</v>
      </c>
      <c r="D1006" t="s">
        <v>816</v>
      </c>
      <c r="E1006">
        <v>5</v>
      </c>
      <c r="F1006" t="s">
        <v>824</v>
      </c>
      <c r="G1006" t="s">
        <v>851</v>
      </c>
      <c r="H1006">
        <v>5193</v>
      </c>
      <c r="I1006" t="s">
        <v>833</v>
      </c>
      <c r="J1006" t="s">
        <v>844</v>
      </c>
      <c r="K1006" s="2">
        <v>45627</v>
      </c>
      <c r="L1006">
        <v>2024</v>
      </c>
      <c r="M1006">
        <v>25965</v>
      </c>
      <c r="N1006" t="s">
        <v>852</v>
      </c>
    </row>
    <row r="1007" spans="1:14" x14ac:dyDescent="0.3">
      <c r="A1007" t="s">
        <v>1402</v>
      </c>
      <c r="B1007" t="s">
        <v>629</v>
      </c>
      <c r="C1007" t="s">
        <v>805</v>
      </c>
      <c r="D1007" t="s">
        <v>809</v>
      </c>
      <c r="E1007">
        <v>3</v>
      </c>
      <c r="F1007" t="s">
        <v>829</v>
      </c>
      <c r="G1007" t="s">
        <v>894</v>
      </c>
      <c r="H1007">
        <v>7493</v>
      </c>
      <c r="I1007" t="s">
        <v>832</v>
      </c>
      <c r="J1007" t="s">
        <v>841</v>
      </c>
      <c r="K1007" s="2">
        <v>44044</v>
      </c>
      <c r="L1007">
        <v>2020</v>
      </c>
      <c r="M1007">
        <v>22479</v>
      </c>
      <c r="N1007" t="s">
        <v>868</v>
      </c>
    </row>
    <row r="1008" spans="1:14" x14ac:dyDescent="0.3">
      <c r="A1008" t="s">
        <v>1403</v>
      </c>
      <c r="B1008" t="s">
        <v>630</v>
      </c>
      <c r="C1008" t="s">
        <v>806</v>
      </c>
      <c r="D1008" t="s">
        <v>815</v>
      </c>
      <c r="E1008">
        <v>6</v>
      </c>
      <c r="F1008" t="s">
        <v>824</v>
      </c>
      <c r="G1008" t="s">
        <v>910</v>
      </c>
      <c r="H1008">
        <v>2062</v>
      </c>
      <c r="I1008" t="s">
        <v>835</v>
      </c>
      <c r="J1008" t="s">
        <v>842</v>
      </c>
      <c r="K1008" s="2">
        <v>45352</v>
      </c>
      <c r="L1008">
        <v>2024</v>
      </c>
      <c r="M1008">
        <v>12372</v>
      </c>
      <c r="N1008" t="s">
        <v>852</v>
      </c>
    </row>
    <row r="1009" spans="1:14" x14ac:dyDescent="0.3">
      <c r="A1009" t="s">
        <v>1256</v>
      </c>
      <c r="B1009" t="s">
        <v>631</v>
      </c>
      <c r="C1009" t="s">
        <v>805</v>
      </c>
      <c r="D1009" t="s">
        <v>819</v>
      </c>
      <c r="E1009">
        <v>1</v>
      </c>
      <c r="F1009" t="s">
        <v>827</v>
      </c>
      <c r="G1009" t="s">
        <v>876</v>
      </c>
      <c r="H1009">
        <v>7163</v>
      </c>
      <c r="I1009" t="s">
        <v>834</v>
      </c>
      <c r="J1009" t="s">
        <v>841</v>
      </c>
      <c r="K1009" s="2">
        <v>45200</v>
      </c>
      <c r="L1009">
        <v>2023</v>
      </c>
      <c r="M1009">
        <v>7163</v>
      </c>
      <c r="N1009" t="s">
        <v>868</v>
      </c>
    </row>
    <row r="1010" spans="1:14" x14ac:dyDescent="0.3">
      <c r="A1010" t="s">
        <v>1404</v>
      </c>
      <c r="B1010" t="s">
        <v>632</v>
      </c>
      <c r="C1010" t="s">
        <v>805</v>
      </c>
      <c r="D1010" t="s">
        <v>819</v>
      </c>
      <c r="E1010">
        <v>6</v>
      </c>
      <c r="F1010" t="s">
        <v>826</v>
      </c>
      <c r="G1010" t="s">
        <v>865</v>
      </c>
      <c r="H1010">
        <v>4026</v>
      </c>
      <c r="I1010" t="s">
        <v>836</v>
      </c>
      <c r="J1010" t="s">
        <v>844</v>
      </c>
      <c r="K1010" s="2">
        <v>45108</v>
      </c>
      <c r="L1010">
        <v>2023</v>
      </c>
      <c r="M1010">
        <v>24156</v>
      </c>
      <c r="N1010" t="s">
        <v>852</v>
      </c>
    </row>
    <row r="1011" spans="1:14" x14ac:dyDescent="0.3">
      <c r="A1011" t="s">
        <v>1405</v>
      </c>
      <c r="B1011" t="s">
        <v>633</v>
      </c>
      <c r="C1011" t="s">
        <v>807</v>
      </c>
      <c r="D1011" t="s">
        <v>814</v>
      </c>
      <c r="E1011">
        <v>5</v>
      </c>
      <c r="F1011" t="s">
        <v>824</v>
      </c>
      <c r="G1011" t="s">
        <v>851</v>
      </c>
      <c r="H1011">
        <v>1894</v>
      </c>
      <c r="I1011" t="s">
        <v>835</v>
      </c>
      <c r="J1011" t="s">
        <v>840</v>
      </c>
      <c r="K1011" s="2">
        <v>44501</v>
      </c>
      <c r="L1011">
        <v>2021</v>
      </c>
      <c r="M1011">
        <v>9470</v>
      </c>
      <c r="N1011" t="s">
        <v>852</v>
      </c>
    </row>
    <row r="1012" spans="1:14" x14ac:dyDescent="0.3">
      <c r="A1012" t="s">
        <v>1405</v>
      </c>
      <c r="B1012" t="s">
        <v>633</v>
      </c>
      <c r="C1012" t="s">
        <v>805</v>
      </c>
      <c r="D1012" t="s">
        <v>809</v>
      </c>
      <c r="E1012">
        <v>13</v>
      </c>
      <c r="F1012" t="s">
        <v>824</v>
      </c>
      <c r="G1012" t="s">
        <v>851</v>
      </c>
      <c r="H1012">
        <v>7144</v>
      </c>
      <c r="I1012" t="s">
        <v>835</v>
      </c>
      <c r="J1012" t="s">
        <v>841</v>
      </c>
      <c r="K1012" s="2">
        <v>44501</v>
      </c>
      <c r="L1012">
        <v>2021</v>
      </c>
      <c r="M1012">
        <v>92872</v>
      </c>
      <c r="N1012" t="s">
        <v>857</v>
      </c>
    </row>
    <row r="1013" spans="1:14" x14ac:dyDescent="0.3">
      <c r="A1013" t="s">
        <v>1406</v>
      </c>
      <c r="B1013" t="s">
        <v>634</v>
      </c>
      <c r="C1013" t="s">
        <v>805</v>
      </c>
      <c r="D1013" t="s">
        <v>812</v>
      </c>
      <c r="E1013">
        <v>15</v>
      </c>
      <c r="F1013" t="s">
        <v>829</v>
      </c>
      <c r="G1013" t="s">
        <v>886</v>
      </c>
      <c r="H1013">
        <v>3482</v>
      </c>
      <c r="I1013" t="s">
        <v>833</v>
      </c>
      <c r="J1013" t="s">
        <v>842</v>
      </c>
      <c r="K1013" s="2">
        <v>44075</v>
      </c>
      <c r="L1013">
        <v>2020</v>
      </c>
      <c r="M1013">
        <v>52230</v>
      </c>
      <c r="N1013" t="s">
        <v>863</v>
      </c>
    </row>
    <row r="1014" spans="1:14" x14ac:dyDescent="0.3">
      <c r="A1014" t="s">
        <v>1407</v>
      </c>
      <c r="B1014" t="s">
        <v>635</v>
      </c>
      <c r="C1014" t="s">
        <v>806</v>
      </c>
      <c r="D1014" t="s">
        <v>817</v>
      </c>
      <c r="E1014">
        <v>5</v>
      </c>
      <c r="F1014" t="s">
        <v>829</v>
      </c>
      <c r="G1014" t="s">
        <v>894</v>
      </c>
      <c r="H1014">
        <v>4172</v>
      </c>
      <c r="I1014" t="s">
        <v>834</v>
      </c>
      <c r="J1014" t="s">
        <v>844</v>
      </c>
      <c r="K1014" s="2">
        <v>44348</v>
      </c>
      <c r="L1014">
        <v>2021</v>
      </c>
      <c r="M1014">
        <v>20860</v>
      </c>
      <c r="N1014" t="s">
        <v>852</v>
      </c>
    </row>
    <row r="1015" spans="1:14" x14ac:dyDescent="0.3">
      <c r="A1015" t="s">
        <v>1408</v>
      </c>
      <c r="B1015" t="s">
        <v>636</v>
      </c>
      <c r="C1015" t="s">
        <v>806</v>
      </c>
      <c r="D1015" t="s">
        <v>817</v>
      </c>
      <c r="E1015">
        <v>5</v>
      </c>
      <c r="F1015" t="s">
        <v>824</v>
      </c>
      <c r="G1015" t="s">
        <v>859</v>
      </c>
      <c r="H1015">
        <v>4172</v>
      </c>
      <c r="I1015" t="s">
        <v>834</v>
      </c>
      <c r="J1015" t="s">
        <v>844</v>
      </c>
      <c r="K1015" s="2">
        <v>44774</v>
      </c>
      <c r="L1015">
        <v>2022</v>
      </c>
      <c r="M1015">
        <v>20860</v>
      </c>
      <c r="N1015" t="s">
        <v>852</v>
      </c>
    </row>
    <row r="1016" spans="1:14" x14ac:dyDescent="0.3">
      <c r="A1016" t="s">
        <v>1070</v>
      </c>
      <c r="B1016" t="s">
        <v>637</v>
      </c>
      <c r="C1016" t="s">
        <v>806</v>
      </c>
      <c r="D1016" t="s">
        <v>817</v>
      </c>
      <c r="E1016">
        <v>5</v>
      </c>
      <c r="F1016" t="s">
        <v>825</v>
      </c>
      <c r="G1016" t="s">
        <v>870</v>
      </c>
      <c r="H1016">
        <v>4172</v>
      </c>
      <c r="I1016" t="s">
        <v>834</v>
      </c>
      <c r="J1016" t="s">
        <v>844</v>
      </c>
      <c r="K1016" s="2">
        <v>45383</v>
      </c>
      <c r="L1016">
        <v>2024</v>
      </c>
      <c r="M1016">
        <v>20860</v>
      </c>
      <c r="N1016" t="s">
        <v>852</v>
      </c>
    </row>
    <row r="1017" spans="1:14" x14ac:dyDescent="0.3">
      <c r="A1017" t="s">
        <v>1029</v>
      </c>
      <c r="B1017" t="s">
        <v>638</v>
      </c>
      <c r="C1017" t="s">
        <v>807</v>
      </c>
      <c r="D1017" t="s">
        <v>816</v>
      </c>
      <c r="E1017">
        <v>8</v>
      </c>
      <c r="F1017" t="s">
        <v>829</v>
      </c>
      <c r="G1017" t="s">
        <v>890</v>
      </c>
      <c r="H1017">
        <v>6265</v>
      </c>
      <c r="I1017" t="s">
        <v>836</v>
      </c>
      <c r="J1017" t="s">
        <v>841</v>
      </c>
      <c r="K1017" s="2">
        <v>44774</v>
      </c>
      <c r="L1017">
        <v>2022</v>
      </c>
      <c r="M1017">
        <v>50120</v>
      </c>
      <c r="N1017" t="s">
        <v>852</v>
      </c>
    </row>
    <row r="1018" spans="1:14" x14ac:dyDescent="0.3">
      <c r="A1018" t="s">
        <v>1409</v>
      </c>
      <c r="B1018" t="s">
        <v>639</v>
      </c>
      <c r="C1018" t="s">
        <v>807</v>
      </c>
      <c r="D1018" t="s">
        <v>816</v>
      </c>
      <c r="E1018">
        <v>8</v>
      </c>
      <c r="F1018" t="s">
        <v>829</v>
      </c>
      <c r="G1018" t="s">
        <v>894</v>
      </c>
      <c r="H1018">
        <v>6265</v>
      </c>
      <c r="I1018" t="s">
        <v>836</v>
      </c>
      <c r="J1018" t="s">
        <v>841</v>
      </c>
      <c r="K1018" s="2">
        <v>44256</v>
      </c>
      <c r="L1018">
        <v>2021</v>
      </c>
      <c r="M1018">
        <v>50120</v>
      </c>
      <c r="N1018" t="s">
        <v>852</v>
      </c>
    </row>
    <row r="1019" spans="1:14" x14ac:dyDescent="0.3">
      <c r="A1019" t="s">
        <v>1410</v>
      </c>
      <c r="B1019" t="s">
        <v>640</v>
      </c>
      <c r="C1019" t="s">
        <v>805</v>
      </c>
      <c r="D1019" t="s">
        <v>809</v>
      </c>
      <c r="E1019">
        <v>7</v>
      </c>
      <c r="F1019" t="s">
        <v>825</v>
      </c>
      <c r="G1019" t="s">
        <v>921</v>
      </c>
      <c r="H1019">
        <v>2931</v>
      </c>
      <c r="I1019" t="s">
        <v>835</v>
      </c>
      <c r="J1019" t="s">
        <v>842</v>
      </c>
      <c r="K1019" s="2">
        <v>45444</v>
      </c>
      <c r="L1019">
        <v>2024</v>
      </c>
      <c r="M1019">
        <v>20517</v>
      </c>
      <c r="N1019" t="s">
        <v>852</v>
      </c>
    </row>
    <row r="1020" spans="1:14" x14ac:dyDescent="0.3">
      <c r="A1020" t="s">
        <v>1411</v>
      </c>
      <c r="B1020" t="s">
        <v>641</v>
      </c>
      <c r="C1020" t="s">
        <v>805</v>
      </c>
      <c r="D1020" t="s">
        <v>809</v>
      </c>
      <c r="E1020">
        <v>7</v>
      </c>
      <c r="F1020" t="s">
        <v>824</v>
      </c>
      <c r="G1020" t="s">
        <v>910</v>
      </c>
      <c r="H1020">
        <v>2931</v>
      </c>
      <c r="I1020" t="s">
        <v>835</v>
      </c>
      <c r="J1020" t="s">
        <v>842</v>
      </c>
      <c r="K1020" s="2">
        <v>45261</v>
      </c>
      <c r="L1020">
        <v>2023</v>
      </c>
      <c r="M1020">
        <v>20517</v>
      </c>
      <c r="N1020" t="s">
        <v>852</v>
      </c>
    </row>
    <row r="1021" spans="1:14" x14ac:dyDescent="0.3">
      <c r="A1021" t="s">
        <v>1412</v>
      </c>
      <c r="B1021" t="s">
        <v>642</v>
      </c>
      <c r="C1021" t="s">
        <v>807</v>
      </c>
      <c r="D1021" t="s">
        <v>814</v>
      </c>
      <c r="E1021">
        <v>9</v>
      </c>
      <c r="F1021" t="s">
        <v>824</v>
      </c>
      <c r="G1021" t="s">
        <v>910</v>
      </c>
      <c r="H1021">
        <v>1146</v>
      </c>
      <c r="I1021" t="s">
        <v>833</v>
      </c>
      <c r="J1021" t="s">
        <v>840</v>
      </c>
      <c r="K1021" s="2">
        <v>45597</v>
      </c>
      <c r="L1021">
        <v>2024</v>
      </c>
      <c r="M1021">
        <v>10314</v>
      </c>
      <c r="N1021" t="s">
        <v>852</v>
      </c>
    </row>
    <row r="1022" spans="1:14" x14ac:dyDescent="0.3">
      <c r="A1022" t="s">
        <v>1413</v>
      </c>
      <c r="B1022" t="s">
        <v>643</v>
      </c>
      <c r="C1022" t="s">
        <v>805</v>
      </c>
      <c r="D1022" t="s">
        <v>810</v>
      </c>
      <c r="E1022">
        <v>13</v>
      </c>
      <c r="F1022" t="s">
        <v>824</v>
      </c>
      <c r="G1022" t="s">
        <v>910</v>
      </c>
      <c r="H1022">
        <v>9215</v>
      </c>
      <c r="I1022" t="s">
        <v>836</v>
      </c>
      <c r="J1022" t="s">
        <v>843</v>
      </c>
      <c r="K1022" s="2">
        <v>44562</v>
      </c>
      <c r="L1022">
        <v>2022</v>
      </c>
      <c r="M1022">
        <v>119795</v>
      </c>
      <c r="N1022" t="s">
        <v>857</v>
      </c>
    </row>
    <row r="1023" spans="1:14" x14ac:dyDescent="0.3">
      <c r="A1023" t="s">
        <v>1414</v>
      </c>
      <c r="B1023" t="s">
        <v>644</v>
      </c>
      <c r="C1023" t="s">
        <v>805</v>
      </c>
      <c r="D1023" t="s">
        <v>810</v>
      </c>
      <c r="E1023">
        <v>13</v>
      </c>
      <c r="F1023" t="s">
        <v>827</v>
      </c>
      <c r="G1023" t="s">
        <v>883</v>
      </c>
      <c r="H1023">
        <v>9215</v>
      </c>
      <c r="I1023" t="s">
        <v>836</v>
      </c>
      <c r="J1023" t="s">
        <v>843</v>
      </c>
      <c r="K1023" s="2">
        <v>44501</v>
      </c>
      <c r="L1023">
        <v>2021</v>
      </c>
      <c r="M1023">
        <v>119795</v>
      </c>
      <c r="N1023" t="s">
        <v>857</v>
      </c>
    </row>
    <row r="1024" spans="1:14" x14ac:dyDescent="0.3">
      <c r="A1024" t="s">
        <v>1415</v>
      </c>
      <c r="B1024" t="s">
        <v>645</v>
      </c>
      <c r="C1024" t="s">
        <v>807</v>
      </c>
      <c r="D1024" t="s">
        <v>814</v>
      </c>
      <c r="E1024">
        <v>1</v>
      </c>
      <c r="F1024" t="s">
        <v>829</v>
      </c>
      <c r="G1024" t="s">
        <v>890</v>
      </c>
      <c r="H1024">
        <v>7895</v>
      </c>
      <c r="I1024" t="s">
        <v>835</v>
      </c>
      <c r="J1024" t="s">
        <v>841</v>
      </c>
      <c r="K1024" s="2">
        <v>45200</v>
      </c>
      <c r="L1024">
        <v>2023</v>
      </c>
      <c r="M1024">
        <v>7895</v>
      </c>
      <c r="N1024" t="s">
        <v>868</v>
      </c>
    </row>
    <row r="1025" spans="1:14" x14ac:dyDescent="0.3">
      <c r="A1025" t="s">
        <v>1416</v>
      </c>
      <c r="B1025" t="s">
        <v>646</v>
      </c>
      <c r="C1025" t="s">
        <v>807</v>
      </c>
      <c r="D1025" t="s">
        <v>814</v>
      </c>
      <c r="E1025">
        <v>1</v>
      </c>
      <c r="F1025" t="s">
        <v>827</v>
      </c>
      <c r="G1025" t="s">
        <v>876</v>
      </c>
      <c r="H1025">
        <v>7895</v>
      </c>
      <c r="I1025" t="s">
        <v>835</v>
      </c>
      <c r="J1025" t="s">
        <v>841</v>
      </c>
      <c r="K1025" s="2">
        <v>45717</v>
      </c>
      <c r="L1025">
        <v>2025</v>
      </c>
      <c r="M1025">
        <v>7895</v>
      </c>
      <c r="N1025" t="s">
        <v>868</v>
      </c>
    </row>
    <row r="1026" spans="1:14" x14ac:dyDescent="0.3">
      <c r="A1026" t="s">
        <v>1415</v>
      </c>
      <c r="B1026" t="s">
        <v>645</v>
      </c>
      <c r="C1026" t="s">
        <v>806</v>
      </c>
      <c r="D1026" t="s">
        <v>811</v>
      </c>
      <c r="E1026">
        <v>8</v>
      </c>
      <c r="F1026" t="s">
        <v>829</v>
      </c>
      <c r="G1026" t="s">
        <v>890</v>
      </c>
      <c r="H1026">
        <v>2740</v>
      </c>
      <c r="I1026" t="s">
        <v>832</v>
      </c>
      <c r="J1026" t="s">
        <v>842</v>
      </c>
      <c r="K1026" s="2">
        <v>45200</v>
      </c>
      <c r="L1026">
        <v>2023</v>
      </c>
      <c r="M1026">
        <v>21920</v>
      </c>
      <c r="N1026" t="s">
        <v>852</v>
      </c>
    </row>
    <row r="1027" spans="1:14" x14ac:dyDescent="0.3">
      <c r="A1027" t="s">
        <v>1416</v>
      </c>
      <c r="B1027" t="s">
        <v>646</v>
      </c>
      <c r="C1027" t="s">
        <v>806</v>
      </c>
      <c r="D1027" t="s">
        <v>811</v>
      </c>
      <c r="E1027">
        <v>8</v>
      </c>
      <c r="F1027" t="s">
        <v>827</v>
      </c>
      <c r="G1027" t="s">
        <v>876</v>
      </c>
      <c r="H1027">
        <v>2740</v>
      </c>
      <c r="I1027" t="s">
        <v>832</v>
      </c>
      <c r="J1027" t="s">
        <v>842</v>
      </c>
      <c r="K1027" s="2">
        <v>45717</v>
      </c>
      <c r="L1027">
        <v>2025</v>
      </c>
      <c r="M1027">
        <v>21920</v>
      </c>
      <c r="N1027" t="s">
        <v>852</v>
      </c>
    </row>
    <row r="1028" spans="1:14" x14ac:dyDescent="0.3">
      <c r="A1028" t="s">
        <v>1417</v>
      </c>
      <c r="B1028" t="s">
        <v>647</v>
      </c>
      <c r="C1028" t="s">
        <v>806</v>
      </c>
      <c r="D1028" t="s">
        <v>815</v>
      </c>
      <c r="E1028">
        <v>16</v>
      </c>
      <c r="F1028" t="s">
        <v>825</v>
      </c>
      <c r="G1028" t="s">
        <v>921</v>
      </c>
      <c r="H1028">
        <v>5338</v>
      </c>
      <c r="I1028" t="s">
        <v>832</v>
      </c>
      <c r="J1028" t="s">
        <v>844</v>
      </c>
      <c r="K1028" s="2">
        <v>45505</v>
      </c>
      <c r="L1028">
        <v>2024</v>
      </c>
      <c r="M1028">
        <v>85408</v>
      </c>
      <c r="N1028" t="s">
        <v>863</v>
      </c>
    </row>
    <row r="1029" spans="1:14" x14ac:dyDescent="0.3">
      <c r="A1029" t="s">
        <v>1418</v>
      </c>
      <c r="B1029" t="s">
        <v>648</v>
      </c>
      <c r="C1029" t="s">
        <v>806</v>
      </c>
      <c r="D1029" t="s">
        <v>815</v>
      </c>
      <c r="E1029">
        <v>16</v>
      </c>
      <c r="F1029" t="s">
        <v>826</v>
      </c>
      <c r="G1029" t="s">
        <v>856</v>
      </c>
      <c r="H1029">
        <v>5338</v>
      </c>
      <c r="I1029" t="s">
        <v>832</v>
      </c>
      <c r="J1029" t="s">
        <v>844</v>
      </c>
      <c r="K1029" s="2">
        <v>45078</v>
      </c>
      <c r="L1029">
        <v>2023</v>
      </c>
      <c r="M1029">
        <v>85408</v>
      </c>
      <c r="N1029" t="s">
        <v>863</v>
      </c>
    </row>
    <row r="1030" spans="1:14" x14ac:dyDescent="0.3">
      <c r="A1030" t="s">
        <v>1280</v>
      </c>
      <c r="B1030" t="s">
        <v>649</v>
      </c>
      <c r="C1030" t="s">
        <v>806</v>
      </c>
      <c r="D1030" t="s">
        <v>815</v>
      </c>
      <c r="E1030">
        <v>16</v>
      </c>
      <c r="F1030" t="s">
        <v>824</v>
      </c>
      <c r="G1030" t="s">
        <v>859</v>
      </c>
      <c r="H1030">
        <v>5338</v>
      </c>
      <c r="I1030" t="s">
        <v>832</v>
      </c>
      <c r="J1030" t="s">
        <v>844</v>
      </c>
      <c r="K1030" s="2">
        <v>45566</v>
      </c>
      <c r="L1030">
        <v>2024</v>
      </c>
      <c r="M1030">
        <v>85408</v>
      </c>
      <c r="N1030" t="s">
        <v>863</v>
      </c>
    </row>
    <row r="1031" spans="1:14" x14ac:dyDescent="0.3">
      <c r="A1031" t="s">
        <v>1419</v>
      </c>
      <c r="B1031" t="s">
        <v>650</v>
      </c>
      <c r="C1031" t="s">
        <v>806</v>
      </c>
      <c r="D1031" t="s">
        <v>815</v>
      </c>
      <c r="E1031">
        <v>16</v>
      </c>
      <c r="F1031" t="s">
        <v>826</v>
      </c>
      <c r="G1031" t="s">
        <v>856</v>
      </c>
      <c r="H1031">
        <v>5338</v>
      </c>
      <c r="I1031" t="s">
        <v>832</v>
      </c>
      <c r="J1031" t="s">
        <v>844</v>
      </c>
      <c r="K1031" s="2">
        <v>44197</v>
      </c>
      <c r="L1031">
        <v>2021</v>
      </c>
      <c r="M1031">
        <v>85408</v>
      </c>
      <c r="N1031" t="s">
        <v>863</v>
      </c>
    </row>
    <row r="1032" spans="1:14" x14ac:dyDescent="0.3">
      <c r="A1032" t="s">
        <v>927</v>
      </c>
      <c r="B1032" t="s">
        <v>651</v>
      </c>
      <c r="C1032" t="s">
        <v>806</v>
      </c>
      <c r="D1032" t="s">
        <v>811</v>
      </c>
      <c r="E1032">
        <v>2</v>
      </c>
      <c r="F1032" t="s">
        <v>829</v>
      </c>
      <c r="G1032" t="s">
        <v>894</v>
      </c>
      <c r="H1032">
        <v>3095</v>
      </c>
      <c r="I1032" t="s">
        <v>834</v>
      </c>
      <c r="J1032" t="s">
        <v>842</v>
      </c>
      <c r="K1032" s="2">
        <v>44652</v>
      </c>
      <c r="L1032">
        <v>2022</v>
      </c>
      <c r="M1032">
        <v>6190</v>
      </c>
      <c r="N1032" t="s">
        <v>868</v>
      </c>
    </row>
    <row r="1033" spans="1:14" x14ac:dyDescent="0.3">
      <c r="A1033" t="s">
        <v>970</v>
      </c>
      <c r="B1033" t="s">
        <v>652</v>
      </c>
      <c r="C1033" t="s">
        <v>806</v>
      </c>
      <c r="D1033" t="s">
        <v>811</v>
      </c>
      <c r="E1033">
        <v>2</v>
      </c>
      <c r="F1033" t="s">
        <v>828</v>
      </c>
      <c r="G1033" t="s">
        <v>880</v>
      </c>
      <c r="H1033">
        <v>3095</v>
      </c>
      <c r="I1033" t="s">
        <v>834</v>
      </c>
      <c r="J1033" t="s">
        <v>842</v>
      </c>
      <c r="K1033" s="2">
        <v>44774</v>
      </c>
      <c r="L1033">
        <v>2022</v>
      </c>
      <c r="M1033">
        <v>6190</v>
      </c>
      <c r="N1033" t="s">
        <v>868</v>
      </c>
    </row>
    <row r="1034" spans="1:14" x14ac:dyDescent="0.3">
      <c r="A1034" t="s">
        <v>1038</v>
      </c>
      <c r="B1034" t="s">
        <v>653</v>
      </c>
      <c r="C1034" t="s">
        <v>805</v>
      </c>
      <c r="D1034" t="s">
        <v>810</v>
      </c>
      <c r="E1034">
        <v>13</v>
      </c>
      <c r="F1034" t="s">
        <v>825</v>
      </c>
      <c r="G1034" t="s">
        <v>921</v>
      </c>
      <c r="H1034">
        <v>6017</v>
      </c>
      <c r="I1034" t="s">
        <v>833</v>
      </c>
      <c r="J1034" t="s">
        <v>841</v>
      </c>
      <c r="K1034" s="2">
        <v>45139</v>
      </c>
      <c r="L1034">
        <v>2023</v>
      </c>
      <c r="M1034">
        <v>78221</v>
      </c>
      <c r="N1034" t="s">
        <v>857</v>
      </c>
    </row>
    <row r="1035" spans="1:14" x14ac:dyDescent="0.3">
      <c r="A1035" t="s">
        <v>1267</v>
      </c>
      <c r="B1035" t="s">
        <v>654</v>
      </c>
      <c r="C1035" t="s">
        <v>806</v>
      </c>
      <c r="D1035" t="s">
        <v>811</v>
      </c>
      <c r="E1035">
        <v>2</v>
      </c>
      <c r="F1035" t="s">
        <v>828</v>
      </c>
      <c r="G1035" t="s">
        <v>874</v>
      </c>
      <c r="H1035">
        <v>4904</v>
      </c>
      <c r="I1035" t="s">
        <v>833</v>
      </c>
      <c r="J1035" t="s">
        <v>844</v>
      </c>
      <c r="K1035" s="2">
        <v>43922</v>
      </c>
      <c r="L1035">
        <v>2020</v>
      </c>
      <c r="M1035">
        <v>9808</v>
      </c>
      <c r="N1035" t="s">
        <v>868</v>
      </c>
    </row>
    <row r="1036" spans="1:14" x14ac:dyDescent="0.3">
      <c r="A1036" t="s">
        <v>1267</v>
      </c>
      <c r="B1036" t="s">
        <v>654</v>
      </c>
      <c r="C1036" t="s">
        <v>806</v>
      </c>
      <c r="D1036" t="s">
        <v>818</v>
      </c>
      <c r="E1036">
        <v>6</v>
      </c>
      <c r="F1036" t="s">
        <v>828</v>
      </c>
      <c r="G1036" t="s">
        <v>874</v>
      </c>
      <c r="H1036">
        <v>3080</v>
      </c>
      <c r="I1036" t="s">
        <v>832</v>
      </c>
      <c r="J1036" t="s">
        <v>842</v>
      </c>
      <c r="K1036" s="2">
        <v>43922</v>
      </c>
      <c r="L1036">
        <v>2020</v>
      </c>
      <c r="M1036">
        <v>18480</v>
      </c>
      <c r="N1036" t="s">
        <v>852</v>
      </c>
    </row>
    <row r="1037" spans="1:14" x14ac:dyDescent="0.3">
      <c r="A1037" t="s">
        <v>1420</v>
      </c>
      <c r="B1037" t="s">
        <v>655</v>
      </c>
      <c r="C1037" t="s">
        <v>805</v>
      </c>
      <c r="D1037" t="s">
        <v>819</v>
      </c>
      <c r="E1037">
        <v>2</v>
      </c>
      <c r="F1037" t="s">
        <v>824</v>
      </c>
      <c r="G1037" t="s">
        <v>910</v>
      </c>
      <c r="H1037">
        <v>1992</v>
      </c>
      <c r="I1037" t="s">
        <v>836</v>
      </c>
      <c r="J1037" t="s">
        <v>840</v>
      </c>
      <c r="K1037" s="2">
        <v>45627</v>
      </c>
      <c r="L1037">
        <v>2024</v>
      </c>
      <c r="M1037">
        <v>3984</v>
      </c>
      <c r="N1037" t="s">
        <v>868</v>
      </c>
    </row>
    <row r="1038" spans="1:14" x14ac:dyDescent="0.3">
      <c r="A1038" t="s">
        <v>1421</v>
      </c>
      <c r="B1038" t="s">
        <v>656</v>
      </c>
      <c r="C1038" t="s">
        <v>807</v>
      </c>
      <c r="D1038" t="s">
        <v>816</v>
      </c>
      <c r="E1038">
        <v>17</v>
      </c>
      <c r="F1038" t="s">
        <v>824</v>
      </c>
      <c r="G1038" t="s">
        <v>859</v>
      </c>
      <c r="H1038">
        <v>5346</v>
      </c>
      <c r="I1038" t="s">
        <v>834</v>
      </c>
      <c r="J1038" t="s">
        <v>844</v>
      </c>
      <c r="K1038" s="2">
        <v>44743</v>
      </c>
      <c r="L1038">
        <v>2022</v>
      </c>
      <c r="M1038">
        <v>90882</v>
      </c>
      <c r="N1038" t="s">
        <v>863</v>
      </c>
    </row>
    <row r="1039" spans="1:14" x14ac:dyDescent="0.3">
      <c r="A1039" t="s">
        <v>1422</v>
      </c>
      <c r="B1039" t="s">
        <v>657</v>
      </c>
      <c r="C1039" t="s">
        <v>807</v>
      </c>
      <c r="D1039" t="s">
        <v>816</v>
      </c>
      <c r="E1039">
        <v>17</v>
      </c>
      <c r="F1039" t="s">
        <v>824</v>
      </c>
      <c r="G1039" t="s">
        <v>851</v>
      </c>
      <c r="H1039">
        <v>5346</v>
      </c>
      <c r="I1039" t="s">
        <v>834</v>
      </c>
      <c r="J1039" t="s">
        <v>844</v>
      </c>
      <c r="K1039" s="2">
        <v>44682</v>
      </c>
      <c r="L1039">
        <v>2022</v>
      </c>
      <c r="M1039">
        <v>90882</v>
      </c>
      <c r="N1039" t="s">
        <v>863</v>
      </c>
    </row>
    <row r="1040" spans="1:14" x14ac:dyDescent="0.3">
      <c r="A1040" t="s">
        <v>970</v>
      </c>
      <c r="B1040" t="s">
        <v>658</v>
      </c>
      <c r="C1040" t="s">
        <v>805</v>
      </c>
      <c r="D1040" t="s">
        <v>810</v>
      </c>
      <c r="E1040">
        <v>18</v>
      </c>
      <c r="F1040" t="s">
        <v>827</v>
      </c>
      <c r="G1040" t="s">
        <v>883</v>
      </c>
      <c r="H1040">
        <v>8422</v>
      </c>
      <c r="I1040" t="s">
        <v>833</v>
      </c>
      <c r="J1040" t="s">
        <v>843</v>
      </c>
      <c r="K1040" s="2">
        <v>44774</v>
      </c>
      <c r="L1040">
        <v>2022</v>
      </c>
      <c r="M1040">
        <v>151596</v>
      </c>
      <c r="N1040" t="s">
        <v>863</v>
      </c>
    </row>
    <row r="1041" spans="1:14" x14ac:dyDescent="0.3">
      <c r="A1041" t="s">
        <v>998</v>
      </c>
      <c r="B1041" t="s">
        <v>659</v>
      </c>
      <c r="C1041" t="s">
        <v>805</v>
      </c>
      <c r="D1041" t="s">
        <v>810</v>
      </c>
      <c r="E1041">
        <v>18</v>
      </c>
      <c r="F1041" t="s">
        <v>829</v>
      </c>
      <c r="G1041" t="s">
        <v>886</v>
      </c>
      <c r="H1041">
        <v>8422</v>
      </c>
      <c r="I1041" t="s">
        <v>833</v>
      </c>
      <c r="J1041" t="s">
        <v>843</v>
      </c>
      <c r="K1041" s="2">
        <v>44774</v>
      </c>
      <c r="L1041">
        <v>2022</v>
      </c>
      <c r="M1041">
        <v>151596</v>
      </c>
      <c r="N1041" t="s">
        <v>863</v>
      </c>
    </row>
    <row r="1042" spans="1:14" x14ac:dyDescent="0.3">
      <c r="A1042" t="s">
        <v>970</v>
      </c>
      <c r="B1042" t="s">
        <v>658</v>
      </c>
      <c r="C1042" t="s">
        <v>807</v>
      </c>
      <c r="D1042" t="s">
        <v>820</v>
      </c>
      <c r="E1042">
        <v>8</v>
      </c>
      <c r="F1042" t="s">
        <v>827</v>
      </c>
      <c r="G1042" t="s">
        <v>883</v>
      </c>
      <c r="H1042">
        <v>6105</v>
      </c>
      <c r="I1042" t="s">
        <v>835</v>
      </c>
      <c r="J1042" t="s">
        <v>841</v>
      </c>
      <c r="K1042" s="2">
        <v>44774</v>
      </c>
      <c r="L1042">
        <v>2022</v>
      </c>
      <c r="M1042">
        <v>48840</v>
      </c>
      <c r="N1042" t="s">
        <v>852</v>
      </c>
    </row>
    <row r="1043" spans="1:14" x14ac:dyDescent="0.3">
      <c r="A1043" t="s">
        <v>998</v>
      </c>
      <c r="B1043" t="s">
        <v>659</v>
      </c>
      <c r="C1043" t="s">
        <v>807</v>
      </c>
      <c r="D1043" t="s">
        <v>820</v>
      </c>
      <c r="E1043">
        <v>8</v>
      </c>
      <c r="F1043" t="s">
        <v>829</v>
      </c>
      <c r="G1043" t="s">
        <v>886</v>
      </c>
      <c r="H1043">
        <v>6105</v>
      </c>
      <c r="I1043" t="s">
        <v>835</v>
      </c>
      <c r="J1043" t="s">
        <v>841</v>
      </c>
      <c r="K1043" s="2">
        <v>44774</v>
      </c>
      <c r="L1043">
        <v>2022</v>
      </c>
      <c r="M1043">
        <v>48840</v>
      </c>
      <c r="N1043" t="s">
        <v>852</v>
      </c>
    </row>
    <row r="1044" spans="1:14" x14ac:dyDescent="0.3">
      <c r="A1044" t="s">
        <v>896</v>
      </c>
      <c r="B1044" t="s">
        <v>660</v>
      </c>
      <c r="C1044" t="s">
        <v>806</v>
      </c>
      <c r="D1044" t="s">
        <v>811</v>
      </c>
      <c r="E1044">
        <v>9</v>
      </c>
      <c r="F1044" t="s">
        <v>828</v>
      </c>
      <c r="G1044" t="s">
        <v>904</v>
      </c>
      <c r="H1044">
        <v>670</v>
      </c>
      <c r="I1044" t="s">
        <v>834</v>
      </c>
      <c r="J1044" t="s">
        <v>840</v>
      </c>
      <c r="K1044" s="2">
        <v>45139</v>
      </c>
      <c r="L1044">
        <v>2023</v>
      </c>
      <c r="M1044">
        <v>6030</v>
      </c>
      <c r="N1044" t="s">
        <v>852</v>
      </c>
    </row>
    <row r="1045" spans="1:14" x14ac:dyDescent="0.3">
      <c r="A1045" t="s">
        <v>1423</v>
      </c>
      <c r="B1045" t="s">
        <v>661</v>
      </c>
      <c r="C1045" t="s">
        <v>805</v>
      </c>
      <c r="D1045" t="s">
        <v>812</v>
      </c>
      <c r="E1045">
        <v>6</v>
      </c>
      <c r="F1045" t="s">
        <v>827</v>
      </c>
      <c r="G1045" t="s">
        <v>876</v>
      </c>
      <c r="H1045">
        <v>4057</v>
      </c>
      <c r="I1045" t="s">
        <v>835</v>
      </c>
      <c r="J1045" t="s">
        <v>844</v>
      </c>
      <c r="K1045" s="2">
        <v>44805</v>
      </c>
      <c r="L1045">
        <v>2022</v>
      </c>
      <c r="M1045">
        <v>24342</v>
      </c>
      <c r="N1045" t="s">
        <v>852</v>
      </c>
    </row>
    <row r="1046" spans="1:14" x14ac:dyDescent="0.3">
      <c r="A1046" t="s">
        <v>1424</v>
      </c>
      <c r="B1046" t="s">
        <v>662</v>
      </c>
      <c r="C1046" t="s">
        <v>806</v>
      </c>
      <c r="D1046" t="s">
        <v>811</v>
      </c>
      <c r="E1046">
        <v>10</v>
      </c>
      <c r="F1046" t="s">
        <v>827</v>
      </c>
      <c r="G1046" t="s">
        <v>862</v>
      </c>
      <c r="H1046">
        <v>8178</v>
      </c>
      <c r="I1046" t="s">
        <v>832</v>
      </c>
      <c r="J1046" t="s">
        <v>843</v>
      </c>
      <c r="K1046" s="2">
        <v>45139</v>
      </c>
      <c r="L1046">
        <v>2023</v>
      </c>
      <c r="M1046">
        <v>81780</v>
      </c>
      <c r="N1046" t="s">
        <v>857</v>
      </c>
    </row>
    <row r="1047" spans="1:14" x14ac:dyDescent="0.3">
      <c r="A1047" t="s">
        <v>1425</v>
      </c>
      <c r="B1047" t="s">
        <v>663</v>
      </c>
      <c r="C1047" t="s">
        <v>807</v>
      </c>
      <c r="D1047" t="s">
        <v>813</v>
      </c>
      <c r="E1047">
        <v>9</v>
      </c>
      <c r="F1047" t="s">
        <v>829</v>
      </c>
      <c r="G1047" t="s">
        <v>890</v>
      </c>
      <c r="H1047">
        <v>8752</v>
      </c>
      <c r="I1047" t="s">
        <v>833</v>
      </c>
      <c r="J1047" t="s">
        <v>843</v>
      </c>
      <c r="K1047" s="2">
        <v>44166</v>
      </c>
      <c r="L1047">
        <v>2020</v>
      </c>
      <c r="M1047">
        <v>78768</v>
      </c>
      <c r="N1047" t="s">
        <v>852</v>
      </c>
    </row>
    <row r="1048" spans="1:14" x14ac:dyDescent="0.3">
      <c r="A1048" t="s">
        <v>1426</v>
      </c>
      <c r="B1048" t="s">
        <v>664</v>
      </c>
      <c r="C1048" t="s">
        <v>807</v>
      </c>
      <c r="D1048" t="s">
        <v>813</v>
      </c>
      <c r="E1048">
        <v>9</v>
      </c>
      <c r="F1048" t="s">
        <v>825</v>
      </c>
      <c r="G1048" t="s">
        <v>921</v>
      </c>
      <c r="H1048">
        <v>8752</v>
      </c>
      <c r="I1048" t="s">
        <v>833</v>
      </c>
      <c r="J1048" t="s">
        <v>843</v>
      </c>
      <c r="K1048" s="2">
        <v>45170</v>
      </c>
      <c r="L1048">
        <v>2023</v>
      </c>
      <c r="M1048">
        <v>78768</v>
      </c>
      <c r="N1048" t="s">
        <v>852</v>
      </c>
    </row>
    <row r="1049" spans="1:14" x14ac:dyDescent="0.3">
      <c r="A1049" t="s">
        <v>1427</v>
      </c>
      <c r="B1049" t="s">
        <v>665</v>
      </c>
      <c r="C1049" t="s">
        <v>807</v>
      </c>
      <c r="D1049" t="s">
        <v>813</v>
      </c>
      <c r="E1049">
        <v>9</v>
      </c>
      <c r="F1049" t="s">
        <v>825</v>
      </c>
      <c r="G1049" t="s">
        <v>854</v>
      </c>
      <c r="H1049">
        <v>8752</v>
      </c>
      <c r="I1049" t="s">
        <v>833</v>
      </c>
      <c r="J1049" t="s">
        <v>843</v>
      </c>
      <c r="K1049" s="2">
        <v>44562</v>
      </c>
      <c r="L1049">
        <v>2022</v>
      </c>
      <c r="M1049">
        <v>78768</v>
      </c>
      <c r="N1049" t="s">
        <v>852</v>
      </c>
    </row>
    <row r="1050" spans="1:14" x14ac:dyDescent="0.3">
      <c r="A1050" t="s">
        <v>1428</v>
      </c>
      <c r="B1050" t="s">
        <v>666</v>
      </c>
      <c r="C1050" t="s">
        <v>805</v>
      </c>
      <c r="D1050" t="s">
        <v>810</v>
      </c>
      <c r="E1050">
        <v>16</v>
      </c>
      <c r="F1050" t="s">
        <v>826</v>
      </c>
      <c r="G1050" t="s">
        <v>865</v>
      </c>
      <c r="H1050">
        <v>8974</v>
      </c>
      <c r="I1050" t="s">
        <v>834</v>
      </c>
      <c r="J1050" t="s">
        <v>843</v>
      </c>
      <c r="K1050" s="2">
        <v>45078</v>
      </c>
      <c r="L1050">
        <v>2023</v>
      </c>
      <c r="M1050">
        <v>143584</v>
      </c>
      <c r="N1050" t="s">
        <v>863</v>
      </c>
    </row>
    <row r="1051" spans="1:14" x14ac:dyDescent="0.3">
      <c r="A1051" t="s">
        <v>1429</v>
      </c>
      <c r="B1051" t="s">
        <v>667</v>
      </c>
      <c r="C1051" t="s">
        <v>805</v>
      </c>
      <c r="D1051" t="s">
        <v>819</v>
      </c>
      <c r="E1051">
        <v>16</v>
      </c>
      <c r="F1051" t="s">
        <v>828</v>
      </c>
      <c r="G1051" t="s">
        <v>874</v>
      </c>
      <c r="H1051">
        <v>9090</v>
      </c>
      <c r="I1051" t="s">
        <v>835</v>
      </c>
      <c r="J1051" t="s">
        <v>843</v>
      </c>
      <c r="K1051" s="2">
        <v>44287</v>
      </c>
      <c r="L1051">
        <v>2021</v>
      </c>
      <c r="M1051">
        <v>145440</v>
      </c>
      <c r="N1051" t="s">
        <v>863</v>
      </c>
    </row>
    <row r="1052" spans="1:14" x14ac:dyDescent="0.3">
      <c r="A1052" t="s">
        <v>1430</v>
      </c>
      <c r="B1052" t="s">
        <v>668</v>
      </c>
      <c r="C1052" t="s">
        <v>805</v>
      </c>
      <c r="D1052" t="s">
        <v>819</v>
      </c>
      <c r="E1052">
        <v>16</v>
      </c>
      <c r="F1052" t="s">
        <v>825</v>
      </c>
      <c r="G1052" t="s">
        <v>870</v>
      </c>
      <c r="H1052">
        <v>9090</v>
      </c>
      <c r="I1052" t="s">
        <v>835</v>
      </c>
      <c r="J1052" t="s">
        <v>843</v>
      </c>
      <c r="K1052" s="2">
        <v>45413</v>
      </c>
      <c r="L1052">
        <v>2024</v>
      </c>
      <c r="M1052">
        <v>145440</v>
      </c>
      <c r="N1052" t="s">
        <v>863</v>
      </c>
    </row>
    <row r="1053" spans="1:14" x14ac:dyDescent="0.3">
      <c r="A1053" t="s">
        <v>1429</v>
      </c>
      <c r="B1053" t="s">
        <v>667</v>
      </c>
      <c r="C1053" t="s">
        <v>805</v>
      </c>
      <c r="D1053" t="s">
        <v>809</v>
      </c>
      <c r="E1053">
        <v>11</v>
      </c>
      <c r="F1053" t="s">
        <v>828</v>
      </c>
      <c r="G1053" t="s">
        <v>874</v>
      </c>
      <c r="H1053">
        <v>851</v>
      </c>
      <c r="I1053" t="s">
        <v>835</v>
      </c>
      <c r="J1053" t="s">
        <v>840</v>
      </c>
      <c r="K1053" s="2">
        <v>44287</v>
      </c>
      <c r="L1053">
        <v>2021</v>
      </c>
      <c r="M1053">
        <v>9361</v>
      </c>
      <c r="N1053" t="s">
        <v>857</v>
      </c>
    </row>
    <row r="1054" spans="1:14" x14ac:dyDescent="0.3">
      <c r="A1054" t="s">
        <v>1430</v>
      </c>
      <c r="B1054" t="s">
        <v>668</v>
      </c>
      <c r="C1054" t="s">
        <v>805</v>
      </c>
      <c r="D1054" t="s">
        <v>809</v>
      </c>
      <c r="E1054">
        <v>11</v>
      </c>
      <c r="F1054" t="s">
        <v>825</v>
      </c>
      <c r="G1054" t="s">
        <v>870</v>
      </c>
      <c r="H1054">
        <v>851</v>
      </c>
      <c r="I1054" t="s">
        <v>835</v>
      </c>
      <c r="J1054" t="s">
        <v>840</v>
      </c>
      <c r="K1054" s="2">
        <v>45413</v>
      </c>
      <c r="L1054">
        <v>2024</v>
      </c>
      <c r="M1054">
        <v>9361</v>
      </c>
      <c r="N1054" t="s">
        <v>857</v>
      </c>
    </row>
    <row r="1055" spans="1:14" x14ac:dyDescent="0.3">
      <c r="A1055" t="s">
        <v>1431</v>
      </c>
      <c r="B1055" t="s">
        <v>669</v>
      </c>
      <c r="C1055" t="s">
        <v>805</v>
      </c>
      <c r="D1055" t="s">
        <v>819</v>
      </c>
      <c r="E1055">
        <v>3</v>
      </c>
      <c r="F1055" t="s">
        <v>824</v>
      </c>
      <c r="G1055" t="s">
        <v>851</v>
      </c>
      <c r="H1055">
        <v>5427</v>
      </c>
      <c r="I1055" t="s">
        <v>832</v>
      </c>
      <c r="J1055" t="s">
        <v>844</v>
      </c>
      <c r="K1055" s="2">
        <v>44986</v>
      </c>
      <c r="L1055">
        <v>2023</v>
      </c>
      <c r="M1055">
        <v>16281</v>
      </c>
      <c r="N1055" t="s">
        <v>868</v>
      </c>
    </row>
    <row r="1056" spans="1:14" x14ac:dyDescent="0.3">
      <c r="A1056" t="s">
        <v>1432</v>
      </c>
      <c r="B1056" t="s">
        <v>670</v>
      </c>
      <c r="C1056" t="s">
        <v>807</v>
      </c>
      <c r="D1056" t="s">
        <v>820</v>
      </c>
      <c r="E1056">
        <v>15</v>
      </c>
      <c r="F1056" t="s">
        <v>825</v>
      </c>
      <c r="G1056" t="s">
        <v>921</v>
      </c>
      <c r="H1056">
        <v>2695</v>
      </c>
      <c r="I1056" t="s">
        <v>833</v>
      </c>
      <c r="J1056" t="s">
        <v>842</v>
      </c>
      <c r="K1056" s="2">
        <v>44743</v>
      </c>
      <c r="L1056">
        <v>2022</v>
      </c>
      <c r="M1056">
        <v>40425</v>
      </c>
      <c r="N1056" t="s">
        <v>863</v>
      </c>
    </row>
    <row r="1057" spans="1:14" x14ac:dyDescent="0.3">
      <c r="A1057" t="s">
        <v>1433</v>
      </c>
      <c r="B1057" t="s">
        <v>671</v>
      </c>
      <c r="C1057" t="s">
        <v>807</v>
      </c>
      <c r="D1057" t="s">
        <v>820</v>
      </c>
      <c r="E1057">
        <v>15</v>
      </c>
      <c r="F1057" t="s">
        <v>827</v>
      </c>
      <c r="G1057" t="s">
        <v>862</v>
      </c>
      <c r="H1057">
        <v>2695</v>
      </c>
      <c r="I1057" t="s">
        <v>833</v>
      </c>
      <c r="J1057" t="s">
        <v>842</v>
      </c>
      <c r="K1057" s="2">
        <v>44348</v>
      </c>
      <c r="L1057">
        <v>2021</v>
      </c>
      <c r="M1057">
        <v>40425</v>
      </c>
      <c r="N1057" t="s">
        <v>863</v>
      </c>
    </row>
    <row r="1058" spans="1:14" x14ac:dyDescent="0.3">
      <c r="A1058" t="s">
        <v>1434</v>
      </c>
      <c r="B1058" t="s">
        <v>672</v>
      </c>
      <c r="C1058" t="s">
        <v>806</v>
      </c>
      <c r="D1058" t="s">
        <v>811</v>
      </c>
      <c r="E1058">
        <v>3</v>
      </c>
      <c r="F1058" t="s">
        <v>824</v>
      </c>
      <c r="G1058" t="s">
        <v>851</v>
      </c>
      <c r="H1058">
        <v>2386</v>
      </c>
      <c r="I1058" t="s">
        <v>836</v>
      </c>
      <c r="J1058" t="s">
        <v>842</v>
      </c>
      <c r="K1058" s="2">
        <v>45323</v>
      </c>
      <c r="L1058">
        <v>2024</v>
      </c>
      <c r="M1058">
        <v>7158</v>
      </c>
      <c r="N1058" t="s">
        <v>868</v>
      </c>
    </row>
    <row r="1059" spans="1:14" x14ac:dyDescent="0.3">
      <c r="A1059" t="s">
        <v>1435</v>
      </c>
      <c r="B1059" t="s">
        <v>673</v>
      </c>
      <c r="C1059" t="s">
        <v>806</v>
      </c>
      <c r="D1059" t="s">
        <v>811</v>
      </c>
      <c r="E1059">
        <v>20</v>
      </c>
      <c r="F1059" t="s">
        <v>826</v>
      </c>
      <c r="G1059" t="s">
        <v>872</v>
      </c>
      <c r="H1059">
        <v>2284</v>
      </c>
      <c r="I1059" t="s">
        <v>833</v>
      </c>
      <c r="J1059" t="s">
        <v>842</v>
      </c>
      <c r="K1059" s="2">
        <v>44409</v>
      </c>
      <c r="L1059">
        <v>2021</v>
      </c>
      <c r="M1059">
        <v>45680</v>
      </c>
      <c r="N1059" t="s">
        <v>863</v>
      </c>
    </row>
    <row r="1060" spans="1:14" x14ac:dyDescent="0.3">
      <c r="A1060" t="s">
        <v>1436</v>
      </c>
      <c r="B1060" t="s">
        <v>674</v>
      </c>
      <c r="C1060" t="s">
        <v>805</v>
      </c>
      <c r="D1060" t="s">
        <v>819</v>
      </c>
      <c r="E1060">
        <v>8</v>
      </c>
      <c r="F1060" t="s">
        <v>828</v>
      </c>
      <c r="G1060" t="s">
        <v>904</v>
      </c>
      <c r="H1060">
        <v>6034</v>
      </c>
      <c r="I1060" t="s">
        <v>834</v>
      </c>
      <c r="J1060" t="s">
        <v>841</v>
      </c>
      <c r="K1060" s="2">
        <v>44682</v>
      </c>
      <c r="L1060">
        <v>2022</v>
      </c>
      <c r="M1060">
        <v>48272</v>
      </c>
      <c r="N1060" t="s">
        <v>852</v>
      </c>
    </row>
    <row r="1061" spans="1:14" x14ac:dyDescent="0.3">
      <c r="A1061" t="s">
        <v>1436</v>
      </c>
      <c r="B1061" t="s">
        <v>674</v>
      </c>
      <c r="C1061" t="s">
        <v>807</v>
      </c>
      <c r="D1061" t="s">
        <v>820</v>
      </c>
      <c r="E1061">
        <v>13</v>
      </c>
      <c r="F1061" t="s">
        <v>828</v>
      </c>
      <c r="G1061" t="s">
        <v>904</v>
      </c>
      <c r="H1061">
        <v>8956</v>
      </c>
      <c r="I1061" t="s">
        <v>835</v>
      </c>
      <c r="J1061" t="s">
        <v>843</v>
      </c>
      <c r="K1061" s="2">
        <v>44682</v>
      </c>
      <c r="L1061">
        <v>2022</v>
      </c>
      <c r="M1061">
        <v>116428</v>
      </c>
      <c r="N1061" t="s">
        <v>857</v>
      </c>
    </row>
    <row r="1062" spans="1:14" x14ac:dyDescent="0.3">
      <c r="A1062" t="s">
        <v>1437</v>
      </c>
      <c r="B1062" t="s">
        <v>675</v>
      </c>
      <c r="C1062" t="s">
        <v>806</v>
      </c>
      <c r="D1062" t="s">
        <v>815</v>
      </c>
      <c r="E1062">
        <v>7</v>
      </c>
      <c r="F1062" t="s">
        <v>825</v>
      </c>
      <c r="G1062" t="s">
        <v>921</v>
      </c>
      <c r="H1062">
        <v>7122</v>
      </c>
      <c r="I1062" t="s">
        <v>834</v>
      </c>
      <c r="J1062" t="s">
        <v>841</v>
      </c>
      <c r="K1062" s="2">
        <v>45352</v>
      </c>
      <c r="L1062">
        <v>2024</v>
      </c>
      <c r="M1062">
        <v>49854</v>
      </c>
      <c r="N1062" t="s">
        <v>852</v>
      </c>
    </row>
    <row r="1063" spans="1:14" x14ac:dyDescent="0.3">
      <c r="A1063" t="s">
        <v>1438</v>
      </c>
      <c r="B1063" t="s">
        <v>676</v>
      </c>
      <c r="C1063" t="s">
        <v>806</v>
      </c>
      <c r="D1063" t="s">
        <v>815</v>
      </c>
      <c r="E1063">
        <v>5</v>
      </c>
      <c r="F1063" t="s">
        <v>829</v>
      </c>
      <c r="G1063" t="s">
        <v>890</v>
      </c>
      <c r="H1063">
        <v>9775</v>
      </c>
      <c r="I1063" t="s">
        <v>832</v>
      </c>
      <c r="J1063" t="s">
        <v>843</v>
      </c>
      <c r="K1063" s="2">
        <v>44013</v>
      </c>
      <c r="L1063">
        <v>2020</v>
      </c>
      <c r="M1063">
        <v>48875</v>
      </c>
      <c r="N1063" t="s">
        <v>852</v>
      </c>
    </row>
    <row r="1064" spans="1:14" x14ac:dyDescent="0.3">
      <c r="A1064" t="s">
        <v>1439</v>
      </c>
      <c r="B1064" t="s">
        <v>677</v>
      </c>
      <c r="C1064" t="s">
        <v>807</v>
      </c>
      <c r="D1064" t="s">
        <v>820</v>
      </c>
      <c r="E1064">
        <v>13</v>
      </c>
      <c r="F1064" t="s">
        <v>829</v>
      </c>
      <c r="G1064" t="s">
        <v>894</v>
      </c>
      <c r="H1064">
        <v>3309</v>
      </c>
      <c r="I1064" t="s">
        <v>834</v>
      </c>
      <c r="J1064" t="s">
        <v>842</v>
      </c>
      <c r="K1064" s="2">
        <v>44166</v>
      </c>
      <c r="L1064">
        <v>2020</v>
      </c>
      <c r="M1064">
        <v>43017</v>
      </c>
      <c r="N1064" t="s">
        <v>857</v>
      </c>
    </row>
    <row r="1065" spans="1:14" x14ac:dyDescent="0.3">
      <c r="A1065" t="s">
        <v>1175</v>
      </c>
      <c r="B1065" t="s">
        <v>678</v>
      </c>
      <c r="C1065" t="s">
        <v>805</v>
      </c>
      <c r="D1065" t="s">
        <v>809</v>
      </c>
      <c r="E1065">
        <v>14</v>
      </c>
      <c r="F1065" t="s">
        <v>825</v>
      </c>
      <c r="G1065" t="s">
        <v>870</v>
      </c>
      <c r="H1065">
        <v>4163</v>
      </c>
      <c r="I1065" t="s">
        <v>836</v>
      </c>
      <c r="J1065" t="s">
        <v>844</v>
      </c>
      <c r="K1065" s="2">
        <v>44774</v>
      </c>
      <c r="L1065">
        <v>2022</v>
      </c>
      <c r="M1065">
        <v>58282</v>
      </c>
      <c r="N1065" t="s">
        <v>857</v>
      </c>
    </row>
    <row r="1066" spans="1:14" x14ac:dyDescent="0.3">
      <c r="A1066" t="s">
        <v>1440</v>
      </c>
      <c r="B1066" t="s">
        <v>679</v>
      </c>
      <c r="C1066" t="s">
        <v>805</v>
      </c>
      <c r="D1066" t="s">
        <v>809</v>
      </c>
      <c r="E1066">
        <v>14</v>
      </c>
      <c r="F1066" t="s">
        <v>829</v>
      </c>
      <c r="G1066" t="s">
        <v>894</v>
      </c>
      <c r="H1066">
        <v>4163</v>
      </c>
      <c r="I1066" t="s">
        <v>836</v>
      </c>
      <c r="J1066" t="s">
        <v>844</v>
      </c>
      <c r="K1066" s="2">
        <v>45689</v>
      </c>
      <c r="L1066">
        <v>2025</v>
      </c>
      <c r="M1066">
        <v>58282</v>
      </c>
      <c r="N1066" t="s">
        <v>857</v>
      </c>
    </row>
    <row r="1067" spans="1:14" x14ac:dyDescent="0.3">
      <c r="A1067" t="s">
        <v>1441</v>
      </c>
      <c r="B1067" t="s">
        <v>680</v>
      </c>
      <c r="C1067" t="s">
        <v>805</v>
      </c>
      <c r="D1067" t="s">
        <v>809</v>
      </c>
      <c r="E1067">
        <v>14</v>
      </c>
      <c r="F1067" t="s">
        <v>824</v>
      </c>
      <c r="G1067" t="s">
        <v>859</v>
      </c>
      <c r="H1067">
        <v>4163</v>
      </c>
      <c r="I1067" t="s">
        <v>836</v>
      </c>
      <c r="J1067" t="s">
        <v>844</v>
      </c>
      <c r="K1067" s="2">
        <v>44348</v>
      </c>
      <c r="L1067">
        <v>2021</v>
      </c>
      <c r="M1067">
        <v>58282</v>
      </c>
      <c r="N1067" t="s">
        <v>857</v>
      </c>
    </row>
    <row r="1068" spans="1:14" x14ac:dyDescent="0.3">
      <c r="A1068" t="s">
        <v>1442</v>
      </c>
      <c r="B1068" t="s">
        <v>681</v>
      </c>
      <c r="C1068" t="s">
        <v>807</v>
      </c>
      <c r="D1068" t="s">
        <v>816</v>
      </c>
      <c r="E1068">
        <v>7</v>
      </c>
      <c r="F1068" t="s">
        <v>828</v>
      </c>
      <c r="G1068" t="s">
        <v>904</v>
      </c>
      <c r="H1068">
        <v>5518</v>
      </c>
      <c r="I1068" t="s">
        <v>832</v>
      </c>
      <c r="J1068" t="s">
        <v>844</v>
      </c>
      <c r="K1068" s="2">
        <v>44896</v>
      </c>
      <c r="L1068">
        <v>2022</v>
      </c>
      <c r="M1068">
        <v>38626</v>
      </c>
      <c r="N1068" t="s">
        <v>852</v>
      </c>
    </row>
    <row r="1069" spans="1:14" x14ac:dyDescent="0.3">
      <c r="A1069" t="s">
        <v>1443</v>
      </c>
      <c r="B1069" t="s">
        <v>682</v>
      </c>
      <c r="C1069" t="s">
        <v>805</v>
      </c>
      <c r="D1069" t="s">
        <v>819</v>
      </c>
      <c r="E1069">
        <v>6</v>
      </c>
      <c r="F1069" t="s">
        <v>829</v>
      </c>
      <c r="G1069" t="s">
        <v>886</v>
      </c>
      <c r="H1069">
        <v>7566</v>
      </c>
      <c r="I1069" t="s">
        <v>833</v>
      </c>
      <c r="J1069" t="s">
        <v>841</v>
      </c>
      <c r="K1069" s="2">
        <v>45658</v>
      </c>
      <c r="L1069">
        <v>2025</v>
      </c>
      <c r="M1069">
        <v>45396</v>
      </c>
      <c r="N1069" t="s">
        <v>852</v>
      </c>
    </row>
    <row r="1070" spans="1:14" x14ac:dyDescent="0.3">
      <c r="A1070" t="s">
        <v>1444</v>
      </c>
      <c r="B1070" t="s">
        <v>683</v>
      </c>
      <c r="C1070" t="s">
        <v>805</v>
      </c>
      <c r="D1070" t="s">
        <v>819</v>
      </c>
      <c r="E1070">
        <v>6</v>
      </c>
      <c r="F1070" t="s">
        <v>827</v>
      </c>
      <c r="G1070" t="s">
        <v>876</v>
      </c>
      <c r="H1070">
        <v>7566</v>
      </c>
      <c r="I1070" t="s">
        <v>833</v>
      </c>
      <c r="J1070" t="s">
        <v>841</v>
      </c>
      <c r="K1070" s="2">
        <v>45689</v>
      </c>
      <c r="L1070">
        <v>2025</v>
      </c>
      <c r="M1070">
        <v>45396</v>
      </c>
      <c r="N1070" t="s">
        <v>852</v>
      </c>
    </row>
    <row r="1071" spans="1:14" x14ac:dyDescent="0.3">
      <c r="A1071" t="s">
        <v>1445</v>
      </c>
      <c r="B1071" t="s">
        <v>684</v>
      </c>
      <c r="C1071" t="s">
        <v>805</v>
      </c>
      <c r="D1071" t="s">
        <v>810</v>
      </c>
      <c r="E1071">
        <v>11</v>
      </c>
      <c r="F1071" t="s">
        <v>825</v>
      </c>
      <c r="G1071" t="s">
        <v>870</v>
      </c>
      <c r="H1071">
        <v>762</v>
      </c>
      <c r="I1071" t="s">
        <v>836</v>
      </c>
      <c r="J1071" t="s">
        <v>840</v>
      </c>
      <c r="K1071" s="2">
        <v>44927</v>
      </c>
      <c r="L1071">
        <v>2023</v>
      </c>
      <c r="M1071">
        <v>8382</v>
      </c>
      <c r="N1071" t="s">
        <v>857</v>
      </c>
    </row>
    <row r="1072" spans="1:14" x14ac:dyDescent="0.3">
      <c r="A1072" t="s">
        <v>1446</v>
      </c>
      <c r="B1072" t="s">
        <v>685</v>
      </c>
      <c r="C1072" t="s">
        <v>805</v>
      </c>
      <c r="D1072" t="s">
        <v>812</v>
      </c>
      <c r="E1072">
        <v>6</v>
      </c>
      <c r="F1072" t="s">
        <v>829</v>
      </c>
      <c r="G1072" t="s">
        <v>890</v>
      </c>
      <c r="H1072">
        <v>3316</v>
      </c>
      <c r="I1072" t="s">
        <v>836</v>
      </c>
      <c r="J1072" t="s">
        <v>842</v>
      </c>
      <c r="K1072" s="2">
        <v>44105</v>
      </c>
      <c r="L1072">
        <v>2020</v>
      </c>
      <c r="M1072">
        <v>19896</v>
      </c>
      <c r="N1072" t="s">
        <v>852</v>
      </c>
    </row>
    <row r="1073" spans="1:14" x14ac:dyDescent="0.3">
      <c r="A1073" t="s">
        <v>1121</v>
      </c>
      <c r="B1073" t="s">
        <v>686</v>
      </c>
      <c r="C1073" t="s">
        <v>807</v>
      </c>
      <c r="D1073" t="s">
        <v>820</v>
      </c>
      <c r="E1073">
        <v>9</v>
      </c>
      <c r="F1073" t="s">
        <v>827</v>
      </c>
      <c r="G1073" t="s">
        <v>883</v>
      </c>
      <c r="H1073">
        <v>5994</v>
      </c>
      <c r="I1073" t="s">
        <v>834</v>
      </c>
      <c r="J1073" t="s">
        <v>844</v>
      </c>
      <c r="K1073" s="2">
        <v>45047</v>
      </c>
      <c r="L1073">
        <v>2023</v>
      </c>
      <c r="M1073">
        <v>53946</v>
      </c>
      <c r="N1073" t="s">
        <v>852</v>
      </c>
    </row>
    <row r="1074" spans="1:14" x14ac:dyDescent="0.3">
      <c r="A1074" t="s">
        <v>1447</v>
      </c>
      <c r="B1074" t="s">
        <v>687</v>
      </c>
      <c r="C1074" t="s">
        <v>807</v>
      </c>
      <c r="D1074" t="s">
        <v>820</v>
      </c>
      <c r="E1074">
        <v>9</v>
      </c>
      <c r="F1074" t="s">
        <v>827</v>
      </c>
      <c r="G1074" t="s">
        <v>862</v>
      </c>
      <c r="H1074">
        <v>5994</v>
      </c>
      <c r="I1074" t="s">
        <v>834</v>
      </c>
      <c r="J1074" t="s">
        <v>844</v>
      </c>
      <c r="K1074" s="2">
        <v>45352</v>
      </c>
      <c r="L1074">
        <v>2024</v>
      </c>
      <c r="M1074">
        <v>53946</v>
      </c>
      <c r="N1074" t="s">
        <v>852</v>
      </c>
    </row>
    <row r="1075" spans="1:14" x14ac:dyDescent="0.3">
      <c r="A1075" t="s">
        <v>1019</v>
      </c>
      <c r="B1075" t="s">
        <v>688</v>
      </c>
      <c r="C1075" t="s">
        <v>807</v>
      </c>
      <c r="D1075" t="s">
        <v>820</v>
      </c>
      <c r="E1075">
        <v>9</v>
      </c>
      <c r="F1075" t="s">
        <v>826</v>
      </c>
      <c r="G1075" t="s">
        <v>865</v>
      </c>
      <c r="H1075">
        <v>5994</v>
      </c>
      <c r="I1075" t="s">
        <v>834</v>
      </c>
      <c r="J1075" t="s">
        <v>844</v>
      </c>
      <c r="K1075" s="2">
        <v>45352</v>
      </c>
      <c r="L1075">
        <v>2024</v>
      </c>
      <c r="M1075">
        <v>53946</v>
      </c>
      <c r="N1075" t="s">
        <v>852</v>
      </c>
    </row>
    <row r="1076" spans="1:14" x14ac:dyDescent="0.3">
      <c r="A1076" t="s">
        <v>1448</v>
      </c>
      <c r="B1076" t="s">
        <v>689</v>
      </c>
      <c r="C1076" t="s">
        <v>805</v>
      </c>
      <c r="D1076" t="s">
        <v>812</v>
      </c>
      <c r="E1076">
        <v>19</v>
      </c>
      <c r="F1076" t="s">
        <v>829</v>
      </c>
      <c r="G1076" t="s">
        <v>886</v>
      </c>
      <c r="H1076">
        <v>3854</v>
      </c>
      <c r="I1076" t="s">
        <v>836</v>
      </c>
      <c r="J1076" t="s">
        <v>842</v>
      </c>
      <c r="K1076" s="2">
        <v>44682</v>
      </c>
      <c r="L1076">
        <v>2022</v>
      </c>
      <c r="M1076">
        <v>73226</v>
      </c>
      <c r="N1076" t="s">
        <v>863</v>
      </c>
    </row>
    <row r="1077" spans="1:14" x14ac:dyDescent="0.3">
      <c r="A1077" t="s">
        <v>979</v>
      </c>
      <c r="B1077" t="s">
        <v>690</v>
      </c>
      <c r="C1077" t="s">
        <v>806</v>
      </c>
      <c r="D1077" t="s">
        <v>815</v>
      </c>
      <c r="E1077">
        <v>15</v>
      </c>
      <c r="F1077" t="s">
        <v>824</v>
      </c>
      <c r="G1077" t="s">
        <v>851</v>
      </c>
      <c r="H1077">
        <v>7019</v>
      </c>
      <c r="I1077" t="s">
        <v>832</v>
      </c>
      <c r="J1077" t="s">
        <v>841</v>
      </c>
      <c r="K1077" s="2">
        <v>44166</v>
      </c>
      <c r="L1077">
        <v>2020</v>
      </c>
      <c r="M1077">
        <v>105285</v>
      </c>
      <c r="N1077" t="s">
        <v>863</v>
      </c>
    </row>
    <row r="1078" spans="1:14" x14ac:dyDescent="0.3">
      <c r="A1078" t="s">
        <v>1449</v>
      </c>
      <c r="B1078" t="s">
        <v>691</v>
      </c>
      <c r="C1078" t="s">
        <v>805</v>
      </c>
      <c r="D1078" t="s">
        <v>812</v>
      </c>
      <c r="E1078">
        <v>14</v>
      </c>
      <c r="F1078" t="s">
        <v>826</v>
      </c>
      <c r="G1078" t="s">
        <v>865</v>
      </c>
      <c r="H1078">
        <v>5954</v>
      </c>
      <c r="I1078" t="s">
        <v>835</v>
      </c>
      <c r="J1078" t="s">
        <v>844</v>
      </c>
      <c r="K1078" s="2">
        <v>44409</v>
      </c>
      <c r="L1078">
        <v>2021</v>
      </c>
      <c r="M1078">
        <v>83356</v>
      </c>
      <c r="N1078" t="s">
        <v>857</v>
      </c>
    </row>
    <row r="1079" spans="1:14" x14ac:dyDescent="0.3">
      <c r="A1079" t="s">
        <v>1274</v>
      </c>
      <c r="B1079" t="s">
        <v>692</v>
      </c>
      <c r="C1079" t="s">
        <v>805</v>
      </c>
      <c r="D1079" t="s">
        <v>812</v>
      </c>
      <c r="E1079">
        <v>14</v>
      </c>
      <c r="F1079" t="s">
        <v>828</v>
      </c>
      <c r="G1079" t="s">
        <v>874</v>
      </c>
      <c r="H1079">
        <v>5954</v>
      </c>
      <c r="I1079" t="s">
        <v>835</v>
      </c>
      <c r="J1079" t="s">
        <v>844</v>
      </c>
      <c r="K1079" s="2">
        <v>44835</v>
      </c>
      <c r="L1079">
        <v>2022</v>
      </c>
      <c r="M1079">
        <v>83356</v>
      </c>
      <c r="N1079" t="s">
        <v>857</v>
      </c>
    </row>
    <row r="1080" spans="1:14" x14ac:dyDescent="0.3">
      <c r="A1080" t="s">
        <v>1450</v>
      </c>
      <c r="B1080" t="s">
        <v>693</v>
      </c>
      <c r="C1080" t="s">
        <v>807</v>
      </c>
      <c r="D1080" t="s">
        <v>820</v>
      </c>
      <c r="E1080">
        <v>5</v>
      </c>
      <c r="F1080" t="s">
        <v>826</v>
      </c>
      <c r="G1080" t="s">
        <v>872</v>
      </c>
      <c r="H1080">
        <v>9752</v>
      </c>
      <c r="I1080" t="s">
        <v>833</v>
      </c>
      <c r="J1080" t="s">
        <v>843</v>
      </c>
      <c r="K1080" s="2">
        <v>45323</v>
      </c>
      <c r="L1080">
        <v>2024</v>
      </c>
      <c r="M1080">
        <v>48760</v>
      </c>
      <c r="N1080" t="s">
        <v>852</v>
      </c>
    </row>
    <row r="1081" spans="1:14" x14ac:dyDescent="0.3">
      <c r="A1081" t="s">
        <v>1155</v>
      </c>
      <c r="B1081" t="s">
        <v>694</v>
      </c>
      <c r="C1081" t="s">
        <v>807</v>
      </c>
      <c r="D1081" t="s">
        <v>820</v>
      </c>
      <c r="E1081">
        <v>5</v>
      </c>
      <c r="F1081" t="s">
        <v>825</v>
      </c>
      <c r="G1081" t="s">
        <v>921</v>
      </c>
      <c r="H1081">
        <v>9752</v>
      </c>
      <c r="I1081" t="s">
        <v>833</v>
      </c>
      <c r="J1081" t="s">
        <v>843</v>
      </c>
      <c r="K1081" s="2">
        <v>44835</v>
      </c>
      <c r="L1081">
        <v>2022</v>
      </c>
      <c r="M1081">
        <v>48760</v>
      </c>
      <c r="N1081" t="s">
        <v>852</v>
      </c>
    </row>
    <row r="1082" spans="1:14" x14ac:dyDescent="0.3">
      <c r="A1082" t="s">
        <v>1451</v>
      </c>
      <c r="B1082" t="s">
        <v>695</v>
      </c>
      <c r="C1082" t="s">
        <v>805</v>
      </c>
      <c r="D1082" t="s">
        <v>809</v>
      </c>
      <c r="E1082">
        <v>15</v>
      </c>
      <c r="F1082" t="s">
        <v>826</v>
      </c>
      <c r="G1082" t="s">
        <v>865</v>
      </c>
      <c r="H1082">
        <v>5335</v>
      </c>
      <c r="I1082" t="s">
        <v>836</v>
      </c>
      <c r="J1082" t="s">
        <v>844</v>
      </c>
      <c r="K1082" s="2">
        <v>44682</v>
      </c>
      <c r="L1082">
        <v>2022</v>
      </c>
      <c r="M1082">
        <v>80025</v>
      </c>
      <c r="N1082" t="s">
        <v>863</v>
      </c>
    </row>
    <row r="1083" spans="1:14" x14ac:dyDescent="0.3">
      <c r="A1083" t="s">
        <v>1452</v>
      </c>
      <c r="B1083" t="s">
        <v>696</v>
      </c>
      <c r="C1083" t="s">
        <v>805</v>
      </c>
      <c r="D1083" t="s">
        <v>809</v>
      </c>
      <c r="E1083">
        <v>20</v>
      </c>
      <c r="F1083" t="s">
        <v>826</v>
      </c>
      <c r="G1083" t="s">
        <v>872</v>
      </c>
      <c r="H1083">
        <v>1454</v>
      </c>
      <c r="I1083" t="s">
        <v>835</v>
      </c>
      <c r="J1083" t="s">
        <v>840</v>
      </c>
      <c r="K1083" s="2">
        <v>44743</v>
      </c>
      <c r="L1083">
        <v>2022</v>
      </c>
      <c r="M1083">
        <v>29080</v>
      </c>
      <c r="N1083" t="s">
        <v>863</v>
      </c>
    </row>
    <row r="1084" spans="1:14" x14ac:dyDescent="0.3">
      <c r="A1084" t="s">
        <v>1453</v>
      </c>
      <c r="B1084" t="s">
        <v>697</v>
      </c>
      <c r="C1084" t="s">
        <v>807</v>
      </c>
      <c r="D1084" t="s">
        <v>820</v>
      </c>
      <c r="E1084">
        <v>19</v>
      </c>
      <c r="F1084" t="s">
        <v>827</v>
      </c>
      <c r="G1084" t="s">
        <v>883</v>
      </c>
      <c r="H1084">
        <v>6724</v>
      </c>
      <c r="I1084" t="s">
        <v>836</v>
      </c>
      <c r="J1084" t="s">
        <v>841</v>
      </c>
      <c r="K1084" s="2">
        <v>44531</v>
      </c>
      <c r="L1084">
        <v>2021</v>
      </c>
      <c r="M1084">
        <v>127756</v>
      </c>
      <c r="N1084" t="s">
        <v>863</v>
      </c>
    </row>
    <row r="1085" spans="1:14" x14ac:dyDescent="0.3">
      <c r="A1085" t="s">
        <v>1454</v>
      </c>
      <c r="B1085" t="s">
        <v>698</v>
      </c>
      <c r="C1085" t="s">
        <v>807</v>
      </c>
      <c r="D1085" t="s">
        <v>820</v>
      </c>
      <c r="E1085">
        <v>19</v>
      </c>
      <c r="F1085" t="s">
        <v>828</v>
      </c>
      <c r="G1085" t="s">
        <v>874</v>
      </c>
      <c r="H1085">
        <v>6724</v>
      </c>
      <c r="I1085" t="s">
        <v>836</v>
      </c>
      <c r="J1085" t="s">
        <v>841</v>
      </c>
      <c r="K1085" s="2">
        <v>44348</v>
      </c>
      <c r="L1085">
        <v>2021</v>
      </c>
      <c r="M1085">
        <v>127756</v>
      </c>
      <c r="N1085" t="s">
        <v>863</v>
      </c>
    </row>
    <row r="1086" spans="1:14" x14ac:dyDescent="0.3">
      <c r="A1086" t="s">
        <v>1276</v>
      </c>
      <c r="B1086" t="s">
        <v>699</v>
      </c>
      <c r="C1086" t="s">
        <v>806</v>
      </c>
      <c r="D1086" t="s">
        <v>818</v>
      </c>
      <c r="E1086">
        <v>4</v>
      </c>
      <c r="F1086" t="s">
        <v>829</v>
      </c>
      <c r="G1086" t="s">
        <v>894</v>
      </c>
      <c r="H1086">
        <v>9874</v>
      </c>
      <c r="I1086" t="s">
        <v>834</v>
      </c>
      <c r="J1086" t="s">
        <v>843</v>
      </c>
      <c r="K1086" s="2">
        <v>45689</v>
      </c>
      <c r="L1086">
        <v>2025</v>
      </c>
      <c r="M1086">
        <v>39496</v>
      </c>
      <c r="N1086" t="s">
        <v>868</v>
      </c>
    </row>
    <row r="1087" spans="1:14" x14ac:dyDescent="0.3">
      <c r="A1087" t="s">
        <v>1455</v>
      </c>
      <c r="B1087" t="s">
        <v>700</v>
      </c>
      <c r="C1087" t="s">
        <v>805</v>
      </c>
      <c r="D1087" t="s">
        <v>819</v>
      </c>
      <c r="E1087">
        <v>7</v>
      </c>
      <c r="F1087" t="s">
        <v>824</v>
      </c>
      <c r="G1087" t="s">
        <v>910</v>
      </c>
      <c r="H1087">
        <v>4918</v>
      </c>
      <c r="I1087" t="s">
        <v>832</v>
      </c>
      <c r="J1087" t="s">
        <v>844</v>
      </c>
      <c r="K1087" s="2">
        <v>44958</v>
      </c>
      <c r="L1087">
        <v>2023</v>
      </c>
      <c r="M1087">
        <v>34426</v>
      </c>
      <c r="N1087" t="s">
        <v>852</v>
      </c>
    </row>
    <row r="1088" spans="1:14" x14ac:dyDescent="0.3">
      <c r="A1088" t="s">
        <v>1040</v>
      </c>
      <c r="B1088" t="s">
        <v>701</v>
      </c>
      <c r="C1088" t="s">
        <v>806</v>
      </c>
      <c r="D1088" t="s">
        <v>817</v>
      </c>
      <c r="E1088">
        <v>19</v>
      </c>
      <c r="F1088" t="s">
        <v>826</v>
      </c>
      <c r="G1088" t="s">
        <v>865</v>
      </c>
      <c r="H1088">
        <v>3189</v>
      </c>
      <c r="I1088" t="s">
        <v>835</v>
      </c>
      <c r="J1088" t="s">
        <v>842</v>
      </c>
      <c r="K1088" s="2">
        <v>44531</v>
      </c>
      <c r="L1088">
        <v>2021</v>
      </c>
      <c r="M1088">
        <v>60591</v>
      </c>
      <c r="N1088" t="s">
        <v>863</v>
      </c>
    </row>
    <row r="1089" spans="1:14" x14ac:dyDescent="0.3">
      <c r="A1089" t="s">
        <v>1080</v>
      </c>
      <c r="B1089" t="s">
        <v>702</v>
      </c>
      <c r="C1089" t="s">
        <v>805</v>
      </c>
      <c r="D1089" t="s">
        <v>809</v>
      </c>
      <c r="E1089">
        <v>2</v>
      </c>
      <c r="F1089" t="s">
        <v>826</v>
      </c>
      <c r="G1089" t="s">
        <v>865</v>
      </c>
      <c r="H1089">
        <v>2684</v>
      </c>
      <c r="I1089" t="s">
        <v>832</v>
      </c>
      <c r="J1089" t="s">
        <v>842</v>
      </c>
      <c r="K1089" s="2">
        <v>45444</v>
      </c>
      <c r="L1089">
        <v>2024</v>
      </c>
      <c r="M1089">
        <v>5368</v>
      </c>
      <c r="N1089" t="s">
        <v>868</v>
      </c>
    </row>
    <row r="1090" spans="1:14" x14ac:dyDescent="0.3">
      <c r="A1090" t="s">
        <v>1456</v>
      </c>
      <c r="B1090" t="s">
        <v>703</v>
      </c>
      <c r="C1090" t="s">
        <v>805</v>
      </c>
      <c r="D1090" t="s">
        <v>809</v>
      </c>
      <c r="E1090">
        <v>2</v>
      </c>
      <c r="F1090" t="s">
        <v>826</v>
      </c>
      <c r="G1090" t="s">
        <v>856</v>
      </c>
      <c r="H1090">
        <v>2684</v>
      </c>
      <c r="I1090" t="s">
        <v>832</v>
      </c>
      <c r="J1090" t="s">
        <v>842</v>
      </c>
      <c r="K1090" s="2">
        <v>44713</v>
      </c>
      <c r="L1090">
        <v>2022</v>
      </c>
      <c r="M1090">
        <v>5368</v>
      </c>
      <c r="N1090" t="s">
        <v>868</v>
      </c>
    </row>
    <row r="1091" spans="1:14" x14ac:dyDescent="0.3">
      <c r="A1091" t="s">
        <v>1457</v>
      </c>
      <c r="B1091" t="s">
        <v>704</v>
      </c>
      <c r="C1091" t="s">
        <v>805</v>
      </c>
      <c r="D1091" t="s">
        <v>809</v>
      </c>
      <c r="E1091">
        <v>2</v>
      </c>
      <c r="F1091" t="s">
        <v>828</v>
      </c>
      <c r="G1091" t="s">
        <v>874</v>
      </c>
      <c r="H1091">
        <v>2684</v>
      </c>
      <c r="I1091" t="s">
        <v>832</v>
      </c>
      <c r="J1091" t="s">
        <v>842</v>
      </c>
      <c r="K1091" s="2">
        <v>43952</v>
      </c>
      <c r="L1091">
        <v>2020</v>
      </c>
      <c r="M1091">
        <v>5368</v>
      </c>
      <c r="N1091" t="s">
        <v>868</v>
      </c>
    </row>
    <row r="1092" spans="1:14" x14ac:dyDescent="0.3">
      <c r="A1092" t="s">
        <v>1222</v>
      </c>
      <c r="B1092" t="s">
        <v>705</v>
      </c>
      <c r="C1092" t="s">
        <v>806</v>
      </c>
      <c r="D1092" t="s">
        <v>811</v>
      </c>
      <c r="E1092">
        <v>5</v>
      </c>
      <c r="F1092" t="s">
        <v>825</v>
      </c>
      <c r="G1092" t="s">
        <v>870</v>
      </c>
      <c r="H1092">
        <v>7626</v>
      </c>
      <c r="I1092" t="s">
        <v>834</v>
      </c>
      <c r="J1092" t="s">
        <v>841</v>
      </c>
      <c r="K1092" s="2">
        <v>45323</v>
      </c>
      <c r="L1092">
        <v>2024</v>
      </c>
      <c r="M1092">
        <v>38130</v>
      </c>
      <c r="N1092" t="s">
        <v>852</v>
      </c>
    </row>
    <row r="1093" spans="1:14" x14ac:dyDescent="0.3">
      <c r="A1093" t="s">
        <v>1458</v>
      </c>
      <c r="B1093" t="s">
        <v>706</v>
      </c>
      <c r="C1093" t="s">
        <v>806</v>
      </c>
      <c r="D1093" t="s">
        <v>811</v>
      </c>
      <c r="E1093">
        <v>5</v>
      </c>
      <c r="F1093" t="s">
        <v>829</v>
      </c>
      <c r="G1093" t="s">
        <v>886</v>
      </c>
      <c r="H1093">
        <v>7626</v>
      </c>
      <c r="I1093" t="s">
        <v>834</v>
      </c>
      <c r="J1093" t="s">
        <v>841</v>
      </c>
      <c r="K1093" s="2">
        <v>44136</v>
      </c>
      <c r="L1093">
        <v>2020</v>
      </c>
      <c r="M1093">
        <v>38130</v>
      </c>
      <c r="N1093" t="s">
        <v>852</v>
      </c>
    </row>
    <row r="1094" spans="1:14" x14ac:dyDescent="0.3">
      <c r="A1094" t="s">
        <v>1459</v>
      </c>
      <c r="B1094" t="s">
        <v>707</v>
      </c>
      <c r="C1094" t="s">
        <v>805</v>
      </c>
      <c r="D1094" t="s">
        <v>810</v>
      </c>
      <c r="E1094">
        <v>19</v>
      </c>
      <c r="F1094" t="s">
        <v>829</v>
      </c>
      <c r="G1094" t="s">
        <v>890</v>
      </c>
      <c r="H1094">
        <v>6669</v>
      </c>
      <c r="I1094" t="s">
        <v>832</v>
      </c>
      <c r="J1094" t="s">
        <v>841</v>
      </c>
      <c r="K1094" s="2">
        <v>45139</v>
      </c>
      <c r="L1094">
        <v>2023</v>
      </c>
      <c r="M1094">
        <v>126711</v>
      </c>
      <c r="N1094" t="s">
        <v>863</v>
      </c>
    </row>
    <row r="1095" spans="1:14" x14ac:dyDescent="0.3">
      <c r="A1095" t="s">
        <v>984</v>
      </c>
      <c r="B1095" t="s">
        <v>708</v>
      </c>
      <c r="C1095" t="s">
        <v>806</v>
      </c>
      <c r="D1095" t="s">
        <v>815</v>
      </c>
      <c r="E1095">
        <v>3</v>
      </c>
      <c r="F1095" t="s">
        <v>829</v>
      </c>
      <c r="G1095" t="s">
        <v>890</v>
      </c>
      <c r="H1095">
        <v>6123</v>
      </c>
      <c r="I1095" t="s">
        <v>835</v>
      </c>
      <c r="J1095" t="s">
        <v>841</v>
      </c>
      <c r="K1095" s="2">
        <v>44682</v>
      </c>
      <c r="L1095">
        <v>2022</v>
      </c>
      <c r="M1095">
        <v>18369</v>
      </c>
      <c r="N1095" t="s">
        <v>868</v>
      </c>
    </row>
    <row r="1096" spans="1:14" x14ac:dyDescent="0.3">
      <c r="A1096" t="s">
        <v>1460</v>
      </c>
      <c r="B1096" t="s">
        <v>709</v>
      </c>
      <c r="C1096" t="s">
        <v>806</v>
      </c>
      <c r="D1096" t="s">
        <v>817</v>
      </c>
      <c r="E1096">
        <v>16</v>
      </c>
      <c r="F1096" t="s">
        <v>827</v>
      </c>
      <c r="G1096" t="s">
        <v>862</v>
      </c>
      <c r="H1096">
        <v>3265</v>
      </c>
      <c r="I1096" t="s">
        <v>835</v>
      </c>
      <c r="J1096" t="s">
        <v>842</v>
      </c>
      <c r="K1096" s="2">
        <v>45292</v>
      </c>
      <c r="L1096">
        <v>2024</v>
      </c>
      <c r="M1096">
        <v>52240</v>
      </c>
      <c r="N1096" t="s">
        <v>863</v>
      </c>
    </row>
    <row r="1097" spans="1:14" x14ac:dyDescent="0.3">
      <c r="A1097" t="s">
        <v>1461</v>
      </c>
      <c r="B1097" t="s">
        <v>710</v>
      </c>
      <c r="C1097" t="s">
        <v>806</v>
      </c>
      <c r="D1097" t="s">
        <v>815</v>
      </c>
      <c r="E1097">
        <v>6</v>
      </c>
      <c r="F1097" t="s">
        <v>824</v>
      </c>
      <c r="G1097" t="s">
        <v>859</v>
      </c>
      <c r="H1097">
        <v>8104</v>
      </c>
      <c r="I1097" t="s">
        <v>836</v>
      </c>
      <c r="J1097" t="s">
        <v>843</v>
      </c>
      <c r="K1097" s="2">
        <v>44501</v>
      </c>
      <c r="L1097">
        <v>2021</v>
      </c>
      <c r="M1097">
        <v>48624</v>
      </c>
      <c r="N1097" t="s">
        <v>852</v>
      </c>
    </row>
    <row r="1098" spans="1:14" x14ac:dyDescent="0.3">
      <c r="A1098" t="s">
        <v>1462</v>
      </c>
      <c r="B1098" t="s">
        <v>711</v>
      </c>
      <c r="C1098" t="s">
        <v>806</v>
      </c>
      <c r="D1098" t="s">
        <v>815</v>
      </c>
      <c r="E1098">
        <v>6</v>
      </c>
      <c r="F1098" t="s">
        <v>824</v>
      </c>
      <c r="G1098" t="s">
        <v>851</v>
      </c>
      <c r="H1098">
        <v>8104</v>
      </c>
      <c r="I1098" t="s">
        <v>836</v>
      </c>
      <c r="J1098" t="s">
        <v>843</v>
      </c>
      <c r="K1098" s="2">
        <v>44470</v>
      </c>
      <c r="L1098">
        <v>2021</v>
      </c>
      <c r="M1098">
        <v>48624</v>
      </c>
      <c r="N1098" t="s">
        <v>852</v>
      </c>
    </row>
    <row r="1099" spans="1:14" x14ac:dyDescent="0.3">
      <c r="A1099" t="s">
        <v>1202</v>
      </c>
      <c r="B1099" t="s">
        <v>712</v>
      </c>
      <c r="C1099" t="s">
        <v>806</v>
      </c>
      <c r="D1099" t="s">
        <v>815</v>
      </c>
      <c r="E1099">
        <v>6</v>
      </c>
      <c r="F1099" t="s">
        <v>827</v>
      </c>
      <c r="G1099" t="s">
        <v>883</v>
      </c>
      <c r="H1099">
        <v>8104</v>
      </c>
      <c r="I1099" t="s">
        <v>836</v>
      </c>
      <c r="J1099" t="s">
        <v>843</v>
      </c>
      <c r="K1099" s="2">
        <v>45658</v>
      </c>
      <c r="L1099">
        <v>2025</v>
      </c>
      <c r="M1099">
        <v>48624</v>
      </c>
      <c r="N1099" t="s">
        <v>852</v>
      </c>
    </row>
    <row r="1100" spans="1:14" x14ac:dyDescent="0.3">
      <c r="A1100" t="s">
        <v>1463</v>
      </c>
      <c r="B1100" t="s">
        <v>713</v>
      </c>
      <c r="C1100" t="s">
        <v>807</v>
      </c>
      <c r="D1100" t="s">
        <v>813</v>
      </c>
      <c r="E1100">
        <v>17</v>
      </c>
      <c r="F1100" t="s">
        <v>826</v>
      </c>
      <c r="G1100" t="s">
        <v>856</v>
      </c>
      <c r="H1100">
        <v>847</v>
      </c>
      <c r="I1100" t="s">
        <v>836</v>
      </c>
      <c r="J1100" t="s">
        <v>840</v>
      </c>
      <c r="K1100" s="2">
        <v>44682</v>
      </c>
      <c r="L1100">
        <v>2022</v>
      </c>
      <c r="M1100">
        <v>14399</v>
      </c>
      <c r="N1100" t="s">
        <v>863</v>
      </c>
    </row>
    <row r="1101" spans="1:14" x14ac:dyDescent="0.3">
      <c r="A1101" t="s">
        <v>1266</v>
      </c>
      <c r="B1101" t="s">
        <v>714</v>
      </c>
      <c r="C1101" t="s">
        <v>807</v>
      </c>
      <c r="D1101" t="s">
        <v>813</v>
      </c>
      <c r="E1101">
        <v>17</v>
      </c>
      <c r="F1101" t="s">
        <v>828</v>
      </c>
      <c r="G1101" t="s">
        <v>880</v>
      </c>
      <c r="H1101">
        <v>847</v>
      </c>
      <c r="I1101" t="s">
        <v>836</v>
      </c>
      <c r="J1101" t="s">
        <v>840</v>
      </c>
      <c r="K1101" s="2">
        <v>45231</v>
      </c>
      <c r="L1101">
        <v>2023</v>
      </c>
      <c r="M1101">
        <v>14399</v>
      </c>
      <c r="N1101" t="s">
        <v>863</v>
      </c>
    </row>
    <row r="1102" spans="1:14" x14ac:dyDescent="0.3">
      <c r="A1102" t="s">
        <v>1335</v>
      </c>
      <c r="B1102" t="s">
        <v>715</v>
      </c>
      <c r="C1102" t="s">
        <v>807</v>
      </c>
      <c r="D1102" t="s">
        <v>813</v>
      </c>
      <c r="E1102">
        <v>17</v>
      </c>
      <c r="F1102" t="s">
        <v>827</v>
      </c>
      <c r="G1102" t="s">
        <v>883</v>
      </c>
      <c r="H1102">
        <v>847</v>
      </c>
      <c r="I1102" t="s">
        <v>836</v>
      </c>
      <c r="J1102" t="s">
        <v>840</v>
      </c>
      <c r="K1102" s="2">
        <v>44927</v>
      </c>
      <c r="L1102">
        <v>2023</v>
      </c>
      <c r="M1102">
        <v>14399</v>
      </c>
      <c r="N1102" t="s">
        <v>863</v>
      </c>
    </row>
    <row r="1103" spans="1:14" x14ac:dyDescent="0.3">
      <c r="A1103" t="s">
        <v>1378</v>
      </c>
      <c r="B1103" t="s">
        <v>716</v>
      </c>
      <c r="C1103" t="s">
        <v>807</v>
      </c>
      <c r="D1103" t="s">
        <v>820</v>
      </c>
      <c r="E1103">
        <v>9</v>
      </c>
      <c r="F1103" t="s">
        <v>825</v>
      </c>
      <c r="G1103" t="s">
        <v>921</v>
      </c>
      <c r="H1103">
        <v>3129</v>
      </c>
      <c r="I1103" t="s">
        <v>833</v>
      </c>
      <c r="J1103" t="s">
        <v>842</v>
      </c>
      <c r="K1103" s="2">
        <v>44440</v>
      </c>
      <c r="L1103">
        <v>2021</v>
      </c>
      <c r="M1103">
        <v>28161</v>
      </c>
      <c r="N1103" t="s">
        <v>852</v>
      </c>
    </row>
    <row r="1104" spans="1:14" x14ac:dyDescent="0.3">
      <c r="A1104" t="s">
        <v>1378</v>
      </c>
      <c r="B1104" t="s">
        <v>716</v>
      </c>
      <c r="C1104" t="s">
        <v>805</v>
      </c>
      <c r="D1104" t="s">
        <v>812</v>
      </c>
      <c r="E1104">
        <v>13</v>
      </c>
      <c r="F1104" t="s">
        <v>825</v>
      </c>
      <c r="G1104" t="s">
        <v>921</v>
      </c>
      <c r="H1104">
        <v>7821</v>
      </c>
      <c r="I1104" t="s">
        <v>834</v>
      </c>
      <c r="J1104" t="s">
        <v>841</v>
      </c>
      <c r="K1104" s="2">
        <v>44440</v>
      </c>
      <c r="L1104">
        <v>2021</v>
      </c>
      <c r="M1104">
        <v>101673</v>
      </c>
      <c r="N1104" t="s">
        <v>857</v>
      </c>
    </row>
    <row r="1105" spans="1:14" x14ac:dyDescent="0.3">
      <c r="A1105" t="s">
        <v>1464</v>
      </c>
      <c r="B1105" t="s">
        <v>717</v>
      </c>
      <c r="C1105" t="s">
        <v>805</v>
      </c>
      <c r="D1105" t="s">
        <v>819</v>
      </c>
      <c r="E1105">
        <v>12</v>
      </c>
      <c r="F1105" t="s">
        <v>825</v>
      </c>
      <c r="G1105" t="s">
        <v>921</v>
      </c>
      <c r="H1105">
        <v>9498</v>
      </c>
      <c r="I1105" t="s">
        <v>836</v>
      </c>
      <c r="J1105" t="s">
        <v>843</v>
      </c>
      <c r="K1105" s="2">
        <v>44228</v>
      </c>
      <c r="L1105">
        <v>2021</v>
      </c>
      <c r="M1105">
        <v>113976</v>
      </c>
      <c r="N1105" t="s">
        <v>857</v>
      </c>
    </row>
    <row r="1106" spans="1:14" x14ac:dyDescent="0.3">
      <c r="A1106" t="s">
        <v>1462</v>
      </c>
      <c r="B1106" t="s">
        <v>718</v>
      </c>
      <c r="C1106" t="s">
        <v>805</v>
      </c>
      <c r="D1106" t="s">
        <v>819</v>
      </c>
      <c r="E1106">
        <v>12</v>
      </c>
      <c r="F1106" t="s">
        <v>826</v>
      </c>
      <c r="G1106" t="s">
        <v>865</v>
      </c>
      <c r="H1106">
        <v>9498</v>
      </c>
      <c r="I1106" t="s">
        <v>836</v>
      </c>
      <c r="J1106" t="s">
        <v>843</v>
      </c>
      <c r="K1106" s="2">
        <v>44470</v>
      </c>
      <c r="L1106">
        <v>2021</v>
      </c>
      <c r="M1106">
        <v>113976</v>
      </c>
      <c r="N1106" t="s">
        <v>857</v>
      </c>
    </row>
    <row r="1107" spans="1:14" x14ac:dyDescent="0.3">
      <c r="A1107" t="s">
        <v>1465</v>
      </c>
      <c r="B1107" t="s">
        <v>719</v>
      </c>
      <c r="C1107" t="s">
        <v>807</v>
      </c>
      <c r="D1107" t="s">
        <v>816</v>
      </c>
      <c r="E1107">
        <v>7</v>
      </c>
      <c r="F1107" t="s">
        <v>826</v>
      </c>
      <c r="G1107" t="s">
        <v>872</v>
      </c>
      <c r="H1107">
        <v>5461</v>
      </c>
      <c r="I1107" t="s">
        <v>835</v>
      </c>
      <c r="J1107" t="s">
        <v>844</v>
      </c>
      <c r="K1107" s="2">
        <v>43983</v>
      </c>
      <c r="L1107">
        <v>2020</v>
      </c>
      <c r="M1107">
        <v>38227</v>
      </c>
      <c r="N1107" t="s">
        <v>852</v>
      </c>
    </row>
    <row r="1108" spans="1:14" x14ac:dyDescent="0.3">
      <c r="A1108" t="s">
        <v>1466</v>
      </c>
      <c r="B1108" t="s">
        <v>720</v>
      </c>
      <c r="C1108" t="s">
        <v>807</v>
      </c>
      <c r="D1108" t="s">
        <v>820</v>
      </c>
      <c r="E1108">
        <v>19</v>
      </c>
      <c r="F1108" t="s">
        <v>828</v>
      </c>
      <c r="G1108" t="s">
        <v>874</v>
      </c>
      <c r="H1108">
        <v>3084</v>
      </c>
      <c r="I1108" t="s">
        <v>832</v>
      </c>
      <c r="J1108" t="s">
        <v>842</v>
      </c>
      <c r="K1108" s="2">
        <v>45413</v>
      </c>
      <c r="L1108">
        <v>2024</v>
      </c>
      <c r="M1108">
        <v>58596</v>
      </c>
      <c r="N1108" t="s">
        <v>863</v>
      </c>
    </row>
    <row r="1109" spans="1:14" x14ac:dyDescent="0.3">
      <c r="A1109" t="s">
        <v>1467</v>
      </c>
      <c r="B1109" t="s">
        <v>721</v>
      </c>
      <c r="C1109" t="s">
        <v>807</v>
      </c>
      <c r="D1109" t="s">
        <v>816</v>
      </c>
      <c r="E1109">
        <v>1</v>
      </c>
      <c r="F1109" t="s">
        <v>826</v>
      </c>
      <c r="G1109" t="s">
        <v>856</v>
      </c>
      <c r="H1109">
        <v>6087</v>
      </c>
      <c r="I1109" t="s">
        <v>836</v>
      </c>
      <c r="J1109" t="s">
        <v>841</v>
      </c>
      <c r="K1109" s="2">
        <v>44044</v>
      </c>
      <c r="L1109">
        <v>2020</v>
      </c>
      <c r="M1109">
        <v>6087</v>
      </c>
      <c r="N1109" t="s">
        <v>868</v>
      </c>
    </row>
    <row r="1110" spans="1:14" x14ac:dyDescent="0.3">
      <c r="A1110" t="s">
        <v>1468</v>
      </c>
      <c r="B1110" t="s">
        <v>722</v>
      </c>
      <c r="C1110" t="s">
        <v>807</v>
      </c>
      <c r="D1110" t="s">
        <v>820</v>
      </c>
      <c r="E1110">
        <v>3</v>
      </c>
      <c r="F1110" t="s">
        <v>825</v>
      </c>
      <c r="G1110" t="s">
        <v>921</v>
      </c>
      <c r="H1110">
        <v>611</v>
      </c>
      <c r="I1110" t="s">
        <v>835</v>
      </c>
      <c r="J1110" t="s">
        <v>840</v>
      </c>
      <c r="K1110" s="2">
        <v>44105</v>
      </c>
      <c r="L1110">
        <v>2020</v>
      </c>
      <c r="M1110">
        <v>1833</v>
      </c>
      <c r="N1110" t="s">
        <v>868</v>
      </c>
    </row>
    <row r="1111" spans="1:14" x14ac:dyDescent="0.3">
      <c r="A1111" t="s">
        <v>1469</v>
      </c>
      <c r="B1111" t="s">
        <v>723</v>
      </c>
      <c r="C1111" t="s">
        <v>806</v>
      </c>
      <c r="D1111" t="s">
        <v>815</v>
      </c>
      <c r="E1111">
        <v>18</v>
      </c>
      <c r="F1111" t="s">
        <v>829</v>
      </c>
      <c r="G1111" t="s">
        <v>894</v>
      </c>
      <c r="H1111">
        <v>9909</v>
      </c>
      <c r="I1111" t="s">
        <v>836</v>
      </c>
      <c r="J1111" t="s">
        <v>843</v>
      </c>
      <c r="K1111" s="2">
        <v>44317</v>
      </c>
      <c r="L1111">
        <v>2021</v>
      </c>
      <c r="M1111">
        <v>178362</v>
      </c>
      <c r="N1111" t="s">
        <v>863</v>
      </c>
    </row>
    <row r="1112" spans="1:14" x14ac:dyDescent="0.3">
      <c r="A1112" t="s">
        <v>1470</v>
      </c>
      <c r="B1112" t="s">
        <v>724</v>
      </c>
      <c r="C1112" t="s">
        <v>806</v>
      </c>
      <c r="D1112" t="s">
        <v>815</v>
      </c>
      <c r="E1112">
        <v>18</v>
      </c>
      <c r="F1112" t="s">
        <v>828</v>
      </c>
      <c r="G1112" t="s">
        <v>880</v>
      </c>
      <c r="H1112">
        <v>9909</v>
      </c>
      <c r="I1112" t="s">
        <v>836</v>
      </c>
      <c r="J1112" t="s">
        <v>843</v>
      </c>
      <c r="K1112" s="2">
        <v>44562</v>
      </c>
      <c r="L1112">
        <v>2022</v>
      </c>
      <c r="M1112">
        <v>178362</v>
      </c>
      <c r="N1112" t="s">
        <v>863</v>
      </c>
    </row>
    <row r="1113" spans="1:14" x14ac:dyDescent="0.3">
      <c r="A1113" t="s">
        <v>1273</v>
      </c>
      <c r="B1113" t="s">
        <v>725</v>
      </c>
      <c r="C1113" t="s">
        <v>807</v>
      </c>
      <c r="D1113" t="s">
        <v>816</v>
      </c>
      <c r="E1113">
        <v>18</v>
      </c>
      <c r="F1113" t="s">
        <v>829</v>
      </c>
      <c r="G1113" t="s">
        <v>886</v>
      </c>
      <c r="H1113">
        <v>6485</v>
      </c>
      <c r="I1113" t="s">
        <v>832</v>
      </c>
      <c r="J1113" t="s">
        <v>841</v>
      </c>
      <c r="K1113" s="2">
        <v>45108</v>
      </c>
      <c r="L1113">
        <v>2023</v>
      </c>
      <c r="M1113">
        <v>116730</v>
      </c>
      <c r="N1113" t="s">
        <v>863</v>
      </c>
    </row>
    <row r="1114" spans="1:14" x14ac:dyDescent="0.3">
      <c r="A1114" t="s">
        <v>1046</v>
      </c>
      <c r="B1114" t="s">
        <v>726</v>
      </c>
      <c r="C1114" t="s">
        <v>805</v>
      </c>
      <c r="D1114" t="s">
        <v>812</v>
      </c>
      <c r="E1114">
        <v>10</v>
      </c>
      <c r="F1114" t="s">
        <v>825</v>
      </c>
      <c r="G1114" t="s">
        <v>870</v>
      </c>
      <c r="H1114">
        <v>7259</v>
      </c>
      <c r="I1114" t="s">
        <v>835</v>
      </c>
      <c r="J1114" t="s">
        <v>841</v>
      </c>
      <c r="K1114" s="2">
        <v>44896</v>
      </c>
      <c r="L1114">
        <v>2022</v>
      </c>
      <c r="M1114">
        <v>72590</v>
      </c>
      <c r="N1114" t="s">
        <v>857</v>
      </c>
    </row>
    <row r="1115" spans="1:14" x14ac:dyDescent="0.3">
      <c r="A1115" t="s">
        <v>975</v>
      </c>
      <c r="B1115" t="s">
        <v>727</v>
      </c>
      <c r="C1115" t="s">
        <v>805</v>
      </c>
      <c r="D1115" t="s">
        <v>810</v>
      </c>
      <c r="E1115">
        <v>18</v>
      </c>
      <c r="F1115" t="s">
        <v>824</v>
      </c>
      <c r="G1115" t="s">
        <v>851</v>
      </c>
      <c r="H1115">
        <v>3333</v>
      </c>
      <c r="I1115" t="s">
        <v>836</v>
      </c>
      <c r="J1115" t="s">
        <v>842</v>
      </c>
      <c r="K1115" s="2">
        <v>45017</v>
      </c>
      <c r="L1115">
        <v>2023</v>
      </c>
      <c r="M1115">
        <v>59994</v>
      </c>
      <c r="N1115" t="s">
        <v>863</v>
      </c>
    </row>
    <row r="1116" spans="1:14" x14ac:dyDescent="0.3">
      <c r="A1116" t="s">
        <v>1091</v>
      </c>
      <c r="B1116" t="s">
        <v>728</v>
      </c>
      <c r="C1116" t="s">
        <v>807</v>
      </c>
      <c r="D1116" t="s">
        <v>816</v>
      </c>
      <c r="E1116">
        <v>4</v>
      </c>
      <c r="F1116" t="s">
        <v>825</v>
      </c>
      <c r="G1116" t="s">
        <v>921</v>
      </c>
      <c r="H1116">
        <v>7786</v>
      </c>
      <c r="I1116" t="s">
        <v>834</v>
      </c>
      <c r="J1116" t="s">
        <v>841</v>
      </c>
      <c r="K1116" s="2">
        <v>43983</v>
      </c>
      <c r="L1116">
        <v>2020</v>
      </c>
      <c r="M1116">
        <v>31144</v>
      </c>
      <c r="N1116" t="s">
        <v>868</v>
      </c>
    </row>
    <row r="1117" spans="1:14" x14ac:dyDescent="0.3">
      <c r="A1117" t="s">
        <v>1204</v>
      </c>
      <c r="B1117" t="s">
        <v>729</v>
      </c>
      <c r="C1117" t="s">
        <v>805</v>
      </c>
      <c r="D1117" t="s">
        <v>819</v>
      </c>
      <c r="E1117">
        <v>6</v>
      </c>
      <c r="F1117" t="s">
        <v>825</v>
      </c>
      <c r="G1117" t="s">
        <v>870</v>
      </c>
      <c r="H1117">
        <v>7644</v>
      </c>
      <c r="I1117" t="s">
        <v>833</v>
      </c>
      <c r="J1117" t="s">
        <v>841</v>
      </c>
      <c r="K1117" s="2">
        <v>44562</v>
      </c>
      <c r="L1117">
        <v>2022</v>
      </c>
      <c r="M1117">
        <v>45864</v>
      </c>
      <c r="N1117" t="s">
        <v>852</v>
      </c>
    </row>
    <row r="1118" spans="1:14" x14ac:dyDescent="0.3">
      <c r="A1118" t="s">
        <v>1471</v>
      </c>
      <c r="B1118" t="s">
        <v>730</v>
      </c>
      <c r="C1118" t="s">
        <v>807</v>
      </c>
      <c r="D1118" t="s">
        <v>820</v>
      </c>
      <c r="E1118">
        <v>5</v>
      </c>
      <c r="F1118" t="s">
        <v>827</v>
      </c>
      <c r="G1118" t="s">
        <v>862</v>
      </c>
      <c r="H1118">
        <v>1476</v>
      </c>
      <c r="I1118" t="s">
        <v>836</v>
      </c>
      <c r="J1118" t="s">
        <v>840</v>
      </c>
      <c r="K1118" s="2">
        <v>45231</v>
      </c>
      <c r="L1118">
        <v>2023</v>
      </c>
      <c r="M1118">
        <v>7380</v>
      </c>
      <c r="N1118" t="s">
        <v>852</v>
      </c>
    </row>
    <row r="1119" spans="1:14" x14ac:dyDescent="0.3">
      <c r="A1119" t="s">
        <v>1472</v>
      </c>
      <c r="B1119" t="s">
        <v>731</v>
      </c>
      <c r="C1119" t="s">
        <v>807</v>
      </c>
      <c r="D1119" t="s">
        <v>820</v>
      </c>
      <c r="E1119">
        <v>5</v>
      </c>
      <c r="F1119" t="s">
        <v>827</v>
      </c>
      <c r="G1119" t="s">
        <v>876</v>
      </c>
      <c r="H1119">
        <v>1476</v>
      </c>
      <c r="I1119" t="s">
        <v>836</v>
      </c>
      <c r="J1119" t="s">
        <v>840</v>
      </c>
      <c r="K1119" s="2">
        <v>44562</v>
      </c>
      <c r="L1119">
        <v>2022</v>
      </c>
      <c r="M1119">
        <v>7380</v>
      </c>
      <c r="N1119" t="s">
        <v>852</v>
      </c>
    </row>
    <row r="1120" spans="1:14" x14ac:dyDescent="0.3">
      <c r="A1120" t="s">
        <v>1359</v>
      </c>
      <c r="B1120" t="s">
        <v>732</v>
      </c>
      <c r="C1120" t="s">
        <v>807</v>
      </c>
      <c r="D1120" t="s">
        <v>816</v>
      </c>
      <c r="E1120">
        <v>16</v>
      </c>
      <c r="F1120" t="s">
        <v>827</v>
      </c>
      <c r="G1120" t="s">
        <v>883</v>
      </c>
      <c r="H1120">
        <v>3445</v>
      </c>
      <c r="I1120" t="s">
        <v>834</v>
      </c>
      <c r="J1120" t="s">
        <v>842</v>
      </c>
      <c r="K1120" s="2">
        <v>44075</v>
      </c>
      <c r="L1120">
        <v>2020</v>
      </c>
      <c r="M1120">
        <v>55120</v>
      </c>
      <c r="N1120" t="s">
        <v>863</v>
      </c>
    </row>
    <row r="1121" spans="1:14" x14ac:dyDescent="0.3">
      <c r="A1121" t="s">
        <v>1359</v>
      </c>
      <c r="B1121" t="s">
        <v>732</v>
      </c>
      <c r="C1121" t="s">
        <v>805</v>
      </c>
      <c r="D1121" t="s">
        <v>812</v>
      </c>
      <c r="E1121">
        <v>1</v>
      </c>
      <c r="F1121" t="s">
        <v>827</v>
      </c>
      <c r="G1121" t="s">
        <v>883</v>
      </c>
      <c r="H1121">
        <v>9837</v>
      </c>
      <c r="I1121" t="s">
        <v>832</v>
      </c>
      <c r="J1121" t="s">
        <v>843</v>
      </c>
      <c r="K1121" s="2">
        <v>44075</v>
      </c>
      <c r="L1121">
        <v>2020</v>
      </c>
      <c r="M1121">
        <v>9837</v>
      </c>
      <c r="N1121" t="s">
        <v>868</v>
      </c>
    </row>
    <row r="1122" spans="1:14" x14ac:dyDescent="0.3">
      <c r="A1122" t="s">
        <v>1153</v>
      </c>
      <c r="B1122" t="s">
        <v>733</v>
      </c>
      <c r="C1122" t="s">
        <v>807</v>
      </c>
      <c r="D1122" t="s">
        <v>816</v>
      </c>
      <c r="E1122">
        <v>8</v>
      </c>
      <c r="F1122" t="s">
        <v>827</v>
      </c>
      <c r="G1122" t="s">
        <v>876</v>
      </c>
      <c r="H1122">
        <v>1314</v>
      </c>
      <c r="I1122" t="s">
        <v>834</v>
      </c>
      <c r="J1122" t="s">
        <v>840</v>
      </c>
      <c r="K1122" s="2">
        <v>44348</v>
      </c>
      <c r="L1122">
        <v>2021</v>
      </c>
      <c r="M1122">
        <v>10512</v>
      </c>
      <c r="N1122" t="s">
        <v>852</v>
      </c>
    </row>
    <row r="1123" spans="1:14" x14ac:dyDescent="0.3">
      <c r="A1123" t="s">
        <v>1473</v>
      </c>
      <c r="B1123" t="s">
        <v>734</v>
      </c>
      <c r="C1123" t="s">
        <v>805</v>
      </c>
      <c r="D1123" t="s">
        <v>812</v>
      </c>
      <c r="E1123">
        <v>6</v>
      </c>
      <c r="F1123" t="s">
        <v>828</v>
      </c>
      <c r="G1123" t="s">
        <v>874</v>
      </c>
      <c r="H1123">
        <v>5951</v>
      </c>
      <c r="I1123" t="s">
        <v>833</v>
      </c>
      <c r="J1123" t="s">
        <v>844</v>
      </c>
      <c r="K1123" s="2">
        <v>45505</v>
      </c>
      <c r="L1123">
        <v>2024</v>
      </c>
      <c r="M1123">
        <v>35706</v>
      </c>
      <c r="N1123" t="s">
        <v>852</v>
      </c>
    </row>
    <row r="1124" spans="1:14" x14ac:dyDescent="0.3">
      <c r="A1124" t="s">
        <v>1474</v>
      </c>
      <c r="B1124" t="s">
        <v>735</v>
      </c>
      <c r="C1124" t="s">
        <v>805</v>
      </c>
      <c r="D1124" t="s">
        <v>812</v>
      </c>
      <c r="E1124">
        <v>6</v>
      </c>
      <c r="F1124" t="s">
        <v>829</v>
      </c>
      <c r="G1124" t="s">
        <v>886</v>
      </c>
      <c r="H1124">
        <v>5951</v>
      </c>
      <c r="I1124" t="s">
        <v>833</v>
      </c>
      <c r="J1124" t="s">
        <v>844</v>
      </c>
      <c r="K1124" s="2">
        <v>44743</v>
      </c>
      <c r="L1124">
        <v>2022</v>
      </c>
      <c r="M1124">
        <v>35706</v>
      </c>
      <c r="N1124" t="s">
        <v>852</v>
      </c>
    </row>
    <row r="1125" spans="1:14" x14ac:dyDescent="0.3">
      <c r="A1125" t="s">
        <v>1475</v>
      </c>
      <c r="B1125" t="s">
        <v>736</v>
      </c>
      <c r="C1125" t="s">
        <v>805</v>
      </c>
      <c r="D1125" t="s">
        <v>819</v>
      </c>
      <c r="E1125">
        <v>6</v>
      </c>
      <c r="F1125" t="s">
        <v>827</v>
      </c>
      <c r="G1125" t="s">
        <v>862</v>
      </c>
      <c r="H1125">
        <v>992</v>
      </c>
      <c r="I1125" t="s">
        <v>832</v>
      </c>
      <c r="J1125" t="s">
        <v>840</v>
      </c>
      <c r="K1125" s="2">
        <v>45292</v>
      </c>
      <c r="L1125">
        <v>2024</v>
      </c>
      <c r="M1125">
        <v>5952</v>
      </c>
      <c r="N1125" t="s">
        <v>852</v>
      </c>
    </row>
    <row r="1126" spans="1:14" x14ac:dyDescent="0.3">
      <c r="A1126" t="s">
        <v>1475</v>
      </c>
      <c r="B1126" t="s">
        <v>736</v>
      </c>
      <c r="C1126" t="s">
        <v>806</v>
      </c>
      <c r="D1126" t="s">
        <v>815</v>
      </c>
      <c r="E1126">
        <v>18</v>
      </c>
      <c r="F1126" t="s">
        <v>827</v>
      </c>
      <c r="G1126" t="s">
        <v>862</v>
      </c>
      <c r="H1126">
        <v>4699</v>
      </c>
      <c r="I1126" t="s">
        <v>834</v>
      </c>
      <c r="J1126" t="s">
        <v>844</v>
      </c>
      <c r="K1126" s="2">
        <v>45292</v>
      </c>
      <c r="L1126">
        <v>2024</v>
      </c>
      <c r="M1126">
        <v>84582</v>
      </c>
      <c r="N1126" t="s">
        <v>863</v>
      </c>
    </row>
    <row r="1127" spans="1:14" x14ac:dyDescent="0.3">
      <c r="A1127" t="s">
        <v>985</v>
      </c>
      <c r="B1127" t="s">
        <v>737</v>
      </c>
      <c r="C1127" t="s">
        <v>805</v>
      </c>
      <c r="D1127" t="s">
        <v>812</v>
      </c>
      <c r="E1127">
        <v>17</v>
      </c>
      <c r="F1127" t="s">
        <v>829</v>
      </c>
      <c r="G1127" t="s">
        <v>894</v>
      </c>
      <c r="H1127">
        <v>5557</v>
      </c>
      <c r="I1127" t="s">
        <v>834</v>
      </c>
      <c r="J1127" t="s">
        <v>844</v>
      </c>
      <c r="K1127" s="2">
        <v>44317</v>
      </c>
      <c r="L1127">
        <v>2021</v>
      </c>
      <c r="M1127">
        <v>94469</v>
      </c>
      <c r="N1127" t="s">
        <v>863</v>
      </c>
    </row>
    <row r="1128" spans="1:14" x14ac:dyDescent="0.3">
      <c r="A1128" t="s">
        <v>1212</v>
      </c>
      <c r="B1128" t="s">
        <v>738</v>
      </c>
      <c r="C1128" t="s">
        <v>805</v>
      </c>
      <c r="D1128" t="s">
        <v>809</v>
      </c>
      <c r="E1128">
        <v>3</v>
      </c>
      <c r="F1128" t="s">
        <v>828</v>
      </c>
      <c r="G1128" t="s">
        <v>874</v>
      </c>
      <c r="H1128">
        <v>3436</v>
      </c>
      <c r="I1128" t="s">
        <v>835</v>
      </c>
      <c r="J1128" t="s">
        <v>842</v>
      </c>
      <c r="K1128" s="2">
        <v>44348</v>
      </c>
      <c r="L1128">
        <v>2021</v>
      </c>
      <c r="M1128">
        <v>10308</v>
      </c>
      <c r="N1128" t="s">
        <v>868</v>
      </c>
    </row>
    <row r="1129" spans="1:14" x14ac:dyDescent="0.3">
      <c r="A1129" t="s">
        <v>1476</v>
      </c>
      <c r="B1129" t="s">
        <v>739</v>
      </c>
      <c r="C1129" t="s">
        <v>805</v>
      </c>
      <c r="D1129" t="s">
        <v>810</v>
      </c>
      <c r="E1129">
        <v>11</v>
      </c>
      <c r="F1129" t="s">
        <v>828</v>
      </c>
      <c r="G1129" t="s">
        <v>880</v>
      </c>
      <c r="H1129">
        <v>9840</v>
      </c>
      <c r="I1129" t="s">
        <v>833</v>
      </c>
      <c r="J1129" t="s">
        <v>843</v>
      </c>
      <c r="K1129" s="2">
        <v>45017</v>
      </c>
      <c r="L1129">
        <v>2023</v>
      </c>
      <c r="M1129">
        <v>108240</v>
      </c>
      <c r="N1129" t="s">
        <v>857</v>
      </c>
    </row>
    <row r="1130" spans="1:14" x14ac:dyDescent="0.3">
      <c r="A1130" t="s">
        <v>1477</v>
      </c>
      <c r="B1130" t="s">
        <v>740</v>
      </c>
      <c r="C1130" t="s">
        <v>806</v>
      </c>
      <c r="D1130" t="s">
        <v>817</v>
      </c>
      <c r="E1130">
        <v>4</v>
      </c>
      <c r="F1130" t="s">
        <v>827</v>
      </c>
      <c r="G1130" t="s">
        <v>883</v>
      </c>
      <c r="H1130">
        <v>7620</v>
      </c>
      <c r="I1130" t="s">
        <v>834</v>
      </c>
      <c r="J1130" t="s">
        <v>841</v>
      </c>
      <c r="K1130" s="2">
        <v>44378</v>
      </c>
      <c r="L1130">
        <v>2021</v>
      </c>
      <c r="M1130">
        <v>30480</v>
      </c>
      <c r="N1130" t="s">
        <v>868</v>
      </c>
    </row>
    <row r="1131" spans="1:14" x14ac:dyDescent="0.3">
      <c r="A1131" t="s">
        <v>1478</v>
      </c>
      <c r="B1131" t="s">
        <v>741</v>
      </c>
      <c r="C1131" t="s">
        <v>806</v>
      </c>
      <c r="D1131" t="s">
        <v>817</v>
      </c>
      <c r="E1131">
        <v>4</v>
      </c>
      <c r="F1131" t="s">
        <v>827</v>
      </c>
      <c r="G1131" t="s">
        <v>883</v>
      </c>
      <c r="H1131">
        <v>7620</v>
      </c>
      <c r="I1131" t="s">
        <v>834</v>
      </c>
      <c r="J1131" t="s">
        <v>841</v>
      </c>
      <c r="K1131" s="2">
        <v>45566</v>
      </c>
      <c r="L1131">
        <v>2024</v>
      </c>
      <c r="M1131">
        <v>30480</v>
      </c>
      <c r="N1131" t="s">
        <v>868</v>
      </c>
    </row>
    <row r="1132" spans="1:14" x14ac:dyDescent="0.3">
      <c r="A1132" t="s">
        <v>1050</v>
      </c>
      <c r="B1132" t="s">
        <v>742</v>
      </c>
      <c r="C1132" t="s">
        <v>807</v>
      </c>
      <c r="D1132" t="s">
        <v>813</v>
      </c>
      <c r="E1132">
        <v>5</v>
      </c>
      <c r="F1132" t="s">
        <v>826</v>
      </c>
      <c r="G1132" t="s">
        <v>856</v>
      </c>
      <c r="H1132">
        <v>4314</v>
      </c>
      <c r="I1132" t="s">
        <v>833</v>
      </c>
      <c r="J1132" t="s">
        <v>844</v>
      </c>
      <c r="K1132" s="2">
        <v>44470</v>
      </c>
      <c r="L1132">
        <v>2021</v>
      </c>
      <c r="M1132">
        <v>21570</v>
      </c>
      <c r="N1132" t="s">
        <v>852</v>
      </c>
    </row>
    <row r="1133" spans="1:14" x14ac:dyDescent="0.3">
      <c r="A1133" t="s">
        <v>1479</v>
      </c>
      <c r="B1133" t="s">
        <v>743</v>
      </c>
      <c r="C1133" t="s">
        <v>805</v>
      </c>
      <c r="D1133" t="s">
        <v>812</v>
      </c>
      <c r="E1133">
        <v>12</v>
      </c>
      <c r="F1133" t="s">
        <v>829</v>
      </c>
      <c r="G1133" t="s">
        <v>890</v>
      </c>
      <c r="H1133">
        <v>8851</v>
      </c>
      <c r="I1133" t="s">
        <v>832</v>
      </c>
      <c r="J1133" t="s">
        <v>843</v>
      </c>
      <c r="K1133" s="2">
        <v>45323</v>
      </c>
      <c r="L1133">
        <v>2024</v>
      </c>
      <c r="M1133">
        <v>106212</v>
      </c>
      <c r="N1133" t="s">
        <v>857</v>
      </c>
    </row>
    <row r="1134" spans="1:14" x14ac:dyDescent="0.3">
      <c r="A1134" t="s">
        <v>1480</v>
      </c>
      <c r="B1134" t="s">
        <v>744</v>
      </c>
      <c r="C1134" t="s">
        <v>805</v>
      </c>
      <c r="D1134" t="s">
        <v>812</v>
      </c>
      <c r="E1134">
        <v>2</v>
      </c>
      <c r="F1134" t="s">
        <v>828</v>
      </c>
      <c r="G1134" t="s">
        <v>904</v>
      </c>
      <c r="H1134">
        <v>544</v>
      </c>
      <c r="I1134" t="s">
        <v>833</v>
      </c>
      <c r="J1134" t="s">
        <v>840</v>
      </c>
      <c r="K1134" s="2">
        <v>44256</v>
      </c>
      <c r="L1134">
        <v>2021</v>
      </c>
      <c r="M1134">
        <v>1088</v>
      </c>
      <c r="N1134" t="s">
        <v>868</v>
      </c>
    </row>
    <row r="1135" spans="1:14" x14ac:dyDescent="0.3">
      <c r="A1135" t="s">
        <v>1346</v>
      </c>
      <c r="B1135" t="s">
        <v>745</v>
      </c>
      <c r="C1135" t="s">
        <v>805</v>
      </c>
      <c r="D1135" t="s">
        <v>812</v>
      </c>
      <c r="E1135">
        <v>2</v>
      </c>
      <c r="F1135" t="s">
        <v>826</v>
      </c>
      <c r="G1135" t="s">
        <v>856</v>
      </c>
      <c r="H1135">
        <v>544</v>
      </c>
      <c r="I1135" t="s">
        <v>833</v>
      </c>
      <c r="J1135" t="s">
        <v>840</v>
      </c>
      <c r="K1135" s="2">
        <v>45078</v>
      </c>
      <c r="L1135">
        <v>2023</v>
      </c>
      <c r="M1135">
        <v>1088</v>
      </c>
      <c r="N1135" t="s">
        <v>868</v>
      </c>
    </row>
    <row r="1136" spans="1:14" x14ac:dyDescent="0.3">
      <c r="A1136" t="s">
        <v>1481</v>
      </c>
      <c r="B1136" t="s">
        <v>746</v>
      </c>
      <c r="C1136" t="s">
        <v>806</v>
      </c>
      <c r="D1136" t="s">
        <v>815</v>
      </c>
      <c r="E1136">
        <v>20</v>
      </c>
      <c r="F1136" t="s">
        <v>825</v>
      </c>
      <c r="G1136" t="s">
        <v>921</v>
      </c>
      <c r="H1136">
        <v>537</v>
      </c>
      <c r="I1136" t="s">
        <v>834</v>
      </c>
      <c r="J1136" t="s">
        <v>840</v>
      </c>
      <c r="K1136" s="2">
        <v>44409</v>
      </c>
      <c r="L1136">
        <v>2021</v>
      </c>
      <c r="M1136">
        <v>10740</v>
      </c>
      <c r="N1136" t="s">
        <v>863</v>
      </c>
    </row>
    <row r="1137" spans="1:14" x14ac:dyDescent="0.3">
      <c r="A1137" t="s">
        <v>1306</v>
      </c>
      <c r="B1137" t="s">
        <v>747</v>
      </c>
      <c r="C1137" t="s">
        <v>805</v>
      </c>
      <c r="D1137" t="s">
        <v>812</v>
      </c>
      <c r="E1137">
        <v>7</v>
      </c>
      <c r="F1137" t="s">
        <v>828</v>
      </c>
      <c r="G1137" t="s">
        <v>880</v>
      </c>
      <c r="H1137">
        <v>5944</v>
      </c>
      <c r="I1137" t="s">
        <v>834</v>
      </c>
      <c r="J1137" t="s">
        <v>844</v>
      </c>
      <c r="K1137" s="2">
        <v>44621</v>
      </c>
      <c r="L1137">
        <v>2022</v>
      </c>
      <c r="M1137">
        <v>41608</v>
      </c>
      <c r="N1137" t="s">
        <v>852</v>
      </c>
    </row>
    <row r="1138" spans="1:14" x14ac:dyDescent="0.3">
      <c r="A1138" t="s">
        <v>1479</v>
      </c>
      <c r="B1138" t="s">
        <v>748</v>
      </c>
      <c r="C1138" t="s">
        <v>805</v>
      </c>
      <c r="D1138" t="s">
        <v>810</v>
      </c>
      <c r="E1138">
        <v>18</v>
      </c>
      <c r="F1138" t="s">
        <v>824</v>
      </c>
      <c r="G1138" t="s">
        <v>851</v>
      </c>
      <c r="H1138">
        <v>2258</v>
      </c>
      <c r="I1138" t="s">
        <v>835</v>
      </c>
      <c r="J1138" t="s">
        <v>842</v>
      </c>
      <c r="K1138" s="2">
        <v>45323</v>
      </c>
      <c r="L1138">
        <v>2024</v>
      </c>
      <c r="M1138">
        <v>40644</v>
      </c>
      <c r="N1138" t="s">
        <v>863</v>
      </c>
    </row>
    <row r="1139" spans="1:14" x14ac:dyDescent="0.3">
      <c r="A1139" t="s">
        <v>1482</v>
      </c>
      <c r="B1139" t="s">
        <v>749</v>
      </c>
      <c r="C1139" t="s">
        <v>805</v>
      </c>
      <c r="D1139" t="s">
        <v>810</v>
      </c>
      <c r="E1139">
        <v>18</v>
      </c>
      <c r="F1139" t="s">
        <v>827</v>
      </c>
      <c r="G1139" t="s">
        <v>876</v>
      </c>
      <c r="H1139">
        <v>2258</v>
      </c>
      <c r="I1139" t="s">
        <v>835</v>
      </c>
      <c r="J1139" t="s">
        <v>842</v>
      </c>
      <c r="K1139" s="2">
        <v>44774</v>
      </c>
      <c r="L1139">
        <v>2022</v>
      </c>
      <c r="M1139">
        <v>40644</v>
      </c>
      <c r="N1139" t="s">
        <v>863</v>
      </c>
    </row>
    <row r="1140" spans="1:14" x14ac:dyDescent="0.3">
      <c r="A1140" t="s">
        <v>1483</v>
      </c>
      <c r="B1140" t="s">
        <v>750</v>
      </c>
      <c r="C1140" t="s">
        <v>807</v>
      </c>
      <c r="D1140" t="s">
        <v>816</v>
      </c>
      <c r="E1140">
        <v>3</v>
      </c>
      <c r="F1140" t="s">
        <v>828</v>
      </c>
      <c r="G1140" t="s">
        <v>904</v>
      </c>
      <c r="H1140">
        <v>9609</v>
      </c>
      <c r="I1140" t="s">
        <v>833</v>
      </c>
      <c r="J1140" t="s">
        <v>843</v>
      </c>
      <c r="K1140" s="2">
        <v>45536</v>
      </c>
      <c r="L1140">
        <v>2024</v>
      </c>
      <c r="M1140">
        <v>28827</v>
      </c>
      <c r="N1140" t="s">
        <v>868</v>
      </c>
    </row>
    <row r="1141" spans="1:14" x14ac:dyDescent="0.3">
      <c r="A1141" t="s">
        <v>1484</v>
      </c>
      <c r="B1141" t="s">
        <v>751</v>
      </c>
      <c r="C1141" t="s">
        <v>807</v>
      </c>
      <c r="D1141" t="s">
        <v>816</v>
      </c>
      <c r="E1141">
        <v>3</v>
      </c>
      <c r="F1141" t="s">
        <v>829</v>
      </c>
      <c r="G1141" t="s">
        <v>890</v>
      </c>
      <c r="H1141">
        <v>9609</v>
      </c>
      <c r="I1141" t="s">
        <v>833</v>
      </c>
      <c r="J1141" t="s">
        <v>843</v>
      </c>
      <c r="K1141" s="2">
        <v>43922</v>
      </c>
      <c r="L1141">
        <v>2020</v>
      </c>
      <c r="M1141">
        <v>28827</v>
      </c>
      <c r="N1141" t="s">
        <v>868</v>
      </c>
    </row>
    <row r="1142" spans="1:14" x14ac:dyDescent="0.3">
      <c r="A1142" t="s">
        <v>1234</v>
      </c>
      <c r="B1142" t="s">
        <v>752</v>
      </c>
      <c r="C1142" t="s">
        <v>805</v>
      </c>
      <c r="D1142" t="s">
        <v>809</v>
      </c>
      <c r="E1142">
        <v>15</v>
      </c>
      <c r="F1142" t="s">
        <v>828</v>
      </c>
      <c r="G1142" t="s">
        <v>874</v>
      </c>
      <c r="H1142">
        <v>9952</v>
      </c>
      <c r="I1142" t="s">
        <v>833</v>
      </c>
      <c r="J1142" t="s">
        <v>843</v>
      </c>
      <c r="K1142" s="2">
        <v>44986</v>
      </c>
      <c r="L1142">
        <v>2023</v>
      </c>
      <c r="M1142">
        <v>149280</v>
      </c>
      <c r="N1142" t="s">
        <v>863</v>
      </c>
    </row>
    <row r="1143" spans="1:14" x14ac:dyDescent="0.3">
      <c r="A1143" t="s">
        <v>1315</v>
      </c>
      <c r="B1143" t="s">
        <v>753</v>
      </c>
      <c r="C1143" t="s">
        <v>806</v>
      </c>
      <c r="D1143" t="s">
        <v>817</v>
      </c>
      <c r="E1143">
        <v>7</v>
      </c>
      <c r="F1143" t="s">
        <v>829</v>
      </c>
      <c r="G1143" t="s">
        <v>886</v>
      </c>
      <c r="H1143">
        <v>9873</v>
      </c>
      <c r="I1143" t="s">
        <v>835</v>
      </c>
      <c r="J1143" t="s">
        <v>843</v>
      </c>
      <c r="K1143" s="2">
        <v>44044</v>
      </c>
      <c r="L1143">
        <v>2020</v>
      </c>
      <c r="M1143">
        <v>69111</v>
      </c>
      <c r="N1143" t="s">
        <v>852</v>
      </c>
    </row>
    <row r="1144" spans="1:14" x14ac:dyDescent="0.3">
      <c r="A1144" t="s">
        <v>1166</v>
      </c>
      <c r="B1144" t="s">
        <v>754</v>
      </c>
      <c r="C1144" t="s">
        <v>805</v>
      </c>
      <c r="D1144" t="s">
        <v>809</v>
      </c>
      <c r="E1144">
        <v>15</v>
      </c>
      <c r="F1144" t="s">
        <v>826</v>
      </c>
      <c r="G1144" t="s">
        <v>865</v>
      </c>
      <c r="H1144">
        <v>3560</v>
      </c>
      <c r="I1144" t="s">
        <v>836</v>
      </c>
      <c r="J1144" t="s">
        <v>842</v>
      </c>
      <c r="K1144" s="2">
        <v>43922</v>
      </c>
      <c r="L1144">
        <v>2020</v>
      </c>
      <c r="M1144">
        <v>53400</v>
      </c>
      <c r="N1144" t="s">
        <v>863</v>
      </c>
    </row>
    <row r="1145" spans="1:14" x14ac:dyDescent="0.3">
      <c r="A1145" t="s">
        <v>1485</v>
      </c>
      <c r="B1145" t="s">
        <v>755</v>
      </c>
      <c r="C1145" t="s">
        <v>805</v>
      </c>
      <c r="D1145" t="s">
        <v>809</v>
      </c>
      <c r="E1145">
        <v>15</v>
      </c>
      <c r="F1145" t="s">
        <v>825</v>
      </c>
      <c r="G1145" t="s">
        <v>870</v>
      </c>
      <c r="H1145">
        <v>3560</v>
      </c>
      <c r="I1145" t="s">
        <v>836</v>
      </c>
      <c r="J1145" t="s">
        <v>842</v>
      </c>
      <c r="K1145" s="2">
        <v>44986</v>
      </c>
      <c r="L1145">
        <v>2023</v>
      </c>
      <c r="M1145">
        <v>53400</v>
      </c>
      <c r="N1145" t="s">
        <v>863</v>
      </c>
    </row>
    <row r="1146" spans="1:14" x14ac:dyDescent="0.3">
      <c r="A1146" t="s">
        <v>867</v>
      </c>
      <c r="B1146" t="s">
        <v>756</v>
      </c>
      <c r="C1146" t="s">
        <v>805</v>
      </c>
      <c r="D1146" t="s">
        <v>819</v>
      </c>
      <c r="E1146">
        <v>9</v>
      </c>
      <c r="F1146" t="s">
        <v>826</v>
      </c>
      <c r="G1146" t="s">
        <v>856</v>
      </c>
      <c r="H1146">
        <v>6528</v>
      </c>
      <c r="I1146" t="s">
        <v>833</v>
      </c>
      <c r="J1146" t="s">
        <v>841</v>
      </c>
      <c r="K1146" s="2">
        <v>43952</v>
      </c>
      <c r="L1146">
        <v>2020</v>
      </c>
      <c r="M1146">
        <v>58752</v>
      </c>
      <c r="N1146" t="s">
        <v>852</v>
      </c>
    </row>
    <row r="1147" spans="1:14" x14ac:dyDescent="0.3">
      <c r="A1147" t="s">
        <v>867</v>
      </c>
      <c r="B1147" t="s">
        <v>756</v>
      </c>
      <c r="C1147" t="s">
        <v>807</v>
      </c>
      <c r="D1147" t="s">
        <v>816</v>
      </c>
      <c r="E1147">
        <v>12</v>
      </c>
      <c r="F1147" t="s">
        <v>826</v>
      </c>
      <c r="G1147" t="s">
        <v>856</v>
      </c>
      <c r="H1147">
        <v>8930</v>
      </c>
      <c r="I1147" t="s">
        <v>833</v>
      </c>
      <c r="J1147" t="s">
        <v>843</v>
      </c>
      <c r="K1147" s="2">
        <v>43952</v>
      </c>
      <c r="L1147">
        <v>2020</v>
      </c>
      <c r="M1147">
        <v>107160</v>
      </c>
      <c r="N1147" t="s">
        <v>857</v>
      </c>
    </row>
    <row r="1148" spans="1:14" x14ac:dyDescent="0.3">
      <c r="A1148" t="s">
        <v>1486</v>
      </c>
      <c r="B1148" t="s">
        <v>757</v>
      </c>
      <c r="C1148" t="s">
        <v>806</v>
      </c>
      <c r="D1148" t="s">
        <v>817</v>
      </c>
      <c r="E1148">
        <v>9</v>
      </c>
      <c r="F1148" t="s">
        <v>824</v>
      </c>
      <c r="G1148" t="s">
        <v>910</v>
      </c>
      <c r="H1148">
        <v>4521</v>
      </c>
      <c r="I1148" t="s">
        <v>833</v>
      </c>
      <c r="J1148" t="s">
        <v>844</v>
      </c>
      <c r="K1148" s="2">
        <v>45566</v>
      </c>
      <c r="L1148">
        <v>2024</v>
      </c>
      <c r="M1148">
        <v>40689</v>
      </c>
      <c r="N1148" t="s">
        <v>852</v>
      </c>
    </row>
    <row r="1149" spans="1:14" x14ac:dyDescent="0.3">
      <c r="A1149" t="s">
        <v>1487</v>
      </c>
      <c r="B1149" t="s">
        <v>758</v>
      </c>
      <c r="C1149" t="s">
        <v>807</v>
      </c>
      <c r="D1149" t="s">
        <v>816</v>
      </c>
      <c r="E1149">
        <v>10</v>
      </c>
      <c r="F1149" t="s">
        <v>827</v>
      </c>
      <c r="G1149" t="s">
        <v>876</v>
      </c>
      <c r="H1149">
        <v>7091</v>
      </c>
      <c r="I1149" t="s">
        <v>835</v>
      </c>
      <c r="J1149" t="s">
        <v>841</v>
      </c>
      <c r="K1149" s="2">
        <v>44713</v>
      </c>
      <c r="L1149">
        <v>2022</v>
      </c>
      <c r="M1149">
        <v>70910</v>
      </c>
      <c r="N1149" t="s">
        <v>857</v>
      </c>
    </row>
    <row r="1150" spans="1:14" x14ac:dyDescent="0.3">
      <c r="A1150" t="s">
        <v>1366</v>
      </c>
      <c r="B1150" t="s">
        <v>351</v>
      </c>
      <c r="C1150" t="s">
        <v>806</v>
      </c>
      <c r="D1150" t="s">
        <v>811</v>
      </c>
      <c r="E1150">
        <v>8</v>
      </c>
      <c r="F1150" t="s">
        <v>829</v>
      </c>
      <c r="G1150" t="s">
        <v>894</v>
      </c>
      <c r="H1150">
        <v>2101</v>
      </c>
      <c r="I1150" t="s">
        <v>836</v>
      </c>
      <c r="J1150" t="s">
        <v>842</v>
      </c>
      <c r="K1150" s="2">
        <v>44013</v>
      </c>
      <c r="L1150">
        <v>2020</v>
      </c>
      <c r="M1150">
        <v>16808</v>
      </c>
      <c r="N1150" t="s">
        <v>852</v>
      </c>
    </row>
    <row r="1151" spans="1:14" x14ac:dyDescent="0.3">
      <c r="A1151" t="s">
        <v>1488</v>
      </c>
      <c r="B1151" t="s">
        <v>759</v>
      </c>
      <c r="C1151" t="s">
        <v>806</v>
      </c>
      <c r="D1151" t="s">
        <v>811</v>
      </c>
      <c r="E1151">
        <v>8</v>
      </c>
      <c r="F1151" t="s">
        <v>825</v>
      </c>
      <c r="G1151" t="s">
        <v>854</v>
      </c>
      <c r="H1151">
        <v>2101</v>
      </c>
      <c r="I1151" t="s">
        <v>836</v>
      </c>
      <c r="J1151" t="s">
        <v>842</v>
      </c>
      <c r="K1151" s="2">
        <v>45017</v>
      </c>
      <c r="L1151">
        <v>2023</v>
      </c>
      <c r="M1151">
        <v>16808</v>
      </c>
      <c r="N1151" t="s">
        <v>852</v>
      </c>
    </row>
    <row r="1152" spans="1:14" x14ac:dyDescent="0.3">
      <c r="A1152" t="s">
        <v>1489</v>
      </c>
      <c r="B1152" t="s">
        <v>760</v>
      </c>
      <c r="C1152" t="s">
        <v>806</v>
      </c>
      <c r="D1152" t="s">
        <v>817</v>
      </c>
      <c r="E1152">
        <v>9</v>
      </c>
      <c r="F1152" t="s">
        <v>825</v>
      </c>
      <c r="G1152" t="s">
        <v>854</v>
      </c>
      <c r="H1152">
        <v>8644</v>
      </c>
      <c r="I1152" t="s">
        <v>833</v>
      </c>
      <c r="J1152" t="s">
        <v>843</v>
      </c>
      <c r="K1152" s="2">
        <v>45231</v>
      </c>
      <c r="L1152">
        <v>2023</v>
      </c>
      <c r="M1152">
        <v>77796</v>
      </c>
      <c r="N1152" t="s">
        <v>852</v>
      </c>
    </row>
    <row r="1153" spans="1:14" x14ac:dyDescent="0.3">
      <c r="A1153" t="s">
        <v>1490</v>
      </c>
      <c r="B1153" t="s">
        <v>761</v>
      </c>
      <c r="C1153" t="s">
        <v>807</v>
      </c>
      <c r="D1153" t="s">
        <v>813</v>
      </c>
      <c r="E1153">
        <v>4</v>
      </c>
      <c r="F1153" t="s">
        <v>828</v>
      </c>
      <c r="G1153" t="s">
        <v>874</v>
      </c>
      <c r="H1153">
        <v>6672</v>
      </c>
      <c r="I1153" t="s">
        <v>832</v>
      </c>
      <c r="J1153" t="s">
        <v>841</v>
      </c>
      <c r="K1153" s="2">
        <v>45231</v>
      </c>
      <c r="L1153">
        <v>2023</v>
      </c>
      <c r="M1153">
        <v>26688</v>
      </c>
      <c r="N1153" t="s">
        <v>868</v>
      </c>
    </row>
    <row r="1154" spans="1:14" x14ac:dyDescent="0.3">
      <c r="A1154" t="s">
        <v>1491</v>
      </c>
      <c r="B1154" t="s">
        <v>762</v>
      </c>
      <c r="C1154" t="s">
        <v>807</v>
      </c>
      <c r="D1154" t="s">
        <v>813</v>
      </c>
      <c r="E1154">
        <v>4</v>
      </c>
      <c r="F1154" t="s">
        <v>827</v>
      </c>
      <c r="G1154" t="s">
        <v>876</v>
      </c>
      <c r="H1154">
        <v>6672</v>
      </c>
      <c r="I1154" t="s">
        <v>832</v>
      </c>
      <c r="J1154" t="s">
        <v>841</v>
      </c>
      <c r="K1154" s="2">
        <v>45413</v>
      </c>
      <c r="L1154">
        <v>2024</v>
      </c>
      <c r="M1154">
        <v>26688</v>
      </c>
      <c r="N1154" t="s">
        <v>868</v>
      </c>
    </row>
    <row r="1155" spans="1:14" x14ac:dyDescent="0.3">
      <c r="A1155" t="s">
        <v>1466</v>
      </c>
      <c r="B1155" t="s">
        <v>763</v>
      </c>
      <c r="C1155" t="s">
        <v>806</v>
      </c>
      <c r="D1155" t="s">
        <v>818</v>
      </c>
      <c r="E1155">
        <v>12</v>
      </c>
      <c r="F1155" t="s">
        <v>829</v>
      </c>
      <c r="G1155" t="s">
        <v>890</v>
      </c>
      <c r="H1155">
        <v>4699</v>
      </c>
      <c r="I1155" t="s">
        <v>832</v>
      </c>
      <c r="J1155" t="s">
        <v>844</v>
      </c>
      <c r="K1155" s="2">
        <v>45413</v>
      </c>
      <c r="L1155">
        <v>2024</v>
      </c>
      <c r="M1155">
        <v>56388</v>
      </c>
      <c r="N1155" t="s">
        <v>857</v>
      </c>
    </row>
    <row r="1156" spans="1:14" x14ac:dyDescent="0.3">
      <c r="A1156" t="s">
        <v>1248</v>
      </c>
      <c r="B1156" t="s">
        <v>764</v>
      </c>
      <c r="C1156" t="s">
        <v>807</v>
      </c>
      <c r="D1156" t="s">
        <v>816</v>
      </c>
      <c r="E1156">
        <v>14</v>
      </c>
      <c r="F1156" t="s">
        <v>828</v>
      </c>
      <c r="G1156" t="s">
        <v>904</v>
      </c>
      <c r="H1156">
        <v>4897</v>
      </c>
      <c r="I1156" t="s">
        <v>833</v>
      </c>
      <c r="J1156" t="s">
        <v>844</v>
      </c>
      <c r="K1156" s="2">
        <v>44531</v>
      </c>
      <c r="L1156">
        <v>2021</v>
      </c>
      <c r="M1156">
        <v>68558</v>
      </c>
      <c r="N1156" t="s">
        <v>857</v>
      </c>
    </row>
    <row r="1157" spans="1:14" x14ac:dyDescent="0.3">
      <c r="A1157" t="s">
        <v>991</v>
      </c>
      <c r="B1157" t="s">
        <v>765</v>
      </c>
      <c r="C1157" t="s">
        <v>807</v>
      </c>
      <c r="D1157" t="s">
        <v>816</v>
      </c>
      <c r="E1157">
        <v>14</v>
      </c>
      <c r="F1157" t="s">
        <v>829</v>
      </c>
      <c r="G1157" t="s">
        <v>890</v>
      </c>
      <c r="H1157">
        <v>4897</v>
      </c>
      <c r="I1157" t="s">
        <v>833</v>
      </c>
      <c r="J1157" t="s">
        <v>844</v>
      </c>
      <c r="K1157" s="2">
        <v>45658</v>
      </c>
      <c r="L1157">
        <v>2025</v>
      </c>
      <c r="M1157">
        <v>68558</v>
      </c>
      <c r="N1157" t="s">
        <v>857</v>
      </c>
    </row>
    <row r="1158" spans="1:14" x14ac:dyDescent="0.3">
      <c r="A1158" t="s">
        <v>1492</v>
      </c>
      <c r="B1158" t="s">
        <v>766</v>
      </c>
      <c r="C1158" t="s">
        <v>807</v>
      </c>
      <c r="D1158" t="s">
        <v>813</v>
      </c>
      <c r="E1158">
        <v>14</v>
      </c>
      <c r="F1158" t="s">
        <v>826</v>
      </c>
      <c r="G1158" t="s">
        <v>856</v>
      </c>
      <c r="H1158">
        <v>5460</v>
      </c>
      <c r="I1158" t="s">
        <v>833</v>
      </c>
      <c r="J1158" t="s">
        <v>844</v>
      </c>
      <c r="K1158" s="2">
        <v>44743</v>
      </c>
      <c r="L1158">
        <v>2022</v>
      </c>
      <c r="M1158">
        <v>76440</v>
      </c>
      <c r="N1158" t="s">
        <v>857</v>
      </c>
    </row>
    <row r="1159" spans="1:14" x14ac:dyDescent="0.3">
      <c r="A1159" t="s">
        <v>1493</v>
      </c>
      <c r="B1159" t="s">
        <v>767</v>
      </c>
      <c r="C1159" t="s">
        <v>807</v>
      </c>
      <c r="D1159" t="s">
        <v>813</v>
      </c>
      <c r="E1159">
        <v>14</v>
      </c>
      <c r="F1159" t="s">
        <v>829</v>
      </c>
      <c r="G1159" t="s">
        <v>890</v>
      </c>
      <c r="H1159">
        <v>5460</v>
      </c>
      <c r="I1159" t="s">
        <v>833</v>
      </c>
      <c r="J1159" t="s">
        <v>844</v>
      </c>
      <c r="K1159" s="2">
        <v>43922</v>
      </c>
      <c r="L1159">
        <v>2020</v>
      </c>
      <c r="M1159">
        <v>76440</v>
      </c>
      <c r="N1159" t="s">
        <v>857</v>
      </c>
    </row>
    <row r="1160" spans="1:14" x14ac:dyDescent="0.3">
      <c r="A1160" t="s">
        <v>1494</v>
      </c>
      <c r="B1160" t="s">
        <v>768</v>
      </c>
      <c r="C1160" t="s">
        <v>806</v>
      </c>
      <c r="D1160" t="s">
        <v>815</v>
      </c>
      <c r="E1160">
        <v>19</v>
      </c>
      <c r="F1160" t="s">
        <v>825</v>
      </c>
      <c r="G1160" t="s">
        <v>870</v>
      </c>
      <c r="H1160">
        <v>9272</v>
      </c>
      <c r="I1160" t="s">
        <v>832</v>
      </c>
      <c r="J1160" t="s">
        <v>843</v>
      </c>
      <c r="K1160" s="2">
        <v>45597</v>
      </c>
      <c r="L1160">
        <v>2024</v>
      </c>
      <c r="M1160">
        <v>176168</v>
      </c>
      <c r="N1160" t="s">
        <v>863</v>
      </c>
    </row>
    <row r="1161" spans="1:14" x14ac:dyDescent="0.3">
      <c r="A1161" t="s">
        <v>1312</v>
      </c>
      <c r="B1161" t="s">
        <v>769</v>
      </c>
      <c r="C1161" t="s">
        <v>806</v>
      </c>
      <c r="D1161" t="s">
        <v>815</v>
      </c>
      <c r="E1161">
        <v>19</v>
      </c>
      <c r="F1161" t="s">
        <v>828</v>
      </c>
      <c r="G1161" t="s">
        <v>874</v>
      </c>
      <c r="H1161">
        <v>9272</v>
      </c>
      <c r="I1161" t="s">
        <v>832</v>
      </c>
      <c r="J1161" t="s">
        <v>843</v>
      </c>
      <c r="K1161" s="2">
        <v>43922</v>
      </c>
      <c r="L1161">
        <v>2020</v>
      </c>
      <c r="M1161">
        <v>176168</v>
      </c>
      <c r="N1161" t="s">
        <v>863</v>
      </c>
    </row>
    <row r="1162" spans="1:14" x14ac:dyDescent="0.3">
      <c r="A1162" t="s">
        <v>1108</v>
      </c>
      <c r="B1162" t="s">
        <v>770</v>
      </c>
      <c r="C1162" t="s">
        <v>806</v>
      </c>
      <c r="D1162" t="s">
        <v>811</v>
      </c>
      <c r="E1162">
        <v>15</v>
      </c>
      <c r="F1162" t="s">
        <v>828</v>
      </c>
      <c r="G1162" t="s">
        <v>904</v>
      </c>
      <c r="H1162">
        <v>7870</v>
      </c>
      <c r="I1162" t="s">
        <v>835</v>
      </c>
      <c r="J1162" t="s">
        <v>841</v>
      </c>
      <c r="K1162" s="2">
        <v>45200</v>
      </c>
      <c r="L1162">
        <v>2023</v>
      </c>
      <c r="M1162">
        <v>118050</v>
      </c>
      <c r="N1162" t="s">
        <v>863</v>
      </c>
    </row>
    <row r="1163" spans="1:14" x14ac:dyDescent="0.3">
      <c r="A1163" t="s">
        <v>1495</v>
      </c>
      <c r="B1163" t="s">
        <v>771</v>
      </c>
      <c r="C1163" t="s">
        <v>806</v>
      </c>
      <c r="D1163" t="s">
        <v>811</v>
      </c>
      <c r="E1163">
        <v>15</v>
      </c>
      <c r="F1163" t="s">
        <v>829</v>
      </c>
      <c r="G1163" t="s">
        <v>894</v>
      </c>
      <c r="H1163">
        <v>7870</v>
      </c>
      <c r="I1163" t="s">
        <v>835</v>
      </c>
      <c r="J1163" t="s">
        <v>841</v>
      </c>
      <c r="K1163" s="2">
        <v>44256</v>
      </c>
      <c r="L1163">
        <v>2021</v>
      </c>
      <c r="M1163">
        <v>118050</v>
      </c>
      <c r="N1163" t="s">
        <v>863</v>
      </c>
    </row>
    <row r="1164" spans="1:14" x14ac:dyDescent="0.3">
      <c r="A1164" t="s">
        <v>1383</v>
      </c>
      <c r="B1164" t="s">
        <v>772</v>
      </c>
      <c r="C1164" t="s">
        <v>805</v>
      </c>
      <c r="D1164" t="s">
        <v>812</v>
      </c>
      <c r="E1164">
        <v>12</v>
      </c>
      <c r="F1164" t="s">
        <v>829</v>
      </c>
      <c r="G1164" t="s">
        <v>894</v>
      </c>
      <c r="H1164">
        <v>7992</v>
      </c>
      <c r="I1164" t="s">
        <v>835</v>
      </c>
      <c r="J1164" t="s">
        <v>841</v>
      </c>
      <c r="K1164" s="2">
        <v>45536</v>
      </c>
      <c r="L1164">
        <v>2024</v>
      </c>
      <c r="M1164">
        <v>95904</v>
      </c>
      <c r="N1164" t="s">
        <v>857</v>
      </c>
    </row>
    <row r="1165" spans="1:14" x14ac:dyDescent="0.3">
      <c r="A1165" t="s">
        <v>1102</v>
      </c>
      <c r="B1165" t="s">
        <v>773</v>
      </c>
      <c r="C1165" t="s">
        <v>805</v>
      </c>
      <c r="D1165" t="s">
        <v>812</v>
      </c>
      <c r="E1165">
        <v>12</v>
      </c>
      <c r="F1165" t="s">
        <v>826</v>
      </c>
      <c r="G1165" t="s">
        <v>865</v>
      </c>
      <c r="H1165">
        <v>7992</v>
      </c>
      <c r="I1165" t="s">
        <v>835</v>
      </c>
      <c r="J1165" t="s">
        <v>841</v>
      </c>
      <c r="K1165" s="2">
        <v>45047</v>
      </c>
      <c r="L1165">
        <v>2023</v>
      </c>
      <c r="M1165">
        <v>95904</v>
      </c>
      <c r="N1165" t="s">
        <v>857</v>
      </c>
    </row>
    <row r="1166" spans="1:14" x14ac:dyDescent="0.3">
      <c r="A1166" t="s">
        <v>1496</v>
      </c>
      <c r="B1166" t="s">
        <v>774</v>
      </c>
      <c r="C1166" t="s">
        <v>805</v>
      </c>
      <c r="D1166" t="s">
        <v>812</v>
      </c>
      <c r="E1166">
        <v>12</v>
      </c>
      <c r="F1166" t="s">
        <v>825</v>
      </c>
      <c r="G1166" t="s">
        <v>854</v>
      </c>
      <c r="H1166">
        <v>7992</v>
      </c>
      <c r="I1166" t="s">
        <v>835</v>
      </c>
      <c r="J1166" t="s">
        <v>841</v>
      </c>
      <c r="K1166" s="2">
        <v>45047</v>
      </c>
      <c r="L1166">
        <v>2023</v>
      </c>
      <c r="M1166">
        <v>95904</v>
      </c>
      <c r="N1166" t="s">
        <v>857</v>
      </c>
    </row>
    <row r="1167" spans="1:14" x14ac:dyDescent="0.3">
      <c r="A1167" t="s">
        <v>1080</v>
      </c>
      <c r="B1167" t="s">
        <v>775</v>
      </c>
      <c r="C1167" t="s">
        <v>805</v>
      </c>
      <c r="D1167" t="s">
        <v>809</v>
      </c>
      <c r="E1167">
        <v>18</v>
      </c>
      <c r="F1167" t="s">
        <v>826</v>
      </c>
      <c r="G1167" t="s">
        <v>865</v>
      </c>
      <c r="H1167">
        <v>6499</v>
      </c>
      <c r="I1167" t="s">
        <v>834</v>
      </c>
      <c r="J1167" t="s">
        <v>841</v>
      </c>
      <c r="K1167" s="2">
        <v>45444</v>
      </c>
      <c r="L1167">
        <v>2024</v>
      </c>
      <c r="M1167">
        <v>116982</v>
      </c>
      <c r="N1167" t="s">
        <v>863</v>
      </c>
    </row>
    <row r="1168" spans="1:14" x14ac:dyDescent="0.3">
      <c r="A1168" t="s">
        <v>1220</v>
      </c>
      <c r="B1168" t="s">
        <v>776</v>
      </c>
      <c r="C1168" t="s">
        <v>805</v>
      </c>
      <c r="D1168" t="s">
        <v>809</v>
      </c>
      <c r="E1168">
        <v>18</v>
      </c>
      <c r="F1168" t="s">
        <v>824</v>
      </c>
      <c r="G1168" t="s">
        <v>859</v>
      </c>
      <c r="H1168">
        <v>6499</v>
      </c>
      <c r="I1168" t="s">
        <v>834</v>
      </c>
      <c r="J1168" t="s">
        <v>841</v>
      </c>
      <c r="K1168" s="2">
        <v>44287</v>
      </c>
      <c r="L1168">
        <v>2021</v>
      </c>
      <c r="M1168">
        <v>116982</v>
      </c>
      <c r="N1168" t="s">
        <v>863</v>
      </c>
    </row>
    <row r="1169" spans="1:14" x14ac:dyDescent="0.3">
      <c r="A1169" t="s">
        <v>1497</v>
      </c>
      <c r="B1169" t="s">
        <v>777</v>
      </c>
      <c r="C1169" t="s">
        <v>806</v>
      </c>
      <c r="D1169" t="s">
        <v>811</v>
      </c>
      <c r="E1169">
        <v>9</v>
      </c>
      <c r="F1169" t="s">
        <v>827</v>
      </c>
      <c r="G1169" t="s">
        <v>876</v>
      </c>
      <c r="H1169">
        <v>8848</v>
      </c>
      <c r="I1169" t="s">
        <v>833</v>
      </c>
      <c r="J1169" t="s">
        <v>843</v>
      </c>
      <c r="K1169" s="2">
        <v>45658</v>
      </c>
      <c r="L1169">
        <v>2025</v>
      </c>
      <c r="M1169">
        <v>79632</v>
      </c>
      <c r="N1169" t="s">
        <v>852</v>
      </c>
    </row>
    <row r="1170" spans="1:14" x14ac:dyDescent="0.3">
      <c r="A1170" t="s">
        <v>1498</v>
      </c>
      <c r="B1170" t="s">
        <v>778</v>
      </c>
      <c r="C1170" t="s">
        <v>806</v>
      </c>
      <c r="D1170" t="s">
        <v>815</v>
      </c>
      <c r="E1170">
        <v>3</v>
      </c>
      <c r="F1170" t="s">
        <v>824</v>
      </c>
      <c r="G1170" t="s">
        <v>859</v>
      </c>
      <c r="H1170">
        <v>8044</v>
      </c>
      <c r="I1170" t="s">
        <v>836</v>
      </c>
      <c r="J1170" t="s">
        <v>843</v>
      </c>
      <c r="K1170" s="2">
        <v>44166</v>
      </c>
      <c r="L1170">
        <v>2020</v>
      </c>
      <c r="M1170">
        <v>24132</v>
      </c>
      <c r="N1170" t="s">
        <v>868</v>
      </c>
    </row>
    <row r="1171" spans="1:14" x14ac:dyDescent="0.3">
      <c r="A1171" t="s">
        <v>891</v>
      </c>
      <c r="B1171" t="s">
        <v>779</v>
      </c>
      <c r="C1171" t="s">
        <v>806</v>
      </c>
      <c r="D1171" t="s">
        <v>815</v>
      </c>
      <c r="E1171">
        <v>3</v>
      </c>
      <c r="F1171" t="s">
        <v>827</v>
      </c>
      <c r="G1171" t="s">
        <v>876</v>
      </c>
      <c r="H1171">
        <v>8044</v>
      </c>
      <c r="I1171" t="s">
        <v>836</v>
      </c>
      <c r="J1171" t="s">
        <v>843</v>
      </c>
      <c r="K1171" s="2">
        <v>44835</v>
      </c>
      <c r="L1171">
        <v>2022</v>
      </c>
      <c r="M1171">
        <v>24132</v>
      </c>
      <c r="N1171" t="s">
        <v>868</v>
      </c>
    </row>
    <row r="1172" spans="1:14" x14ac:dyDescent="0.3">
      <c r="A1172" t="s">
        <v>1499</v>
      </c>
      <c r="B1172" t="s">
        <v>780</v>
      </c>
      <c r="C1172" t="s">
        <v>807</v>
      </c>
      <c r="D1172" t="s">
        <v>820</v>
      </c>
      <c r="E1172">
        <v>16</v>
      </c>
      <c r="F1172" t="s">
        <v>824</v>
      </c>
      <c r="G1172" t="s">
        <v>910</v>
      </c>
      <c r="H1172">
        <v>7417</v>
      </c>
      <c r="I1172" t="s">
        <v>836</v>
      </c>
      <c r="J1172" t="s">
        <v>841</v>
      </c>
      <c r="K1172" s="2">
        <v>44470</v>
      </c>
      <c r="L1172">
        <v>2021</v>
      </c>
      <c r="M1172">
        <v>118672</v>
      </c>
      <c r="N1172" t="s">
        <v>863</v>
      </c>
    </row>
    <row r="1173" spans="1:14" x14ac:dyDescent="0.3">
      <c r="A1173" t="s">
        <v>1500</v>
      </c>
      <c r="B1173" t="s">
        <v>781</v>
      </c>
      <c r="C1173" t="s">
        <v>806</v>
      </c>
      <c r="D1173" t="s">
        <v>815</v>
      </c>
      <c r="E1173">
        <v>3</v>
      </c>
      <c r="F1173" t="s">
        <v>825</v>
      </c>
      <c r="G1173" t="s">
        <v>854</v>
      </c>
      <c r="H1173">
        <v>3451</v>
      </c>
      <c r="I1173" t="s">
        <v>832</v>
      </c>
      <c r="J1173" t="s">
        <v>842</v>
      </c>
      <c r="K1173" s="2">
        <v>45627</v>
      </c>
      <c r="L1173">
        <v>2024</v>
      </c>
      <c r="M1173">
        <v>10353</v>
      </c>
      <c r="N1173" t="s">
        <v>868</v>
      </c>
    </row>
    <row r="1174" spans="1:14" x14ac:dyDescent="0.3">
      <c r="A1174" t="s">
        <v>1501</v>
      </c>
      <c r="B1174" t="s">
        <v>782</v>
      </c>
      <c r="C1174" t="s">
        <v>805</v>
      </c>
      <c r="D1174" t="s">
        <v>812</v>
      </c>
      <c r="E1174">
        <v>4</v>
      </c>
      <c r="F1174" t="s">
        <v>828</v>
      </c>
      <c r="G1174" t="s">
        <v>880</v>
      </c>
      <c r="H1174">
        <v>8531</v>
      </c>
      <c r="I1174" t="s">
        <v>834</v>
      </c>
      <c r="J1174" t="s">
        <v>843</v>
      </c>
      <c r="K1174" s="2">
        <v>44682</v>
      </c>
      <c r="L1174">
        <v>2022</v>
      </c>
      <c r="M1174">
        <v>34124</v>
      </c>
      <c r="N1174" t="s">
        <v>868</v>
      </c>
    </row>
    <row r="1175" spans="1:14" x14ac:dyDescent="0.3">
      <c r="A1175" t="s">
        <v>1502</v>
      </c>
      <c r="B1175" t="s">
        <v>783</v>
      </c>
      <c r="C1175" t="s">
        <v>807</v>
      </c>
      <c r="D1175" t="s">
        <v>816</v>
      </c>
      <c r="E1175">
        <v>15</v>
      </c>
      <c r="F1175" t="s">
        <v>826</v>
      </c>
      <c r="G1175" t="s">
        <v>865</v>
      </c>
      <c r="H1175">
        <v>6646</v>
      </c>
      <c r="I1175" t="s">
        <v>833</v>
      </c>
      <c r="J1175" t="s">
        <v>841</v>
      </c>
      <c r="K1175" s="2">
        <v>45139</v>
      </c>
      <c r="L1175">
        <v>2023</v>
      </c>
      <c r="M1175">
        <v>99690</v>
      </c>
      <c r="N1175" t="s">
        <v>863</v>
      </c>
    </row>
    <row r="1176" spans="1:14" x14ac:dyDescent="0.3">
      <c r="A1176" t="s">
        <v>1503</v>
      </c>
      <c r="B1176" t="s">
        <v>784</v>
      </c>
      <c r="C1176" t="s">
        <v>807</v>
      </c>
      <c r="D1176" t="s">
        <v>816</v>
      </c>
      <c r="E1176">
        <v>15</v>
      </c>
      <c r="F1176" t="s">
        <v>826</v>
      </c>
      <c r="G1176" t="s">
        <v>856</v>
      </c>
      <c r="H1176">
        <v>6646</v>
      </c>
      <c r="I1176" t="s">
        <v>833</v>
      </c>
      <c r="J1176" t="s">
        <v>841</v>
      </c>
      <c r="K1176" s="2">
        <v>45108</v>
      </c>
      <c r="L1176">
        <v>2023</v>
      </c>
      <c r="M1176">
        <v>99690</v>
      </c>
      <c r="N1176" t="s">
        <v>863</v>
      </c>
    </row>
    <row r="1177" spans="1:14" x14ac:dyDescent="0.3">
      <c r="A1177" t="s">
        <v>1504</v>
      </c>
      <c r="B1177" t="s">
        <v>785</v>
      </c>
      <c r="C1177" t="s">
        <v>805</v>
      </c>
      <c r="D1177" t="s">
        <v>812</v>
      </c>
      <c r="E1177">
        <v>6</v>
      </c>
      <c r="F1177" t="s">
        <v>828</v>
      </c>
      <c r="G1177" t="s">
        <v>874</v>
      </c>
      <c r="H1177">
        <v>2553</v>
      </c>
      <c r="I1177" t="s">
        <v>835</v>
      </c>
      <c r="J1177" t="s">
        <v>842</v>
      </c>
      <c r="K1177" s="2">
        <v>45078</v>
      </c>
      <c r="L1177">
        <v>2023</v>
      </c>
      <c r="M1177">
        <v>15318</v>
      </c>
      <c r="N1177" t="s">
        <v>852</v>
      </c>
    </row>
    <row r="1178" spans="1:14" x14ac:dyDescent="0.3">
      <c r="A1178" t="s">
        <v>1022</v>
      </c>
      <c r="B1178" t="s">
        <v>786</v>
      </c>
      <c r="C1178" t="s">
        <v>805</v>
      </c>
      <c r="D1178" t="s">
        <v>819</v>
      </c>
      <c r="E1178">
        <v>3</v>
      </c>
      <c r="F1178" t="s">
        <v>826</v>
      </c>
      <c r="G1178" t="s">
        <v>865</v>
      </c>
      <c r="H1178">
        <v>8490</v>
      </c>
      <c r="I1178" t="s">
        <v>835</v>
      </c>
      <c r="J1178" t="s">
        <v>843</v>
      </c>
      <c r="K1178" s="2">
        <v>44986</v>
      </c>
      <c r="L1178">
        <v>2023</v>
      </c>
      <c r="M1178">
        <v>25470</v>
      </c>
      <c r="N1178" t="s">
        <v>868</v>
      </c>
    </row>
    <row r="1179" spans="1:14" x14ac:dyDescent="0.3">
      <c r="A1179" t="s">
        <v>1034</v>
      </c>
      <c r="B1179" t="s">
        <v>787</v>
      </c>
      <c r="C1179" t="s">
        <v>807</v>
      </c>
      <c r="D1179" t="s">
        <v>813</v>
      </c>
      <c r="E1179">
        <v>3</v>
      </c>
      <c r="F1179" t="s">
        <v>827</v>
      </c>
      <c r="G1179" t="s">
        <v>862</v>
      </c>
      <c r="H1179">
        <v>2689</v>
      </c>
      <c r="I1179" t="s">
        <v>832</v>
      </c>
      <c r="J1179" t="s">
        <v>842</v>
      </c>
      <c r="K1179" s="2">
        <v>44166</v>
      </c>
      <c r="L1179">
        <v>2020</v>
      </c>
      <c r="M1179">
        <v>8067</v>
      </c>
      <c r="N1179" t="s">
        <v>868</v>
      </c>
    </row>
    <row r="1180" spans="1:14" x14ac:dyDescent="0.3">
      <c r="A1180" t="s">
        <v>1206</v>
      </c>
      <c r="B1180" t="s">
        <v>788</v>
      </c>
      <c r="C1180" t="s">
        <v>807</v>
      </c>
      <c r="D1180" t="s">
        <v>813</v>
      </c>
      <c r="E1180">
        <v>3</v>
      </c>
      <c r="F1180" t="s">
        <v>824</v>
      </c>
      <c r="G1180" t="s">
        <v>851</v>
      </c>
      <c r="H1180">
        <v>2689</v>
      </c>
      <c r="I1180" t="s">
        <v>832</v>
      </c>
      <c r="J1180" t="s">
        <v>842</v>
      </c>
      <c r="K1180" s="2">
        <v>45413</v>
      </c>
      <c r="L1180">
        <v>2024</v>
      </c>
      <c r="M1180">
        <v>8067</v>
      </c>
      <c r="N1180" t="s">
        <v>868</v>
      </c>
    </row>
    <row r="1181" spans="1:14" x14ac:dyDescent="0.3">
      <c r="A1181" t="s">
        <v>1505</v>
      </c>
      <c r="B1181" t="s">
        <v>789</v>
      </c>
      <c r="C1181" t="s">
        <v>807</v>
      </c>
      <c r="D1181" t="s">
        <v>813</v>
      </c>
      <c r="E1181">
        <v>14</v>
      </c>
      <c r="F1181" t="s">
        <v>827</v>
      </c>
      <c r="G1181" t="s">
        <v>883</v>
      </c>
      <c r="H1181">
        <v>815</v>
      </c>
      <c r="I1181" t="s">
        <v>833</v>
      </c>
      <c r="J1181" t="s">
        <v>840</v>
      </c>
      <c r="K1181" s="2">
        <v>44317</v>
      </c>
      <c r="L1181">
        <v>2021</v>
      </c>
      <c r="M1181">
        <v>11410</v>
      </c>
      <c r="N1181" t="s">
        <v>857</v>
      </c>
    </row>
    <row r="1182" spans="1:14" x14ac:dyDescent="0.3">
      <c r="A1182" t="s">
        <v>1506</v>
      </c>
      <c r="B1182" t="s">
        <v>790</v>
      </c>
      <c r="C1182" t="s">
        <v>806</v>
      </c>
      <c r="D1182" t="s">
        <v>817</v>
      </c>
      <c r="E1182">
        <v>2</v>
      </c>
      <c r="F1182" t="s">
        <v>828</v>
      </c>
      <c r="G1182" t="s">
        <v>874</v>
      </c>
      <c r="H1182">
        <v>5024</v>
      </c>
      <c r="I1182" t="s">
        <v>832</v>
      </c>
      <c r="J1182" t="s">
        <v>844</v>
      </c>
      <c r="K1182" s="2">
        <v>45383</v>
      </c>
      <c r="L1182">
        <v>2024</v>
      </c>
      <c r="M1182">
        <v>10048</v>
      </c>
      <c r="N1182" t="s">
        <v>868</v>
      </c>
    </row>
    <row r="1183" spans="1:14" x14ac:dyDescent="0.3">
      <c r="A1183" t="s">
        <v>1507</v>
      </c>
      <c r="B1183" t="s">
        <v>791</v>
      </c>
      <c r="C1183" t="s">
        <v>806</v>
      </c>
      <c r="D1183" t="s">
        <v>817</v>
      </c>
      <c r="E1183">
        <v>2</v>
      </c>
      <c r="F1183" t="s">
        <v>825</v>
      </c>
      <c r="G1183" t="s">
        <v>921</v>
      </c>
      <c r="H1183">
        <v>5024</v>
      </c>
      <c r="I1183" t="s">
        <v>832</v>
      </c>
      <c r="J1183" t="s">
        <v>844</v>
      </c>
      <c r="K1183" s="2">
        <v>44896</v>
      </c>
      <c r="L1183">
        <v>2022</v>
      </c>
      <c r="M1183">
        <v>10048</v>
      </c>
      <c r="N1183" t="s">
        <v>868</v>
      </c>
    </row>
    <row r="1184" spans="1:14" x14ac:dyDescent="0.3">
      <c r="A1184" t="s">
        <v>1508</v>
      </c>
      <c r="B1184" t="s">
        <v>792</v>
      </c>
      <c r="C1184" t="s">
        <v>805</v>
      </c>
      <c r="D1184" t="s">
        <v>809</v>
      </c>
      <c r="E1184">
        <v>18</v>
      </c>
      <c r="F1184" t="s">
        <v>829</v>
      </c>
      <c r="G1184" t="s">
        <v>894</v>
      </c>
      <c r="H1184">
        <v>8962</v>
      </c>
      <c r="I1184" t="s">
        <v>833</v>
      </c>
      <c r="J1184" t="s">
        <v>843</v>
      </c>
      <c r="K1184" s="2">
        <v>44378</v>
      </c>
      <c r="L1184">
        <v>2021</v>
      </c>
      <c r="M1184">
        <v>161316</v>
      </c>
      <c r="N1184" t="s">
        <v>863</v>
      </c>
    </row>
    <row r="1185" spans="1:14" x14ac:dyDescent="0.3">
      <c r="A1185" t="s">
        <v>1509</v>
      </c>
      <c r="B1185" t="s">
        <v>793</v>
      </c>
      <c r="C1185" t="s">
        <v>805</v>
      </c>
      <c r="D1185" t="s">
        <v>809</v>
      </c>
      <c r="E1185">
        <v>18</v>
      </c>
      <c r="F1185" t="s">
        <v>825</v>
      </c>
      <c r="G1185" t="s">
        <v>921</v>
      </c>
      <c r="H1185">
        <v>8962</v>
      </c>
      <c r="I1185" t="s">
        <v>833</v>
      </c>
      <c r="J1185" t="s">
        <v>843</v>
      </c>
      <c r="K1185" s="2">
        <v>43891</v>
      </c>
      <c r="L1185">
        <v>2020</v>
      </c>
      <c r="M1185">
        <v>161316</v>
      </c>
      <c r="N1185" t="s">
        <v>863</v>
      </c>
    </row>
    <row r="1186" spans="1:14" x14ac:dyDescent="0.3">
      <c r="A1186" t="s">
        <v>1510</v>
      </c>
      <c r="B1186" t="s">
        <v>794</v>
      </c>
      <c r="C1186" t="s">
        <v>806</v>
      </c>
      <c r="D1186" t="s">
        <v>818</v>
      </c>
      <c r="E1186">
        <v>12</v>
      </c>
      <c r="F1186" t="s">
        <v>824</v>
      </c>
      <c r="G1186" t="s">
        <v>859</v>
      </c>
      <c r="H1186">
        <v>1961</v>
      </c>
      <c r="I1186" t="s">
        <v>832</v>
      </c>
      <c r="J1186" t="s">
        <v>840</v>
      </c>
      <c r="K1186" s="2">
        <v>44044</v>
      </c>
      <c r="L1186">
        <v>2020</v>
      </c>
      <c r="M1186">
        <v>23532</v>
      </c>
      <c r="N1186" t="s">
        <v>857</v>
      </c>
    </row>
    <row r="1187" spans="1:14" x14ac:dyDescent="0.3">
      <c r="A1187" t="s">
        <v>1511</v>
      </c>
      <c r="B1187" t="s">
        <v>795</v>
      </c>
      <c r="C1187" t="s">
        <v>807</v>
      </c>
      <c r="D1187" t="s">
        <v>816</v>
      </c>
      <c r="E1187">
        <v>4</v>
      </c>
      <c r="F1187" t="s">
        <v>825</v>
      </c>
      <c r="G1187" t="s">
        <v>854</v>
      </c>
      <c r="H1187">
        <v>526</v>
      </c>
      <c r="I1187" t="s">
        <v>835</v>
      </c>
      <c r="J1187" t="s">
        <v>840</v>
      </c>
      <c r="K1187" s="2">
        <v>44593</v>
      </c>
      <c r="L1187">
        <v>2022</v>
      </c>
      <c r="M1187">
        <v>2104</v>
      </c>
      <c r="N1187" t="s">
        <v>868</v>
      </c>
    </row>
    <row r="1188" spans="1:14" x14ac:dyDescent="0.3">
      <c r="A1188" t="s">
        <v>1512</v>
      </c>
      <c r="B1188" t="s">
        <v>796</v>
      </c>
      <c r="C1188" t="s">
        <v>807</v>
      </c>
      <c r="D1188" t="s">
        <v>820</v>
      </c>
      <c r="E1188">
        <v>9</v>
      </c>
      <c r="F1188" t="s">
        <v>827</v>
      </c>
      <c r="G1188" t="s">
        <v>883</v>
      </c>
      <c r="H1188">
        <v>6093</v>
      </c>
      <c r="I1188" t="s">
        <v>833</v>
      </c>
      <c r="J1188" t="s">
        <v>841</v>
      </c>
      <c r="K1188" s="2">
        <v>44348</v>
      </c>
      <c r="L1188">
        <v>2021</v>
      </c>
      <c r="M1188">
        <v>54837</v>
      </c>
      <c r="N1188" t="s">
        <v>852</v>
      </c>
    </row>
    <row r="1189" spans="1:14" x14ac:dyDescent="0.3">
      <c r="A1189" t="s">
        <v>1513</v>
      </c>
      <c r="B1189" t="s">
        <v>797</v>
      </c>
      <c r="C1189" t="s">
        <v>807</v>
      </c>
      <c r="D1189" t="s">
        <v>820</v>
      </c>
      <c r="E1189">
        <v>9</v>
      </c>
      <c r="F1189" t="s">
        <v>827</v>
      </c>
      <c r="G1189" t="s">
        <v>876</v>
      </c>
      <c r="H1189">
        <v>6093</v>
      </c>
      <c r="I1189" t="s">
        <v>833</v>
      </c>
      <c r="J1189" t="s">
        <v>841</v>
      </c>
      <c r="K1189" s="2">
        <v>44256</v>
      </c>
      <c r="L1189">
        <v>2021</v>
      </c>
      <c r="M1189">
        <v>54837</v>
      </c>
      <c r="N1189" t="s">
        <v>852</v>
      </c>
    </row>
    <row r="1190" spans="1:14" x14ac:dyDescent="0.3">
      <c r="A1190" t="s">
        <v>1514</v>
      </c>
      <c r="B1190" t="s">
        <v>798</v>
      </c>
      <c r="C1190" t="s">
        <v>805</v>
      </c>
      <c r="D1190" t="s">
        <v>809</v>
      </c>
      <c r="E1190">
        <v>5</v>
      </c>
      <c r="F1190" t="s">
        <v>828</v>
      </c>
      <c r="G1190" t="s">
        <v>880</v>
      </c>
      <c r="H1190">
        <v>7699</v>
      </c>
      <c r="I1190" t="s">
        <v>833</v>
      </c>
      <c r="J1190" t="s">
        <v>841</v>
      </c>
      <c r="K1190" s="2">
        <v>45170</v>
      </c>
      <c r="L1190">
        <v>2023</v>
      </c>
      <c r="M1190">
        <v>38495</v>
      </c>
      <c r="N1190" t="s">
        <v>852</v>
      </c>
    </row>
    <row r="1191" spans="1:14" x14ac:dyDescent="0.3">
      <c r="A1191" t="s">
        <v>1515</v>
      </c>
      <c r="B1191" t="s">
        <v>799</v>
      </c>
      <c r="C1191" t="s">
        <v>807</v>
      </c>
      <c r="D1191" t="s">
        <v>813</v>
      </c>
      <c r="E1191">
        <v>15</v>
      </c>
      <c r="F1191" t="s">
        <v>826</v>
      </c>
      <c r="G1191" t="s">
        <v>865</v>
      </c>
      <c r="H1191">
        <v>8825</v>
      </c>
      <c r="I1191" t="s">
        <v>833</v>
      </c>
      <c r="J1191" t="s">
        <v>843</v>
      </c>
      <c r="K1191" s="2">
        <v>45474</v>
      </c>
      <c r="L1191">
        <v>2024</v>
      </c>
      <c r="M1191">
        <v>132375</v>
      </c>
      <c r="N1191" t="s">
        <v>863</v>
      </c>
    </row>
    <row r="1192" spans="1:14" x14ac:dyDescent="0.3">
      <c r="A1192" t="s">
        <v>1516</v>
      </c>
      <c r="B1192" t="s">
        <v>800</v>
      </c>
      <c r="C1192" t="s">
        <v>805</v>
      </c>
      <c r="D1192" t="s">
        <v>819</v>
      </c>
      <c r="E1192">
        <v>8</v>
      </c>
      <c r="F1192" t="s">
        <v>826</v>
      </c>
      <c r="G1192" t="s">
        <v>872</v>
      </c>
      <c r="H1192">
        <v>2082</v>
      </c>
      <c r="I1192" t="s">
        <v>834</v>
      </c>
      <c r="J1192" t="s">
        <v>842</v>
      </c>
      <c r="K1192" s="2">
        <v>43983</v>
      </c>
      <c r="L1192">
        <v>2020</v>
      </c>
      <c r="M1192">
        <v>16656</v>
      </c>
      <c r="N1192" t="s">
        <v>852</v>
      </c>
    </row>
    <row r="1193" spans="1:14" x14ac:dyDescent="0.3">
      <c r="A1193" t="s">
        <v>1517</v>
      </c>
      <c r="B1193" t="s">
        <v>801</v>
      </c>
      <c r="C1193" t="s">
        <v>805</v>
      </c>
      <c r="D1193" t="s">
        <v>819</v>
      </c>
      <c r="E1193">
        <v>8</v>
      </c>
      <c r="F1193" t="s">
        <v>828</v>
      </c>
      <c r="G1193" t="s">
        <v>880</v>
      </c>
      <c r="H1193">
        <v>2082</v>
      </c>
      <c r="I1193" t="s">
        <v>834</v>
      </c>
      <c r="J1193" t="s">
        <v>842</v>
      </c>
      <c r="K1193" s="2">
        <v>44896</v>
      </c>
      <c r="L1193">
        <v>2022</v>
      </c>
      <c r="M1193">
        <v>16656</v>
      </c>
      <c r="N1193" t="s">
        <v>852</v>
      </c>
    </row>
    <row r="1194" spans="1:14" x14ac:dyDescent="0.3">
      <c r="A1194" t="s">
        <v>1518</v>
      </c>
      <c r="B1194" t="s">
        <v>802</v>
      </c>
      <c r="C1194" t="s">
        <v>805</v>
      </c>
      <c r="D1194" t="s">
        <v>819</v>
      </c>
      <c r="E1194">
        <v>8</v>
      </c>
      <c r="F1194" t="s">
        <v>826</v>
      </c>
      <c r="G1194" t="s">
        <v>856</v>
      </c>
      <c r="H1194">
        <v>2082</v>
      </c>
      <c r="I1194" t="s">
        <v>834</v>
      </c>
      <c r="J1194" t="s">
        <v>842</v>
      </c>
      <c r="K1194" s="2">
        <v>44044</v>
      </c>
      <c r="L1194">
        <v>2020</v>
      </c>
      <c r="M1194">
        <v>16656</v>
      </c>
      <c r="N1194" t="s">
        <v>852</v>
      </c>
    </row>
    <row r="1195" spans="1:14" x14ac:dyDescent="0.3">
      <c r="A1195" t="s">
        <v>1519</v>
      </c>
      <c r="B1195" t="s">
        <v>803</v>
      </c>
      <c r="C1195" t="s">
        <v>806</v>
      </c>
      <c r="D1195" t="s">
        <v>815</v>
      </c>
      <c r="E1195">
        <v>13</v>
      </c>
      <c r="F1195" t="s">
        <v>825</v>
      </c>
      <c r="G1195" t="s">
        <v>854</v>
      </c>
      <c r="H1195">
        <v>914</v>
      </c>
      <c r="I1195" t="s">
        <v>832</v>
      </c>
      <c r="J1195" t="s">
        <v>840</v>
      </c>
      <c r="K1195" s="2">
        <v>45566</v>
      </c>
      <c r="L1195">
        <v>2024</v>
      </c>
      <c r="M1195">
        <v>11882</v>
      </c>
      <c r="N1195" t="s">
        <v>857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609E5-5D8A-442C-92F7-47915AA48D46}">
  <dimension ref="A2:D113"/>
  <sheetViews>
    <sheetView workbookViewId="0">
      <selection activeCell="B9" sqref="B9"/>
    </sheetView>
  </sheetViews>
  <sheetFormatPr defaultRowHeight="14.4" x14ac:dyDescent="0.3"/>
  <cols>
    <col min="1" max="1" width="16.33203125" bestFit="1" customWidth="1"/>
    <col min="2" max="2" width="19" bestFit="1" customWidth="1"/>
    <col min="3" max="3" width="21" bestFit="1" customWidth="1"/>
    <col min="4" max="4" width="9.77734375" bestFit="1" customWidth="1"/>
    <col min="5" max="6" width="8" bestFit="1" customWidth="1"/>
    <col min="7" max="7" width="10.77734375" bestFit="1" customWidth="1"/>
    <col min="8" max="8" width="14.44140625" bestFit="1" customWidth="1"/>
    <col min="9" max="9" width="15.21875" bestFit="1" customWidth="1"/>
    <col min="10" max="10" width="14.44140625" bestFit="1" customWidth="1"/>
    <col min="11" max="11" width="8.6640625" bestFit="1" customWidth="1"/>
    <col min="12" max="12" width="10.21875" bestFit="1" customWidth="1"/>
    <col min="13" max="13" width="8" bestFit="1" customWidth="1"/>
    <col min="14" max="14" width="10.77734375" bestFit="1" customWidth="1"/>
    <col min="15" max="16" width="9.33203125" bestFit="1" customWidth="1"/>
    <col min="17" max="17" width="12.33203125" bestFit="1" customWidth="1"/>
    <col min="18" max="18" width="10" bestFit="1" customWidth="1"/>
    <col min="19" max="19" width="6.77734375" bestFit="1" customWidth="1"/>
    <col min="20" max="20" width="10.77734375" bestFit="1" customWidth="1"/>
    <col min="21" max="21" width="7" bestFit="1" customWidth="1"/>
    <col min="22" max="22" width="10.77734375" bestFit="1" customWidth="1"/>
  </cols>
  <sheetData>
    <row r="2" spans="1:4" ht="21" x14ac:dyDescent="0.4">
      <c r="A2" s="7" t="s">
        <v>1521</v>
      </c>
      <c r="B2" s="7"/>
    </row>
    <row r="4" spans="1:4" ht="18" x14ac:dyDescent="0.35">
      <c r="A4" s="3" t="s">
        <v>839</v>
      </c>
      <c r="B4" s="4" t="s">
        <v>1520</v>
      </c>
    </row>
    <row r="5" spans="1:4" ht="18" x14ac:dyDescent="0.35">
      <c r="A5" s="5" t="s">
        <v>805</v>
      </c>
      <c r="B5" s="6">
        <v>22676397</v>
      </c>
    </row>
    <row r="6" spans="1:4" ht="18" x14ac:dyDescent="0.35">
      <c r="A6" s="5" t="s">
        <v>807</v>
      </c>
      <c r="B6" s="6">
        <v>22402327</v>
      </c>
    </row>
    <row r="7" spans="1:4" ht="18" x14ac:dyDescent="0.35">
      <c r="A7" s="5" t="s">
        <v>806</v>
      </c>
      <c r="B7" s="6">
        <v>21778833</v>
      </c>
    </row>
    <row r="8" spans="1:4" ht="18" x14ac:dyDescent="0.35">
      <c r="A8" s="5" t="s">
        <v>838</v>
      </c>
      <c r="B8" s="4">
        <v>66857557</v>
      </c>
    </row>
    <row r="10" spans="1:4" ht="18" x14ac:dyDescent="0.35">
      <c r="C10" s="5"/>
      <c r="D10" s="6"/>
    </row>
    <row r="11" spans="1:4" ht="21" x14ac:dyDescent="0.4">
      <c r="A11" s="7" t="s">
        <v>1522</v>
      </c>
      <c r="B11" s="7"/>
      <c r="C11" s="5"/>
      <c r="D11" s="6"/>
    </row>
    <row r="12" spans="1:4" ht="18" x14ac:dyDescent="0.35">
      <c r="C12" s="5"/>
      <c r="D12" s="6"/>
    </row>
    <row r="13" spans="1:4" ht="18" x14ac:dyDescent="0.35">
      <c r="A13" s="3" t="s">
        <v>839</v>
      </c>
      <c r="B13" t="s">
        <v>1520</v>
      </c>
      <c r="C13" s="5"/>
      <c r="D13" s="4"/>
    </row>
    <row r="14" spans="1:4" x14ac:dyDescent="0.3">
      <c r="A14" s="1" t="s">
        <v>826</v>
      </c>
      <c r="B14">
        <v>12712556</v>
      </c>
      <c r="C14" s="1"/>
    </row>
    <row r="15" spans="1:4" x14ac:dyDescent="0.3">
      <c r="A15" s="1" t="s">
        <v>824</v>
      </c>
      <c r="B15">
        <v>12091638</v>
      </c>
      <c r="C15" s="1"/>
    </row>
    <row r="16" spans="1:4" x14ac:dyDescent="0.3">
      <c r="A16" s="1" t="s">
        <v>827</v>
      </c>
      <c r="B16">
        <v>11425081</v>
      </c>
    </row>
    <row r="17" spans="1:2" x14ac:dyDescent="0.3">
      <c r="A17" s="1" t="s">
        <v>828</v>
      </c>
      <c r="B17">
        <v>10719450</v>
      </c>
    </row>
    <row r="18" spans="1:2" x14ac:dyDescent="0.3">
      <c r="A18" s="1" t="s">
        <v>829</v>
      </c>
      <c r="B18">
        <v>10100148</v>
      </c>
    </row>
    <row r="19" spans="1:2" x14ac:dyDescent="0.3">
      <c r="A19" s="1" t="s">
        <v>825</v>
      </c>
      <c r="B19">
        <v>9808684</v>
      </c>
    </row>
    <row r="20" spans="1:2" x14ac:dyDescent="0.3">
      <c r="A20" s="1" t="s">
        <v>838</v>
      </c>
      <c r="B20">
        <v>66857557</v>
      </c>
    </row>
    <row r="21" spans="1:2" ht="18" x14ac:dyDescent="0.35">
      <c r="A21" s="5"/>
      <c r="B21" s="6"/>
    </row>
    <row r="23" spans="1:2" ht="21" x14ac:dyDescent="0.4">
      <c r="A23" s="7" t="s">
        <v>1523</v>
      </c>
    </row>
    <row r="25" spans="1:2" ht="18" x14ac:dyDescent="0.35">
      <c r="A25" s="3" t="s">
        <v>839</v>
      </c>
      <c r="B25" s="4" t="s">
        <v>845</v>
      </c>
    </row>
    <row r="26" spans="1:2" ht="18" x14ac:dyDescent="0.35">
      <c r="A26" s="5" t="s">
        <v>840</v>
      </c>
      <c r="B26" s="4">
        <v>2106</v>
      </c>
    </row>
    <row r="27" spans="1:2" ht="18" x14ac:dyDescent="0.35">
      <c r="A27" s="5" t="s">
        <v>841</v>
      </c>
      <c r="B27" s="4">
        <v>2656</v>
      </c>
    </row>
    <row r="28" spans="1:2" ht="18" x14ac:dyDescent="0.35">
      <c r="A28" s="5" t="s">
        <v>842</v>
      </c>
      <c r="B28" s="4">
        <v>2598</v>
      </c>
    </row>
    <row r="29" spans="1:2" ht="18" x14ac:dyDescent="0.35">
      <c r="A29" s="5" t="s">
        <v>843</v>
      </c>
      <c r="B29" s="4">
        <v>2733</v>
      </c>
    </row>
    <row r="30" spans="1:2" ht="18" x14ac:dyDescent="0.35">
      <c r="A30" s="5" t="s">
        <v>844</v>
      </c>
      <c r="B30" s="4">
        <v>2652</v>
      </c>
    </row>
    <row r="31" spans="1:2" ht="18" x14ac:dyDescent="0.35">
      <c r="A31" s="5" t="s">
        <v>838</v>
      </c>
      <c r="B31" s="4">
        <v>12745</v>
      </c>
    </row>
    <row r="34" spans="1:2" ht="21" x14ac:dyDescent="0.4">
      <c r="A34" s="7" t="s">
        <v>1524</v>
      </c>
    </row>
    <row r="36" spans="1:2" ht="18" x14ac:dyDescent="0.35">
      <c r="A36" s="3" t="s">
        <v>839</v>
      </c>
      <c r="B36" s="4" t="s">
        <v>1520</v>
      </c>
    </row>
    <row r="37" spans="1:2" ht="18" x14ac:dyDescent="0.35">
      <c r="A37" s="5" t="s">
        <v>836</v>
      </c>
      <c r="B37" s="4">
        <v>12211619</v>
      </c>
    </row>
    <row r="38" spans="1:2" ht="18" x14ac:dyDescent="0.35">
      <c r="A38" s="5" t="s">
        <v>835</v>
      </c>
      <c r="B38" s="4">
        <v>14078248</v>
      </c>
    </row>
    <row r="39" spans="1:2" ht="18" x14ac:dyDescent="0.35">
      <c r="A39" s="5" t="s">
        <v>833</v>
      </c>
      <c r="B39" s="4">
        <v>14957183</v>
      </c>
    </row>
    <row r="40" spans="1:2" ht="18" x14ac:dyDescent="0.35">
      <c r="A40" s="5" t="s">
        <v>834</v>
      </c>
      <c r="B40" s="4">
        <v>12257242</v>
      </c>
    </row>
    <row r="41" spans="1:2" ht="18" x14ac:dyDescent="0.35">
      <c r="A41" s="5" t="s">
        <v>832</v>
      </c>
      <c r="B41" s="4">
        <v>13353265</v>
      </c>
    </row>
    <row r="42" spans="1:2" ht="18" x14ac:dyDescent="0.35">
      <c r="A42" s="5" t="s">
        <v>838</v>
      </c>
      <c r="B42" s="4">
        <v>66857557</v>
      </c>
    </row>
    <row r="45" spans="1:2" ht="21" x14ac:dyDescent="0.4">
      <c r="A45" s="7" t="s">
        <v>1529</v>
      </c>
    </row>
    <row r="47" spans="1:2" x14ac:dyDescent="0.3">
      <c r="A47" s="8" t="s">
        <v>839</v>
      </c>
      <c r="B47" t="s">
        <v>1520</v>
      </c>
    </row>
    <row r="48" spans="1:2" x14ac:dyDescent="0.3">
      <c r="A48" s="9">
        <v>43891</v>
      </c>
      <c r="B48">
        <v>269290</v>
      </c>
    </row>
    <row r="49" spans="1:2" x14ac:dyDescent="0.3">
      <c r="A49" s="9">
        <v>43922</v>
      </c>
      <c r="B49">
        <v>1142938</v>
      </c>
    </row>
    <row r="50" spans="1:2" x14ac:dyDescent="0.3">
      <c r="A50" s="9">
        <v>43952</v>
      </c>
      <c r="B50">
        <v>1235881</v>
      </c>
    </row>
    <row r="51" spans="1:2" x14ac:dyDescent="0.3">
      <c r="A51" s="9">
        <v>43983</v>
      </c>
      <c r="B51">
        <v>529673</v>
      </c>
    </row>
    <row r="52" spans="1:2" x14ac:dyDescent="0.3">
      <c r="A52" s="9">
        <v>44013</v>
      </c>
      <c r="B52">
        <v>287062</v>
      </c>
    </row>
    <row r="53" spans="1:2" x14ac:dyDescent="0.3">
      <c r="A53" s="9">
        <v>44044</v>
      </c>
      <c r="B53">
        <v>600631</v>
      </c>
    </row>
    <row r="54" spans="1:2" x14ac:dyDescent="0.3">
      <c r="A54" s="9">
        <v>44075</v>
      </c>
      <c r="B54">
        <v>1191005</v>
      </c>
    </row>
    <row r="55" spans="1:2" x14ac:dyDescent="0.3">
      <c r="A55" s="9">
        <v>44105</v>
      </c>
      <c r="B55">
        <v>1196382</v>
      </c>
    </row>
    <row r="56" spans="1:2" x14ac:dyDescent="0.3">
      <c r="A56" s="9">
        <v>44136</v>
      </c>
      <c r="B56">
        <v>1265096</v>
      </c>
    </row>
    <row r="57" spans="1:2" x14ac:dyDescent="0.3">
      <c r="A57" s="9">
        <v>44166</v>
      </c>
      <c r="B57">
        <v>716425</v>
      </c>
    </row>
    <row r="58" spans="1:2" x14ac:dyDescent="0.3">
      <c r="A58" s="9">
        <v>44197</v>
      </c>
      <c r="B58">
        <v>155298</v>
      </c>
    </row>
    <row r="59" spans="1:2" x14ac:dyDescent="0.3">
      <c r="A59" s="9">
        <v>44228</v>
      </c>
      <c r="B59">
        <v>998679</v>
      </c>
    </row>
    <row r="60" spans="1:2" x14ac:dyDescent="0.3">
      <c r="A60" s="9">
        <v>44256</v>
      </c>
      <c r="B60">
        <v>1200758</v>
      </c>
    </row>
    <row r="61" spans="1:2" x14ac:dyDescent="0.3">
      <c r="A61" s="9">
        <v>44287</v>
      </c>
      <c r="B61">
        <v>980019</v>
      </c>
    </row>
    <row r="62" spans="1:2" x14ac:dyDescent="0.3">
      <c r="A62" s="9">
        <v>44317</v>
      </c>
      <c r="B62">
        <v>1652833</v>
      </c>
    </row>
    <row r="63" spans="1:2" x14ac:dyDescent="0.3">
      <c r="A63" s="9">
        <v>44348</v>
      </c>
      <c r="B63">
        <v>1191117</v>
      </c>
    </row>
    <row r="64" spans="1:2" x14ac:dyDescent="0.3">
      <c r="A64" s="9">
        <v>44378</v>
      </c>
      <c r="B64">
        <v>967031</v>
      </c>
    </row>
    <row r="65" spans="1:2" x14ac:dyDescent="0.3">
      <c r="A65" s="9">
        <v>44409</v>
      </c>
      <c r="B65">
        <v>850724</v>
      </c>
    </row>
    <row r="66" spans="1:2" x14ac:dyDescent="0.3">
      <c r="A66" s="9">
        <v>44440</v>
      </c>
      <c r="B66">
        <v>589604</v>
      </c>
    </row>
    <row r="67" spans="1:2" x14ac:dyDescent="0.3">
      <c r="A67" s="9">
        <v>44470</v>
      </c>
      <c r="B67">
        <v>1564254</v>
      </c>
    </row>
    <row r="68" spans="1:2" x14ac:dyDescent="0.3">
      <c r="A68" s="9">
        <v>44501</v>
      </c>
      <c r="B68">
        <v>1738226</v>
      </c>
    </row>
    <row r="69" spans="1:2" x14ac:dyDescent="0.3">
      <c r="A69" s="9">
        <v>44531</v>
      </c>
      <c r="B69">
        <v>1618794</v>
      </c>
    </row>
    <row r="70" spans="1:2" x14ac:dyDescent="0.3">
      <c r="A70" s="9">
        <v>44562</v>
      </c>
      <c r="B70">
        <v>1503882</v>
      </c>
    </row>
    <row r="71" spans="1:2" x14ac:dyDescent="0.3">
      <c r="A71" s="9">
        <v>44593</v>
      </c>
      <c r="B71">
        <v>892961</v>
      </c>
    </row>
    <row r="72" spans="1:2" x14ac:dyDescent="0.3">
      <c r="A72" s="9">
        <v>44621</v>
      </c>
      <c r="B72">
        <v>1158029</v>
      </c>
    </row>
    <row r="73" spans="1:2" x14ac:dyDescent="0.3">
      <c r="A73" s="9">
        <v>44652</v>
      </c>
      <c r="B73">
        <v>1380710</v>
      </c>
    </row>
    <row r="74" spans="1:2" x14ac:dyDescent="0.3">
      <c r="A74" s="9">
        <v>44682</v>
      </c>
      <c r="B74">
        <v>1559275</v>
      </c>
    </row>
    <row r="75" spans="1:2" x14ac:dyDescent="0.3">
      <c r="A75" s="9">
        <v>44713</v>
      </c>
      <c r="B75">
        <v>1904778</v>
      </c>
    </row>
    <row r="76" spans="1:2" x14ac:dyDescent="0.3">
      <c r="A76" s="9">
        <v>44743</v>
      </c>
      <c r="B76">
        <v>847266</v>
      </c>
    </row>
    <row r="77" spans="1:2" x14ac:dyDescent="0.3">
      <c r="A77" s="9">
        <v>44774</v>
      </c>
      <c r="B77">
        <v>2590882</v>
      </c>
    </row>
    <row r="78" spans="1:2" x14ac:dyDescent="0.3">
      <c r="A78" s="9">
        <v>44805</v>
      </c>
      <c r="B78">
        <v>661366</v>
      </c>
    </row>
    <row r="79" spans="1:2" x14ac:dyDescent="0.3">
      <c r="A79" s="9">
        <v>44835</v>
      </c>
      <c r="B79">
        <v>1356639</v>
      </c>
    </row>
    <row r="80" spans="1:2" x14ac:dyDescent="0.3">
      <c r="A80" s="9">
        <v>44866</v>
      </c>
      <c r="B80">
        <v>491601</v>
      </c>
    </row>
    <row r="81" spans="1:2" x14ac:dyDescent="0.3">
      <c r="A81" s="9">
        <v>44896</v>
      </c>
      <c r="B81">
        <v>2251057</v>
      </c>
    </row>
    <row r="82" spans="1:2" x14ac:dyDescent="0.3">
      <c r="A82" s="9">
        <v>44927</v>
      </c>
      <c r="B82">
        <v>736449</v>
      </c>
    </row>
    <row r="83" spans="1:2" x14ac:dyDescent="0.3">
      <c r="A83" s="9">
        <v>44958</v>
      </c>
      <c r="B83">
        <v>765183</v>
      </c>
    </row>
    <row r="84" spans="1:2" x14ac:dyDescent="0.3">
      <c r="A84" s="9">
        <v>44986</v>
      </c>
      <c r="B84">
        <v>1133352</v>
      </c>
    </row>
    <row r="85" spans="1:2" x14ac:dyDescent="0.3">
      <c r="A85" s="9">
        <v>45017</v>
      </c>
      <c r="B85">
        <v>1061935</v>
      </c>
    </row>
    <row r="86" spans="1:2" x14ac:dyDescent="0.3">
      <c r="A86" s="9">
        <v>45047</v>
      </c>
      <c r="B86">
        <v>846483</v>
      </c>
    </row>
    <row r="87" spans="1:2" x14ac:dyDescent="0.3">
      <c r="A87" s="9">
        <v>45078</v>
      </c>
      <c r="B87">
        <v>1126248</v>
      </c>
    </row>
    <row r="88" spans="1:2" x14ac:dyDescent="0.3">
      <c r="A88" s="9">
        <v>45108</v>
      </c>
      <c r="B88">
        <v>1970469</v>
      </c>
    </row>
    <row r="89" spans="1:2" x14ac:dyDescent="0.3">
      <c r="A89" s="9">
        <v>45139</v>
      </c>
      <c r="B89">
        <v>1006513</v>
      </c>
    </row>
    <row r="90" spans="1:2" x14ac:dyDescent="0.3">
      <c r="A90" s="9">
        <v>45170</v>
      </c>
      <c r="B90">
        <v>1123588</v>
      </c>
    </row>
    <row r="91" spans="1:2" x14ac:dyDescent="0.3">
      <c r="A91" s="9">
        <v>45200</v>
      </c>
      <c r="B91">
        <v>1296142</v>
      </c>
    </row>
    <row r="92" spans="1:2" x14ac:dyDescent="0.3">
      <c r="A92" s="9">
        <v>45231</v>
      </c>
      <c r="B92">
        <v>816408</v>
      </c>
    </row>
    <row r="93" spans="1:2" x14ac:dyDescent="0.3">
      <c r="A93" s="9">
        <v>45261</v>
      </c>
      <c r="B93">
        <v>1543770</v>
      </c>
    </row>
    <row r="94" spans="1:2" x14ac:dyDescent="0.3">
      <c r="A94" s="9">
        <v>45292</v>
      </c>
      <c r="B94">
        <v>602083</v>
      </c>
    </row>
    <row r="95" spans="1:2" x14ac:dyDescent="0.3">
      <c r="A95" s="9">
        <v>45323</v>
      </c>
      <c r="B95">
        <v>1311070</v>
      </c>
    </row>
    <row r="96" spans="1:2" x14ac:dyDescent="0.3">
      <c r="A96" s="9">
        <v>45352</v>
      </c>
      <c r="B96">
        <v>1430459</v>
      </c>
    </row>
    <row r="97" spans="1:3" x14ac:dyDescent="0.3">
      <c r="A97" s="9">
        <v>45383</v>
      </c>
      <c r="B97">
        <v>957719</v>
      </c>
    </row>
    <row r="98" spans="1:3" x14ac:dyDescent="0.3">
      <c r="A98" s="9">
        <v>45413</v>
      </c>
      <c r="B98">
        <v>1043902</v>
      </c>
    </row>
    <row r="99" spans="1:3" x14ac:dyDescent="0.3">
      <c r="A99" s="9">
        <v>45444</v>
      </c>
      <c r="B99">
        <v>1718342</v>
      </c>
    </row>
    <row r="100" spans="1:3" x14ac:dyDescent="0.3">
      <c r="A100" s="9">
        <v>45474</v>
      </c>
      <c r="B100">
        <v>1251274</v>
      </c>
    </row>
    <row r="101" spans="1:3" x14ac:dyDescent="0.3">
      <c r="A101" s="9">
        <v>45505</v>
      </c>
      <c r="B101">
        <v>781404</v>
      </c>
    </row>
    <row r="102" spans="1:3" x14ac:dyDescent="0.3">
      <c r="A102" s="9">
        <v>45536</v>
      </c>
      <c r="B102">
        <v>1079707</v>
      </c>
    </row>
    <row r="103" spans="1:3" x14ac:dyDescent="0.3">
      <c r="A103" s="9">
        <v>45566</v>
      </c>
      <c r="B103">
        <v>774724</v>
      </c>
    </row>
    <row r="104" spans="1:3" x14ac:dyDescent="0.3">
      <c r="A104" s="9">
        <v>45597</v>
      </c>
      <c r="B104">
        <v>804803</v>
      </c>
    </row>
    <row r="105" spans="1:3" x14ac:dyDescent="0.3">
      <c r="A105" s="9">
        <v>45627</v>
      </c>
      <c r="B105">
        <v>685269</v>
      </c>
    </row>
    <row r="106" spans="1:3" x14ac:dyDescent="0.3">
      <c r="A106" s="9">
        <v>45658</v>
      </c>
      <c r="B106">
        <v>1202644</v>
      </c>
    </row>
    <row r="107" spans="1:3" x14ac:dyDescent="0.3">
      <c r="A107" s="9">
        <v>45689</v>
      </c>
      <c r="B107">
        <v>772712</v>
      </c>
    </row>
    <row r="108" spans="1:3" x14ac:dyDescent="0.3">
      <c r="A108" s="9">
        <v>45717</v>
      </c>
      <c r="B108">
        <v>474739</v>
      </c>
    </row>
    <row r="109" spans="1:3" x14ac:dyDescent="0.3">
      <c r="A109" s="9" t="s">
        <v>838</v>
      </c>
      <c r="B109">
        <v>66857557</v>
      </c>
    </row>
    <row r="111" spans="1:3" x14ac:dyDescent="0.3">
      <c r="A111" t="s">
        <v>1532</v>
      </c>
      <c r="C111">
        <f>GETPIVOTDATA("Revenue ",$A$47,"Month ",DATE(2025,2,1))</f>
        <v>772712</v>
      </c>
    </row>
    <row r="112" spans="1:3" x14ac:dyDescent="0.3">
      <c r="A112" t="s">
        <v>1530</v>
      </c>
      <c r="C112">
        <f>GETPIVOTDATA("Revenue ",$A$47,"Month ",DATE(2025,3,1))</f>
        <v>474739</v>
      </c>
    </row>
    <row r="113" spans="1:3" x14ac:dyDescent="0.3">
      <c r="A113" t="s">
        <v>1531</v>
      </c>
      <c r="C113">
        <f>C112-C111/C111</f>
        <v>474738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A580C-0147-4594-B88F-EF9D897DBE73}">
  <dimension ref="A1:G62"/>
  <sheetViews>
    <sheetView workbookViewId="0">
      <selection activeCell="A4" sqref="A4"/>
    </sheetView>
  </sheetViews>
  <sheetFormatPr defaultRowHeight="14.4" x14ac:dyDescent="0.3"/>
  <cols>
    <col min="1" max="1" width="25.33203125" customWidth="1"/>
    <col min="2" max="2" width="4.88671875" customWidth="1"/>
    <col min="3" max="3" width="23.109375" customWidth="1"/>
    <col min="4" max="4" width="6" customWidth="1"/>
    <col min="5" max="5" width="31.5546875" customWidth="1"/>
    <col min="6" max="6" width="5.33203125" customWidth="1"/>
    <col min="7" max="7" width="26.77734375" customWidth="1"/>
  </cols>
  <sheetData>
    <row r="1" spans="1:7" ht="31.2" x14ac:dyDescent="0.6">
      <c r="C1" s="11" t="s">
        <v>1533</v>
      </c>
      <c r="D1" s="10"/>
      <c r="E1" s="10"/>
    </row>
    <row r="3" spans="1:7" ht="18" x14ac:dyDescent="0.35">
      <c r="A3" s="12" t="s">
        <v>1525</v>
      </c>
      <c r="C3" s="12" t="s">
        <v>1526</v>
      </c>
      <c r="E3" s="12" t="s">
        <v>1527</v>
      </c>
      <c r="G3" s="12" t="s">
        <v>1528</v>
      </c>
    </row>
    <row r="4" spans="1:7" ht="36.6" x14ac:dyDescent="0.7">
      <c r="A4" s="16">
        <f>GETPIVOTDATA("Revenue ",'PIVOT TABLE'!$A$4)</f>
        <v>66857557</v>
      </c>
      <c r="C4" s="16">
        <f>GETPIVOTDATA("Quantity",'PIVOT TABLE'!$A$25)</f>
        <v>12745</v>
      </c>
      <c r="E4" s="16">
        <f>GETPIVOTDATA("Revenue ",'PIVOT TABLE'!$A$13)/GETPIVOTDATA("Quantity",'PIVOT TABLE'!$A$25)</f>
        <v>5245.7871322087094</v>
      </c>
      <c r="G4" s="16">
        <f>'PIVOT TABLE'!C113</f>
        <v>474738</v>
      </c>
    </row>
    <row r="56" spans="1:5" ht="23.4" x14ac:dyDescent="0.45">
      <c r="A56" s="13" t="s">
        <v>1534</v>
      </c>
    </row>
    <row r="58" spans="1:5" ht="18" x14ac:dyDescent="0.35">
      <c r="A58" s="14" t="s">
        <v>1535</v>
      </c>
    </row>
    <row r="60" spans="1:5" ht="18" x14ac:dyDescent="0.35">
      <c r="A60" s="14" t="s">
        <v>1536</v>
      </c>
    </row>
    <row r="61" spans="1:5" x14ac:dyDescent="0.3">
      <c r="E61" s="15"/>
    </row>
    <row r="62" spans="1:5" ht="18" x14ac:dyDescent="0.35">
      <c r="A62" s="14" t="s">
        <v>1537</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A04BBB-B624-4BF2-9A81-1370339A25BF}">
  <dimension ref="A1"/>
  <sheetViews>
    <sheetView topLeftCell="A2" workbookViewId="0"/>
  </sheetViews>
  <sheetFormatPr defaultRowHeight="14.4" x14ac:dyDescent="0.3"/>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31850F7-D70F-4877-9E1A-423CE16CFDB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Sales_Data</vt:lpstr>
      <vt:lpstr>PIVOT TABLE</vt:lpstr>
      <vt:lpstr>CHARTS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RADHIKA DAVE</dc:creator>
  <cp:lastModifiedBy>RADHIKA DAVE</cp:lastModifiedBy>
  <dcterms:created xsi:type="dcterms:W3CDTF">2025-11-25T05:08:55Z</dcterms:created>
  <dcterms:modified xsi:type="dcterms:W3CDTF">2025-12-24T04:39:08Z</dcterms:modified>
</cp:coreProperties>
</file>